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DF538446-DA41-7B43-806D-ABA66EBDC7F5}" xr6:coauthVersionLast="47" xr6:coauthVersionMax="47" xr10:uidLastSave="{00000000-0000-0000-0000-000000000000}"/>
  <bookViews>
    <workbookView xWindow="10340" yWindow="70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5" i="2" l="1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<sst xmlns="http://schemas.openxmlformats.org/spreadsheetml/2006/main" count="259" uniqueCount="30">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</sst>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P1" activePane="topRight" state="frozen"/>
      <selection pane="topRight" activeCell="Y5" sqref="Y5:Y6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 t="s">
        <v>26</v>
      </c>
      <c r="R1" s="28"/>
      <c r="T1" s="27"/>
      <c r="Y1" s="28" t="s">
        <v>28</v>
      </c>
      <c r="Z1" s="28"/>
      <c r="AB1" s="27"/>
      <c r="AG1" s="28"/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 t="s">
        <v>27</v>
      </c>
      <c r="S2" s="25"/>
      <c r="U2" s="25"/>
      <c r="W2" s="25"/>
      <c r="Y2" s="22" t="s">
        <v>29</v>
      </c>
      <c r="Z2" s="24"/>
      <c r="AB2" s="23"/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>
        <v>75</v>
      </c>
      <c r="R5" s="34" t="s">
        <v>20</v>
      </c>
      <c r="S5" s="42">
        <v>5976</v>
      </c>
      <c r="T5" s="1"/>
      <c r="U5" s="12">
        <f t="shared" ref="U5:U65" si="2">S5-K5</f>
        <v>304</v>
      </c>
      <c r="V5" s="14">
        <f t="shared" ref="V5:V65" si="3">T5-L5</f>
        <v>0</v>
      </c>
      <c r="W5" s="13" t="e">
        <f t="shared" ref="W5:W65" si="4">(T5-L5)/L5</f>
        <v>#DIV/0!</v>
      </c>
      <c r="X5" s="1"/>
      <c r="Y5" s="16">
        <v>75</v>
      </c>
      <c r="Z5" s="34" t="s">
        <v>20</v>
      </c>
      <c r="AA5" s="42"/>
      <c r="AB5" s="1"/>
      <c r="AC5" s="12">
        <f t="shared" ref="AC5:AD65" si="5">AA5-S5</f>
        <v>-5976</v>
      </c>
      <c r="AD5" s="14">
        <f t="shared" si="5"/>
        <v>0</v>
      </c>
      <c r="AE5" s="13" t="e">
        <f t="shared" ref="AE5:AE65" si="6">(AB5-T5)/T5</f>
        <v>#DIV/0!</v>
      </c>
      <c r="AF5" s="1"/>
      <c r="AG5" s="16"/>
      <c r="AH5" s="34"/>
      <c r="AI5" s="42"/>
      <c r="AJ5" s="1"/>
      <c r="AK5" s="12"/>
      <c r="AL5" s="14"/>
      <c r="AM5" s="13"/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 t="s">
        <v>21</v>
      </c>
      <c r="S6" s="17">
        <v>19</v>
      </c>
      <c r="T6" s="35"/>
      <c r="U6" s="12">
        <f t="shared" si="2"/>
        <v>4</v>
      </c>
      <c r="V6" s="14">
        <f t="shared" si="3"/>
        <v>0</v>
      </c>
      <c r="W6" s="13" t="e">
        <f t="shared" si="4"/>
        <v>#DIV/0!</v>
      </c>
      <c r="Y6" s="16"/>
      <c r="Z6" s="34" t="s">
        <v>21</v>
      </c>
      <c r="AB6" s="35"/>
      <c r="AC6" s="12">
        <f t="shared" si="5"/>
        <v>-19</v>
      </c>
      <c r="AD6" s="14">
        <f t="shared" si="5"/>
        <v>0</v>
      </c>
      <c r="AE6" s="13" t="e">
        <f t="shared" si="6"/>
        <v>#DIV/0!</v>
      </c>
      <c r="AG6" s="16"/>
      <c r="AH6" s="34"/>
      <c r="AJ6" s="35"/>
      <c r="AK6" s="12"/>
      <c r="AL6" s="14"/>
      <c r="AM6" s="13"/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 t="s">
        <v>10</v>
      </c>
      <c r="S7" s="12">
        <v>326</v>
      </c>
      <c r="T7" s="14">
        <v>338219.99999906967</v>
      </c>
      <c r="U7" s="12">
        <f t="shared" si="2"/>
        <v>74</v>
      </c>
      <c r="V7" s="14">
        <f t="shared" si="3"/>
        <v>100508.57142837966</v>
      </c>
      <c r="W7" s="13">
        <f t="shared" si="4"/>
        <v>0.42281758194259755</v>
      </c>
      <c r="Y7" s="16"/>
      <c r="Z7" s="15" t="s">
        <v>10</v>
      </c>
      <c r="AA7" s="12">
        <v>295</v>
      </c>
      <c r="AB7" s="14">
        <v>296708.57142756984</v>
      </c>
      <c r="AC7" s="12">
        <f t="shared" si="5"/>
        <v>-31</v>
      </c>
      <c r="AD7" s="14">
        <f t="shared" si="5"/>
        <v>-41511.428571499826</v>
      </c>
      <c r="AE7" s="13">
        <f t="shared" si="6"/>
        <v>-0.12273499075044057</v>
      </c>
      <c r="AG7" s="16"/>
      <c r="AH7" s="15"/>
      <c r="AJ7" s="14"/>
      <c r="AL7" s="14"/>
      <c r="AM7" s="13"/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 t="s">
        <v>9</v>
      </c>
      <c r="S8" s="12">
        <v>290</v>
      </c>
      <c r="T8" s="14">
        <v>366126.6666664799</v>
      </c>
      <c r="U8" s="12">
        <f t="shared" si="2"/>
        <v>-8</v>
      </c>
      <c r="V8" s="14">
        <f t="shared" si="3"/>
        <v>-12235.238095190027</v>
      </c>
      <c r="W8" s="13">
        <f t="shared" si="4"/>
        <v>-3.2337394281004586E-2</v>
      </c>
      <c r="Y8" s="16"/>
      <c r="Z8" s="15" t="s">
        <v>9</v>
      </c>
      <c r="AA8" s="12">
        <v>331</v>
      </c>
      <c r="AB8" s="14">
        <v>474830.47619021981</v>
      </c>
      <c r="AC8" s="12">
        <f t="shared" si="5"/>
        <v>41</v>
      </c>
      <c r="AD8" s="14">
        <f t="shared" si="5"/>
        <v>108703.80952373991</v>
      </c>
      <c r="AE8" s="13">
        <f t="shared" si="6"/>
        <v>0.2969021910189425</v>
      </c>
      <c r="AG8" s="16"/>
      <c r="AH8" s="15"/>
      <c r="AJ8" s="14"/>
      <c r="AL8" s="14"/>
      <c r="AM8" s="13"/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 t="s">
        <v>8</v>
      </c>
      <c r="S9" s="12">
        <v>151</v>
      </c>
      <c r="T9" s="14">
        <v>951895.23809521995</v>
      </c>
      <c r="U9" s="12">
        <f t="shared" si="2"/>
        <v>51</v>
      </c>
      <c r="V9" s="14">
        <f t="shared" si="3"/>
        <v>287133.33333334001</v>
      </c>
      <c r="W9" s="13">
        <f t="shared" si="4"/>
        <v>0.43193409742122962</v>
      </c>
      <c r="Y9" s="16"/>
      <c r="Z9" s="15" t="s">
        <v>8</v>
      </c>
      <c r="AA9" s="12">
        <v>144</v>
      </c>
      <c r="AB9" s="14">
        <v>952819.04761901998</v>
      </c>
      <c r="AC9" s="12">
        <f t="shared" si="5"/>
        <v>-7</v>
      </c>
      <c r="AD9" s="14">
        <f t="shared" si="5"/>
        <v>923.80952380003873</v>
      </c>
      <c r="AE9" s="13">
        <f t="shared" si="6"/>
        <v>9.7049495241579122E-4</v>
      </c>
      <c r="AG9" s="16"/>
      <c r="AH9" s="15"/>
      <c r="AJ9" s="14"/>
      <c r="AL9" s="14"/>
      <c r="AM9" s="13"/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 t="s">
        <v>7</v>
      </c>
      <c r="S10" s="12">
        <v>47</v>
      </c>
      <c r="T10" s="14">
        <v>694571.42857134005</v>
      </c>
      <c r="U10" s="12">
        <f t="shared" si="2"/>
        <v>0</v>
      </c>
      <c r="V10" s="14">
        <f t="shared" si="3"/>
        <v>78095.238095219946</v>
      </c>
      <c r="W10" s="13">
        <f t="shared" si="4"/>
        <v>0.12668005561561918</v>
      </c>
      <c r="Y10" s="16"/>
      <c r="Z10" s="15" t="s">
        <v>7</v>
      </c>
      <c r="AA10" s="12">
        <v>93</v>
      </c>
      <c r="AB10" s="14">
        <v>1138761.9047617901</v>
      </c>
      <c r="AC10" s="12">
        <f t="shared" si="5"/>
        <v>46</v>
      </c>
      <c r="AD10" s="14">
        <f t="shared" si="5"/>
        <v>444190.47619045002</v>
      </c>
      <c r="AE10" s="13">
        <f t="shared" si="6"/>
        <v>0.63951734539974214</v>
      </c>
      <c r="AG10" s="16"/>
      <c r="AH10" s="15"/>
      <c r="AJ10" s="14"/>
      <c r="AL10" s="14"/>
      <c r="AM10" s="13"/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 t="s">
        <v>6</v>
      </c>
      <c r="S11" s="12">
        <v>2</v>
      </c>
      <c r="T11" s="14">
        <v>11714.285714279999</v>
      </c>
      <c r="U11" s="12">
        <f t="shared" si="2"/>
        <v>-3</v>
      </c>
      <c r="V11" s="14">
        <f t="shared" si="3"/>
        <v>-8171.4285714200014</v>
      </c>
      <c r="W11" s="13">
        <f t="shared" si="4"/>
        <v>-0.4109195402297493</v>
      </c>
      <c r="Y11" s="16"/>
      <c r="Z11" s="15" t="s">
        <v>6</v>
      </c>
      <c r="AA11" s="12">
        <v>11</v>
      </c>
      <c r="AB11" s="14">
        <v>43428.571428559997</v>
      </c>
      <c r="AC11" s="12">
        <f t="shared" si="5"/>
        <v>9</v>
      </c>
      <c r="AD11" s="14">
        <f t="shared" si="5"/>
        <v>31714.285714279999</v>
      </c>
      <c r="AE11" s="13">
        <f t="shared" si="6"/>
        <v>2.7073170731715646</v>
      </c>
      <c r="AG11" s="16"/>
      <c r="AH11" s="15"/>
      <c r="AJ11" s="14"/>
      <c r="AL11" s="14"/>
      <c r="AM11" s="13"/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 t="s">
        <v>5</v>
      </c>
      <c r="S12" s="12">
        <v>3</v>
      </c>
      <c r="T12" s="14">
        <v>19070</v>
      </c>
      <c r="U12" s="12">
        <f t="shared" si="2"/>
        <v>-3</v>
      </c>
      <c r="V12" s="14">
        <f t="shared" si="3"/>
        <v>-20070</v>
      </c>
      <c r="W12" s="13">
        <f t="shared" si="4"/>
        <v>-0.51277465508431275</v>
      </c>
      <c r="Y12" s="16"/>
      <c r="Z12" s="15" t="s">
        <v>5</v>
      </c>
      <c r="AA12" s="12">
        <v>12</v>
      </c>
      <c r="AB12" s="14">
        <v>74380</v>
      </c>
      <c r="AC12" s="12">
        <f t="shared" si="5"/>
        <v>9</v>
      </c>
      <c r="AD12" s="14">
        <f t="shared" si="5"/>
        <v>55310</v>
      </c>
      <c r="AE12" s="13">
        <f t="shared" si="6"/>
        <v>2.9003670686942842</v>
      </c>
      <c r="AG12" s="16"/>
      <c r="AH12" s="15"/>
      <c r="AJ12" s="14"/>
      <c r="AL12" s="14"/>
      <c r="AM12" s="13"/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 t="s">
        <v>4</v>
      </c>
      <c r="S13" s="12">
        <v>16</v>
      </c>
      <c r="T13" s="14">
        <v>638338.09523803997</v>
      </c>
      <c r="U13" s="12">
        <f t="shared" si="2"/>
        <v>0</v>
      </c>
      <c r="V13" s="14">
        <f t="shared" si="3"/>
        <v>81890.476190450019</v>
      </c>
      <c r="W13" s="13">
        <f t="shared" si="4"/>
        <v>0.14716654971156659</v>
      </c>
      <c r="Y13" s="16"/>
      <c r="Z13" s="15" t="s">
        <v>4</v>
      </c>
      <c r="AA13" s="12">
        <v>22</v>
      </c>
      <c r="AB13" s="14">
        <v>809685.71428565995</v>
      </c>
      <c r="AC13" s="12">
        <f t="shared" si="5"/>
        <v>6</v>
      </c>
      <c r="AD13" s="14">
        <f t="shared" si="5"/>
        <v>171347.61904761998</v>
      </c>
      <c r="AE13" s="13">
        <f t="shared" si="6"/>
        <v>0.26842768796952887</v>
      </c>
      <c r="AG13" s="16"/>
      <c r="AH13" s="15"/>
      <c r="AJ13" s="14"/>
      <c r="AL13" s="14"/>
      <c r="AM13" s="13"/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 t="s">
        <v>3</v>
      </c>
      <c r="S14" s="12">
        <v>79</v>
      </c>
      <c r="T14" s="14">
        <v>1613619.0476188899</v>
      </c>
      <c r="U14" s="12">
        <f t="shared" si="2"/>
        <v>30</v>
      </c>
      <c r="V14" s="14">
        <f t="shared" si="3"/>
        <v>650857.14285707986</v>
      </c>
      <c r="W14" s="13">
        <f t="shared" si="4"/>
        <v>0.67603125927391539</v>
      </c>
      <c r="Y14" s="16"/>
      <c r="Z14" s="15" t="s">
        <v>3</v>
      </c>
      <c r="AA14" s="12">
        <v>124</v>
      </c>
      <c r="AB14" s="14">
        <v>2393238.0952379904</v>
      </c>
      <c r="AC14" s="12">
        <f t="shared" si="5"/>
        <v>45</v>
      </c>
      <c r="AD14" s="14">
        <f t="shared" si="5"/>
        <v>779619.04761910043</v>
      </c>
      <c r="AE14" s="13">
        <f t="shared" si="6"/>
        <v>0.483149383226191</v>
      </c>
      <c r="AG14" s="16"/>
      <c r="AH14" s="15"/>
      <c r="AJ14" s="14"/>
      <c r="AL14" s="14"/>
      <c r="AM14" s="13"/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 t="s">
        <v>2</v>
      </c>
      <c r="S15" s="12">
        <v>159</v>
      </c>
      <c r="T15" s="14">
        <v>6112952.3809522903</v>
      </c>
      <c r="U15" s="12">
        <f t="shared" si="2"/>
        <v>19</v>
      </c>
      <c r="V15" s="14">
        <f t="shared" si="3"/>
        <v>631523.80952383019</v>
      </c>
      <c r="W15" s="13">
        <f t="shared" si="4"/>
        <v>0.11521153679090178</v>
      </c>
      <c r="Y15" s="16"/>
      <c r="Z15" s="15" t="s">
        <v>2</v>
      </c>
      <c r="AA15" s="12">
        <v>311</v>
      </c>
      <c r="AB15" s="14">
        <v>11922905.71428556</v>
      </c>
      <c r="AC15" s="12">
        <f t="shared" si="5"/>
        <v>152</v>
      </c>
      <c r="AD15" s="14">
        <f t="shared" si="5"/>
        <v>5809953.3333332697</v>
      </c>
      <c r="AE15" s="13">
        <f t="shared" si="6"/>
        <v>0.95043327205309935</v>
      </c>
      <c r="AG15" s="16"/>
      <c r="AH15" s="15"/>
      <c r="AJ15" s="14"/>
      <c r="AL15" s="14"/>
      <c r="AM15" s="13"/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 t="s">
        <v>19</v>
      </c>
      <c r="R16" s="11"/>
      <c r="S16" s="10">
        <v>1073</v>
      </c>
      <c r="T16" s="9">
        <v>10746507.142855611</v>
      </c>
      <c r="U16" s="29">
        <f t="shared" si="2"/>
        <v>160</v>
      </c>
      <c r="V16" s="30">
        <f t="shared" si="3"/>
        <v>1789531.9047616906</v>
      </c>
      <c r="W16" s="31">
        <f t="shared" si="4"/>
        <v>0.19979198972783027</v>
      </c>
      <c r="Y16" s="11" t="s">
        <v>19</v>
      </c>
      <c r="Z16" s="11"/>
      <c r="AA16" s="10">
        <v>1343</v>
      </c>
      <c r="AB16" s="9">
        <v>18106758.095236368</v>
      </c>
      <c r="AC16" s="29">
        <f t="shared" si="5"/>
        <v>270</v>
      </c>
      <c r="AD16" s="30">
        <f t="shared" si="5"/>
        <v>7360250.9523807578</v>
      </c>
      <c r="AE16" s="31">
        <f t="shared" si="6"/>
        <v>0.68489704185177314</v>
      </c>
      <c r="AG16" s="11"/>
      <c r="AH16" s="11"/>
      <c r="AI16" s="10"/>
      <c r="AJ16" s="9"/>
      <c r="AK16" s="10"/>
      <c r="AL16" s="9"/>
      <c r="AM16" s="8"/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>
        <v>76</v>
      </c>
      <c r="R17" s="34" t="s">
        <v>20</v>
      </c>
      <c r="S17" s="1">
        <v>3949</v>
      </c>
      <c r="T17" s="37"/>
      <c r="U17" s="12">
        <f t="shared" si="2"/>
        <v>-24</v>
      </c>
      <c r="V17" s="14">
        <f t="shared" si="3"/>
        <v>0</v>
      </c>
      <c r="W17" s="13" t="e">
        <f t="shared" si="4"/>
        <v>#DIV/0!</v>
      </c>
      <c r="Y17" s="16">
        <v>76</v>
      </c>
      <c r="Z17" s="34" t="s">
        <v>20</v>
      </c>
      <c r="AB17" s="37"/>
      <c r="AC17" s="12">
        <f t="shared" si="5"/>
        <v>-3949</v>
      </c>
      <c r="AD17" s="14">
        <f t="shared" si="5"/>
        <v>0</v>
      </c>
      <c r="AE17" s="13" t="e">
        <f t="shared" si="6"/>
        <v>#DIV/0!</v>
      </c>
      <c r="AG17" s="16"/>
      <c r="AH17" s="34"/>
      <c r="AJ17" s="37"/>
      <c r="AK17" s="12"/>
      <c r="AL17" s="14"/>
      <c r="AM17" s="13"/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 t="s">
        <v>21</v>
      </c>
      <c r="S18" s="1">
        <v>8</v>
      </c>
      <c r="T18" s="37"/>
      <c r="U18" s="12">
        <f t="shared" si="2"/>
        <v>-4</v>
      </c>
      <c r="V18" s="14">
        <f t="shared" si="3"/>
        <v>0</v>
      </c>
      <c r="W18" s="13" t="e">
        <f t="shared" si="4"/>
        <v>#DIV/0!</v>
      </c>
      <c r="Y18" s="16"/>
      <c r="Z18" s="34" t="s">
        <v>21</v>
      </c>
      <c r="AB18" s="37"/>
      <c r="AC18" s="12">
        <f t="shared" si="5"/>
        <v>-8</v>
      </c>
      <c r="AD18" s="14">
        <f t="shared" si="5"/>
        <v>0</v>
      </c>
      <c r="AE18" s="13" t="e">
        <f t="shared" si="6"/>
        <v>#DIV/0!</v>
      </c>
      <c r="AG18" s="16"/>
      <c r="AH18" s="34"/>
      <c r="AJ18" s="37"/>
      <c r="AK18" s="12"/>
      <c r="AL18" s="14"/>
      <c r="AM18" s="13"/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 t="s">
        <v>10</v>
      </c>
      <c r="S19" s="12">
        <v>160</v>
      </c>
      <c r="T19" s="14">
        <v>164079.99999938003</v>
      </c>
      <c r="U19" s="12">
        <f t="shared" si="2"/>
        <v>28</v>
      </c>
      <c r="V19" s="14">
        <f t="shared" si="3"/>
        <v>40851.428571310025</v>
      </c>
      <c r="W19" s="13">
        <f t="shared" si="4"/>
        <v>0.33150939021601411</v>
      </c>
      <c r="Y19" s="16"/>
      <c r="Z19" s="15" t="s">
        <v>10</v>
      </c>
      <c r="AA19" s="12">
        <v>183</v>
      </c>
      <c r="AB19" s="14">
        <v>175820.95238023982</v>
      </c>
      <c r="AC19" s="12">
        <f t="shared" si="5"/>
        <v>23</v>
      </c>
      <c r="AD19" s="14">
        <f t="shared" si="5"/>
        <v>11740.952380859788</v>
      </c>
      <c r="AE19" s="13">
        <f t="shared" si="6"/>
        <v>7.155626755792388E-2</v>
      </c>
      <c r="AG19" s="16"/>
      <c r="AH19" s="15"/>
      <c r="AJ19" s="14"/>
      <c r="AL19" s="14"/>
      <c r="AM19" s="13"/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 t="s">
        <v>9</v>
      </c>
      <c r="S20" s="12">
        <v>209</v>
      </c>
      <c r="T20" s="14">
        <v>232359.04761889004</v>
      </c>
      <c r="U20" s="12">
        <f t="shared" si="2"/>
        <v>-8</v>
      </c>
      <c r="V20" s="14">
        <f t="shared" si="3"/>
        <v>-49258.095238109847</v>
      </c>
      <c r="W20" s="13">
        <f t="shared" si="4"/>
        <v>-0.17491156517812631</v>
      </c>
      <c r="Y20" s="16"/>
      <c r="Z20" s="15" t="s">
        <v>9</v>
      </c>
      <c r="AA20" s="12">
        <v>198</v>
      </c>
      <c r="AB20" s="14">
        <v>233128.57142843999</v>
      </c>
      <c r="AC20" s="12">
        <f t="shared" si="5"/>
        <v>-11</v>
      </c>
      <c r="AD20" s="14">
        <f t="shared" si="5"/>
        <v>769.52380954995169</v>
      </c>
      <c r="AE20" s="13">
        <f t="shared" si="6"/>
        <v>3.3117875866495502E-3</v>
      </c>
      <c r="AG20" s="16"/>
      <c r="AH20" s="15"/>
      <c r="AJ20" s="14"/>
      <c r="AL20" s="14"/>
      <c r="AM20" s="13"/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 t="s">
        <v>8</v>
      </c>
      <c r="S21" s="12">
        <v>55</v>
      </c>
      <c r="T21" s="14">
        <v>360904.76190475002</v>
      </c>
      <c r="U21" s="12">
        <f t="shared" si="2"/>
        <v>-11</v>
      </c>
      <c r="V21" s="14">
        <f t="shared" si="3"/>
        <v>-52396.190476179996</v>
      </c>
      <c r="W21" s="13">
        <f t="shared" si="4"/>
        <v>-0.12677490863337676</v>
      </c>
      <c r="Y21" s="16"/>
      <c r="Z21" s="15" t="s">
        <v>8</v>
      </c>
      <c r="AA21" s="12">
        <v>62</v>
      </c>
      <c r="AB21" s="14">
        <v>411028.57142855</v>
      </c>
      <c r="AC21" s="12">
        <f t="shared" si="5"/>
        <v>7</v>
      </c>
      <c r="AD21" s="14">
        <f t="shared" si="5"/>
        <v>50123.809523799981</v>
      </c>
      <c r="AE21" s="13">
        <f t="shared" si="6"/>
        <v>0.13888375775166042</v>
      </c>
      <c r="AG21" s="16"/>
      <c r="AH21" s="15"/>
      <c r="AJ21" s="14"/>
      <c r="AL21" s="14"/>
      <c r="AM21" s="13"/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 t="s">
        <v>7</v>
      </c>
      <c r="S22" s="12">
        <v>31</v>
      </c>
      <c r="T22" s="14">
        <v>375619.04761899001</v>
      </c>
      <c r="U22" s="12">
        <f t="shared" si="2"/>
        <v>3</v>
      </c>
      <c r="V22" s="14">
        <f t="shared" si="3"/>
        <v>53523.809523820004</v>
      </c>
      <c r="W22" s="13">
        <f t="shared" si="4"/>
        <v>0.16617386162041065</v>
      </c>
      <c r="Y22" s="16"/>
      <c r="Z22" s="15" t="s">
        <v>7</v>
      </c>
      <c r="AA22" s="12">
        <v>40</v>
      </c>
      <c r="AB22" s="14">
        <v>497619.04761896003</v>
      </c>
      <c r="AC22" s="12">
        <f t="shared" si="5"/>
        <v>9</v>
      </c>
      <c r="AD22" s="14">
        <f t="shared" si="5"/>
        <v>121999.99999997002</v>
      </c>
      <c r="AE22" s="13">
        <f t="shared" si="6"/>
        <v>0.32479716024337774</v>
      </c>
      <c r="AG22" s="16"/>
      <c r="AH22" s="15"/>
      <c r="AJ22" s="14"/>
      <c r="AL22" s="14"/>
      <c r="AM22" s="13"/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 t="s">
        <v>6</v>
      </c>
      <c r="S23" s="12">
        <v>2</v>
      </c>
      <c r="T23" s="14">
        <v>17714.285714279999</v>
      </c>
      <c r="U23" s="12">
        <f t="shared" si="2"/>
        <v>-2</v>
      </c>
      <c r="V23" s="14">
        <f t="shared" si="3"/>
        <v>285.7142857200015</v>
      </c>
      <c r="W23" s="13">
        <f t="shared" si="4"/>
        <v>1.6393442623289529E-2</v>
      </c>
      <c r="Y23" s="16"/>
      <c r="Z23" s="15" t="s">
        <v>6</v>
      </c>
      <c r="AA23" s="12">
        <v>2</v>
      </c>
      <c r="AB23" s="14">
        <v>5714.2857142800003</v>
      </c>
      <c r="AC23" s="12">
        <f t="shared" si="5"/>
        <v>0</v>
      </c>
      <c r="AD23" s="14">
        <f t="shared" si="5"/>
        <v>-11999.999999999998</v>
      </c>
      <c r="AE23" s="13">
        <f t="shared" si="6"/>
        <v>-0.67741935483892812</v>
      </c>
      <c r="AG23" s="16"/>
      <c r="AH23" s="15"/>
      <c r="AJ23" s="14"/>
      <c r="AL23" s="14"/>
      <c r="AM23" s="13"/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 t="s">
        <v>5</v>
      </c>
      <c r="S24" s="12">
        <v>11</v>
      </c>
      <c r="T24" s="14">
        <v>66990</v>
      </c>
      <c r="U24" s="12">
        <f t="shared" si="2"/>
        <v>4</v>
      </c>
      <c r="V24" s="14">
        <f t="shared" si="3"/>
        <v>27360</v>
      </c>
      <c r="W24" s="13">
        <f t="shared" si="4"/>
        <v>0.69038607115821349</v>
      </c>
      <c r="Y24" s="16"/>
      <c r="Z24" s="15" t="s">
        <v>5</v>
      </c>
      <c r="AA24" s="12">
        <v>9</v>
      </c>
      <c r="AB24" s="14">
        <v>50710</v>
      </c>
      <c r="AC24" s="12">
        <f t="shared" si="5"/>
        <v>-2</v>
      </c>
      <c r="AD24" s="14">
        <f t="shared" si="5"/>
        <v>-16280</v>
      </c>
      <c r="AE24" s="13">
        <f t="shared" si="6"/>
        <v>-0.24302134646962234</v>
      </c>
      <c r="AG24" s="16"/>
      <c r="AH24" s="15"/>
      <c r="AJ24" s="14"/>
      <c r="AL24" s="14"/>
      <c r="AM24" s="13"/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 t="s">
        <v>4</v>
      </c>
      <c r="S25" s="12">
        <v>7</v>
      </c>
      <c r="T25" s="14">
        <v>304961.90476186998</v>
      </c>
      <c r="U25" s="12">
        <f t="shared" si="2"/>
        <v>-1</v>
      </c>
      <c r="V25" s="14">
        <f t="shared" si="3"/>
        <v>7528.5714285499416</v>
      </c>
      <c r="W25" s="13">
        <f t="shared" si="4"/>
        <v>2.5311794559734209E-2</v>
      </c>
      <c r="Y25" s="16"/>
      <c r="Z25" s="15" t="s">
        <v>4</v>
      </c>
      <c r="AA25" s="12">
        <v>8</v>
      </c>
      <c r="AB25" s="14">
        <v>274819.04761903</v>
      </c>
      <c r="AC25" s="12">
        <f t="shared" si="5"/>
        <v>1</v>
      </c>
      <c r="AD25" s="14">
        <f t="shared" si="5"/>
        <v>-30142.857142839988</v>
      </c>
      <c r="AE25" s="13">
        <f t="shared" si="6"/>
        <v>-9.884138534082508E-2</v>
      </c>
      <c r="AG25" s="16"/>
      <c r="AH25" s="15"/>
      <c r="AJ25" s="14"/>
      <c r="AL25" s="14"/>
      <c r="AM25" s="13"/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 t="s">
        <v>3</v>
      </c>
      <c r="S26" s="12">
        <v>33</v>
      </c>
      <c r="T26" s="14">
        <v>644857.14285706007</v>
      </c>
      <c r="U26" s="12">
        <f t="shared" si="2"/>
        <v>8</v>
      </c>
      <c r="V26" s="14">
        <f t="shared" si="3"/>
        <v>81523.809523790027</v>
      </c>
      <c r="W26" s="13">
        <f t="shared" si="4"/>
        <v>0.1447168216398802</v>
      </c>
      <c r="Y26" s="16"/>
      <c r="Z26" s="15" t="s">
        <v>3</v>
      </c>
      <c r="AA26" s="12">
        <v>35</v>
      </c>
      <c r="AB26" s="14">
        <v>637333.33333325014</v>
      </c>
      <c r="AC26" s="12">
        <f t="shared" si="5"/>
        <v>2</v>
      </c>
      <c r="AD26" s="14">
        <f t="shared" si="5"/>
        <v>-7523.809523809934</v>
      </c>
      <c r="AE26" s="13">
        <f t="shared" si="6"/>
        <v>-1.1667405110030196E-2</v>
      </c>
      <c r="AG26" s="16"/>
      <c r="AH26" s="15"/>
      <c r="AJ26" s="14"/>
      <c r="AL26" s="14"/>
      <c r="AM26" s="13"/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 t="s">
        <v>2</v>
      </c>
      <c r="S27" s="12">
        <v>88</v>
      </c>
      <c r="T27" s="14">
        <v>3283047.6190475402</v>
      </c>
      <c r="U27" s="12">
        <f t="shared" si="2"/>
        <v>4</v>
      </c>
      <c r="V27" s="14">
        <f t="shared" si="3"/>
        <v>194582.85714284005</v>
      </c>
      <c r="W27" s="13">
        <f t="shared" si="4"/>
        <v>6.3003100939651974E-2</v>
      </c>
      <c r="Y27" s="16"/>
      <c r="Z27" s="15" t="s">
        <v>2</v>
      </c>
      <c r="AA27" s="12">
        <v>77</v>
      </c>
      <c r="AB27" s="14">
        <v>3000285.71428564</v>
      </c>
      <c r="AC27" s="12">
        <f t="shared" si="5"/>
        <v>-11</v>
      </c>
      <c r="AD27" s="14">
        <f t="shared" si="5"/>
        <v>-282761.90476190019</v>
      </c>
      <c r="AE27" s="13">
        <f t="shared" si="6"/>
        <v>-8.6127871896032243E-2</v>
      </c>
      <c r="AG27" s="16"/>
      <c r="AH27" s="15"/>
      <c r="AJ27" s="14"/>
      <c r="AL27" s="14"/>
      <c r="AM27" s="13"/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 t="s">
        <v>13</v>
      </c>
      <c r="R28" s="11"/>
      <c r="S28" s="10">
        <v>596</v>
      </c>
      <c r="T28" s="9">
        <v>5450533.8095227601</v>
      </c>
      <c r="U28" s="29">
        <f t="shared" si="2"/>
        <v>25</v>
      </c>
      <c r="V28" s="30">
        <f t="shared" si="3"/>
        <v>304001.90476174001</v>
      </c>
      <c r="W28" s="31">
        <f t="shared" si="4"/>
        <v>5.9069274297223341E-2</v>
      </c>
      <c r="Y28" s="11" t="s">
        <v>13</v>
      </c>
      <c r="Z28" s="11"/>
      <c r="AA28" s="10">
        <v>614</v>
      </c>
      <c r="AB28" s="9">
        <v>5286459.5238083899</v>
      </c>
      <c r="AC28" s="29">
        <f t="shared" si="5"/>
        <v>18</v>
      </c>
      <c r="AD28" s="30">
        <f t="shared" si="5"/>
        <v>-164074.2857143702</v>
      </c>
      <c r="AE28" s="31">
        <f t="shared" si="6"/>
        <v>-3.0102425092329861E-2</v>
      </c>
      <c r="AG28" s="11"/>
      <c r="AH28" s="11"/>
      <c r="AI28" s="10"/>
      <c r="AJ28" s="9"/>
      <c r="AK28" s="10"/>
      <c r="AL28" s="9"/>
      <c r="AM28" s="8"/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>
        <v>77</v>
      </c>
      <c r="R29" s="34" t="s">
        <v>20</v>
      </c>
      <c r="S29" s="1">
        <v>3566</v>
      </c>
      <c r="T29" s="37"/>
      <c r="U29" s="12">
        <f t="shared" si="2"/>
        <v>657</v>
      </c>
      <c r="V29" s="14">
        <f t="shared" si="3"/>
        <v>0</v>
      </c>
      <c r="W29" s="13" t="e">
        <f t="shared" si="4"/>
        <v>#DIV/0!</v>
      </c>
      <c r="Y29" s="16">
        <v>77</v>
      </c>
      <c r="Z29" s="34" t="s">
        <v>20</v>
      </c>
      <c r="AB29" s="37"/>
      <c r="AC29" s="12">
        <f t="shared" si="5"/>
        <v>-3566</v>
      </c>
      <c r="AD29" s="14">
        <f t="shared" si="5"/>
        <v>0</v>
      </c>
      <c r="AE29" s="13" t="e">
        <f t="shared" si="6"/>
        <v>#DIV/0!</v>
      </c>
      <c r="AG29" s="16"/>
      <c r="AH29" s="34"/>
      <c r="AJ29" s="37"/>
      <c r="AK29" s="12"/>
      <c r="AL29" s="14"/>
      <c r="AM29" s="13"/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 t="s">
        <v>21</v>
      </c>
      <c r="S30" s="1">
        <v>3</v>
      </c>
      <c r="T30" s="37"/>
      <c r="U30" s="12">
        <f t="shared" si="2"/>
        <v>-3</v>
      </c>
      <c r="V30" s="14">
        <f t="shared" si="3"/>
        <v>0</v>
      </c>
      <c r="W30" s="13" t="e">
        <f t="shared" si="4"/>
        <v>#DIV/0!</v>
      </c>
      <c r="Y30" s="16"/>
      <c r="Z30" s="34" t="s">
        <v>21</v>
      </c>
      <c r="AB30" s="37"/>
      <c r="AC30" s="12">
        <f t="shared" si="5"/>
        <v>-3</v>
      </c>
      <c r="AD30" s="14">
        <f t="shared" si="5"/>
        <v>0</v>
      </c>
      <c r="AE30" s="13" t="e">
        <f t="shared" si="6"/>
        <v>#DIV/0!</v>
      </c>
      <c r="AG30" s="16"/>
      <c r="AH30" s="34"/>
      <c r="AJ30" s="37"/>
      <c r="AK30" s="12"/>
      <c r="AL30" s="14"/>
      <c r="AM30" s="13"/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 t="s">
        <v>10</v>
      </c>
      <c r="S31" s="12">
        <v>126</v>
      </c>
      <c r="T31" s="14">
        <v>110642.85714239995</v>
      </c>
      <c r="U31" s="12">
        <f t="shared" si="2"/>
        <v>25</v>
      </c>
      <c r="V31" s="14">
        <f t="shared" si="3"/>
        <v>29346.666666609977</v>
      </c>
      <c r="W31" s="13">
        <f t="shared" si="4"/>
        <v>0.36098452454976254</v>
      </c>
      <c r="Y31" s="16"/>
      <c r="Z31" s="15" t="s">
        <v>10</v>
      </c>
      <c r="AA31" s="12">
        <v>153</v>
      </c>
      <c r="AB31" s="14">
        <v>156716.19047567999</v>
      </c>
      <c r="AC31" s="12">
        <f t="shared" si="5"/>
        <v>27</v>
      </c>
      <c r="AD31" s="14">
        <f t="shared" si="5"/>
        <v>46073.333333280039</v>
      </c>
      <c r="AE31" s="13">
        <f t="shared" si="6"/>
        <v>0.41641489132897735</v>
      </c>
      <c r="AG31" s="16"/>
      <c r="AH31" s="15"/>
      <c r="AJ31" s="14"/>
      <c r="AL31" s="14"/>
      <c r="AM31" s="13"/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 t="s">
        <v>9</v>
      </c>
      <c r="S32" s="12">
        <v>94</v>
      </c>
      <c r="T32" s="14">
        <v>89540.952380849994</v>
      </c>
      <c r="U32" s="12">
        <f t="shared" si="2"/>
        <v>36</v>
      </c>
      <c r="V32" s="14">
        <f t="shared" si="3"/>
        <v>34354.285714279991</v>
      </c>
      <c r="W32" s="13">
        <f t="shared" si="4"/>
        <v>0.6225106133306384</v>
      </c>
      <c r="Y32" s="16"/>
      <c r="Z32" s="15" t="s">
        <v>9</v>
      </c>
      <c r="AA32" s="12">
        <v>78</v>
      </c>
      <c r="AB32" s="14">
        <v>85080.952380859992</v>
      </c>
      <c r="AC32" s="12">
        <f t="shared" si="5"/>
        <v>-16</v>
      </c>
      <c r="AD32" s="14">
        <f t="shared" si="5"/>
        <v>-4459.9999999900028</v>
      </c>
      <c r="AE32" s="13">
        <f t="shared" si="6"/>
        <v>-4.9809610925512754E-2</v>
      </c>
      <c r="AG32" s="16"/>
      <c r="AH32" s="15"/>
      <c r="AJ32" s="14"/>
      <c r="AL32" s="14"/>
      <c r="AM32" s="13"/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 t="s">
        <v>8</v>
      </c>
      <c r="S33" s="12">
        <v>19</v>
      </c>
      <c r="T33" s="14">
        <v>120295.23809523002</v>
      </c>
      <c r="U33" s="12">
        <f t="shared" si="2"/>
        <v>-5</v>
      </c>
      <c r="V33" s="14">
        <f t="shared" si="3"/>
        <v>-32453.333333329996</v>
      </c>
      <c r="W33" s="13">
        <f t="shared" si="4"/>
        <v>-0.21246243437705936</v>
      </c>
      <c r="Y33" s="16"/>
      <c r="Z33" s="15" t="s">
        <v>8</v>
      </c>
      <c r="AA33" s="12">
        <v>32</v>
      </c>
      <c r="AB33" s="14">
        <v>227506.66666663997</v>
      </c>
      <c r="AC33" s="12">
        <f t="shared" si="5"/>
        <v>13</v>
      </c>
      <c r="AD33" s="14">
        <f t="shared" si="5"/>
        <v>107211.42857140995</v>
      </c>
      <c r="AE33" s="13">
        <f t="shared" si="6"/>
        <v>0.89123584830961933</v>
      </c>
      <c r="AG33" s="16"/>
      <c r="AH33" s="15"/>
      <c r="AJ33" s="14"/>
      <c r="AL33" s="14"/>
      <c r="AM33" s="13"/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 t="s">
        <v>7</v>
      </c>
      <c r="S34" s="12">
        <v>12</v>
      </c>
      <c r="T34" s="14">
        <v>170761.90476186</v>
      </c>
      <c r="U34" s="12">
        <f t="shared" si="2"/>
        <v>4</v>
      </c>
      <c r="V34" s="14">
        <f t="shared" si="3"/>
        <v>87238.095238070004</v>
      </c>
      <c r="W34" s="13">
        <f t="shared" si="4"/>
        <v>1.0444697833522796</v>
      </c>
      <c r="Y34" s="16"/>
      <c r="Z34" s="15" t="s">
        <v>7</v>
      </c>
      <c r="AA34" s="12">
        <v>10</v>
      </c>
      <c r="AB34" s="14">
        <v>125714.28571426</v>
      </c>
      <c r="AC34" s="12">
        <f t="shared" si="5"/>
        <v>-2</v>
      </c>
      <c r="AD34" s="14">
        <f t="shared" si="5"/>
        <v>-45047.619047600005</v>
      </c>
      <c r="AE34" s="13">
        <f t="shared" si="6"/>
        <v>-0.26380368098155271</v>
      </c>
      <c r="AG34" s="16"/>
      <c r="AH34" s="15"/>
      <c r="AJ34" s="14"/>
      <c r="AL34" s="14"/>
      <c r="AM34" s="13"/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 t="s">
        <v>6</v>
      </c>
      <c r="S35" s="12">
        <v>1</v>
      </c>
      <c r="T35" s="14">
        <v>8857.1428571399993</v>
      </c>
      <c r="U35" s="12">
        <f t="shared" si="2"/>
        <v>-2</v>
      </c>
      <c r="V35" s="14">
        <f t="shared" si="3"/>
        <v>485.71428571999786</v>
      </c>
      <c r="W35" s="13">
        <f t="shared" si="4"/>
        <v>5.8020477816441395E-2</v>
      </c>
      <c r="Y35" s="16"/>
      <c r="Z35" s="15" t="s">
        <v>6</v>
      </c>
      <c r="AA35" s="12">
        <v>2</v>
      </c>
      <c r="AB35" s="14">
        <v>5314.2857142800003</v>
      </c>
      <c r="AC35" s="12">
        <f t="shared" si="5"/>
        <v>1</v>
      </c>
      <c r="AD35" s="14">
        <f t="shared" si="5"/>
        <v>-3542.8571428599989</v>
      </c>
      <c r="AE35" s="13">
        <f t="shared" si="6"/>
        <v>-0.40000000000045155</v>
      </c>
      <c r="AG35" s="16"/>
      <c r="AH35" s="15"/>
      <c r="AJ35" s="14"/>
      <c r="AL35" s="14"/>
      <c r="AM35" s="13"/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 t="s">
        <v>5</v>
      </c>
      <c r="S36" s="12">
        <v>2</v>
      </c>
      <c r="T36" s="14">
        <v>8080</v>
      </c>
      <c r="U36" s="12">
        <f t="shared" si="2"/>
        <v>0</v>
      </c>
      <c r="V36" s="14">
        <f t="shared" si="3"/>
        <v>-4600</v>
      </c>
      <c r="W36" s="13">
        <f t="shared" si="4"/>
        <v>-0.36277602523659308</v>
      </c>
      <c r="Y36" s="16"/>
      <c r="Z36" s="15" t="s">
        <v>5</v>
      </c>
      <c r="AA36" s="12">
        <v>1</v>
      </c>
      <c r="AB36" s="14">
        <v>2590</v>
      </c>
      <c r="AC36" s="12">
        <f t="shared" si="5"/>
        <v>-1</v>
      </c>
      <c r="AD36" s="14">
        <f t="shared" si="5"/>
        <v>-5490</v>
      </c>
      <c r="AE36" s="13">
        <f t="shared" si="6"/>
        <v>-0.6794554455445545</v>
      </c>
      <c r="AG36" s="16"/>
      <c r="AH36" s="15"/>
      <c r="AJ36" s="14"/>
      <c r="AL36" s="14"/>
      <c r="AM36" s="13"/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 t="s">
        <v>4</v>
      </c>
      <c r="S37" s="12">
        <v>1</v>
      </c>
      <c r="T37" s="14">
        <v>31333.33333333</v>
      </c>
      <c r="U37" s="12">
        <f t="shared" si="2"/>
        <v>0</v>
      </c>
      <c r="V37" s="14">
        <f t="shared" si="3"/>
        <v>2193.3333333299997</v>
      </c>
      <c r="W37" s="13">
        <f t="shared" si="4"/>
        <v>7.5268817204186669E-2</v>
      </c>
      <c r="Y37" s="16"/>
      <c r="Z37" s="15" t="s">
        <v>4</v>
      </c>
      <c r="AA37" s="12">
        <v>2</v>
      </c>
      <c r="AB37" s="14">
        <v>161714.28571427002</v>
      </c>
      <c r="AC37" s="12">
        <f t="shared" si="5"/>
        <v>1</v>
      </c>
      <c r="AD37" s="14">
        <f t="shared" si="5"/>
        <v>130380.95238094003</v>
      </c>
      <c r="AE37" s="13">
        <f t="shared" si="6"/>
        <v>4.161094224924061</v>
      </c>
      <c r="AG37" s="16"/>
      <c r="AH37" s="15"/>
      <c r="AJ37" s="14"/>
      <c r="AL37" s="14"/>
      <c r="AM37" s="13"/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 t="s">
        <v>3</v>
      </c>
      <c r="S38" s="12">
        <v>12</v>
      </c>
      <c r="T38" s="14">
        <v>188666.66666664</v>
      </c>
      <c r="U38" s="12">
        <f t="shared" si="2"/>
        <v>4</v>
      </c>
      <c r="V38" s="14">
        <f t="shared" si="3"/>
        <v>11809.523809520004</v>
      </c>
      <c r="W38" s="13">
        <f t="shared" si="4"/>
        <v>6.6774367259007039E-2</v>
      </c>
      <c r="Y38" s="16"/>
      <c r="Z38" s="15" t="s">
        <v>3</v>
      </c>
      <c r="AA38" s="12">
        <v>18</v>
      </c>
      <c r="AB38" s="14">
        <v>312095.23809518997</v>
      </c>
      <c r="AC38" s="12">
        <f t="shared" si="5"/>
        <v>6</v>
      </c>
      <c r="AD38" s="14">
        <f t="shared" si="5"/>
        <v>123428.57142854997</v>
      </c>
      <c r="AE38" s="13">
        <f t="shared" si="6"/>
        <v>0.65421504290760113</v>
      </c>
      <c r="AG38" s="16"/>
      <c r="AH38" s="15"/>
      <c r="AJ38" s="14"/>
      <c r="AL38" s="14"/>
      <c r="AM38" s="13"/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 t="s">
        <v>2</v>
      </c>
      <c r="S39" s="12">
        <v>37</v>
      </c>
      <c r="T39" s="14">
        <v>1433619.0476190101</v>
      </c>
      <c r="U39" s="12">
        <f t="shared" si="2"/>
        <v>3</v>
      </c>
      <c r="V39" s="14">
        <f t="shared" si="3"/>
        <v>175904.76190478005</v>
      </c>
      <c r="W39" s="13">
        <f t="shared" si="4"/>
        <v>0.1398606693927209</v>
      </c>
      <c r="Y39" s="16"/>
      <c r="Z39" s="15" t="s">
        <v>2</v>
      </c>
      <c r="AA39" s="12">
        <v>30</v>
      </c>
      <c r="AB39" s="14">
        <v>1149523.8095237801</v>
      </c>
      <c r="AC39" s="12">
        <f t="shared" si="5"/>
        <v>-7</v>
      </c>
      <c r="AD39" s="14">
        <f t="shared" si="5"/>
        <v>-284095.23809522996</v>
      </c>
      <c r="AE39" s="13">
        <f t="shared" si="6"/>
        <v>-0.19816647844283483</v>
      </c>
      <c r="AG39" s="16"/>
      <c r="AH39" s="15"/>
      <c r="AJ39" s="14"/>
      <c r="AL39" s="14"/>
      <c r="AM39" s="13"/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 t="s">
        <v>12</v>
      </c>
      <c r="R40" s="11"/>
      <c r="S40" s="10">
        <v>304</v>
      </c>
      <c r="T40" s="9">
        <v>2161797.1428564601</v>
      </c>
      <c r="U40" s="29">
        <f t="shared" si="2"/>
        <v>65</v>
      </c>
      <c r="V40" s="30">
        <f t="shared" si="3"/>
        <v>304279.04761898005</v>
      </c>
      <c r="W40" s="31">
        <f t="shared" si="4"/>
        <v>0.16380946618992617</v>
      </c>
      <c r="Y40" s="11" t="s">
        <v>12</v>
      </c>
      <c r="Z40" s="11"/>
      <c r="AA40" s="10">
        <v>326</v>
      </c>
      <c r="AB40" s="9">
        <v>2226255.7142849602</v>
      </c>
      <c r="AC40" s="29">
        <f t="shared" si="5"/>
        <v>22</v>
      </c>
      <c r="AD40" s="30">
        <f t="shared" si="5"/>
        <v>64458.571428500116</v>
      </c>
      <c r="AE40" s="31">
        <f t="shared" si="6"/>
        <v>2.9817123055000755E-2</v>
      </c>
      <c r="AG40" s="11"/>
      <c r="AH40" s="11"/>
      <c r="AI40" s="10"/>
      <c r="AJ40" s="9"/>
      <c r="AK40" s="10"/>
      <c r="AL40" s="9"/>
      <c r="AM40" s="8"/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>
        <v>81</v>
      </c>
      <c r="R41" s="34" t="s">
        <v>20</v>
      </c>
      <c r="S41" s="1">
        <v>1505</v>
      </c>
      <c r="T41" s="37"/>
      <c r="U41" s="12">
        <f t="shared" si="2"/>
        <v>156</v>
      </c>
      <c r="V41" s="14">
        <f t="shared" si="3"/>
        <v>0</v>
      </c>
      <c r="W41" s="13" t="e">
        <f t="shared" si="4"/>
        <v>#DIV/0!</v>
      </c>
      <c r="Y41" s="16">
        <v>81</v>
      </c>
      <c r="Z41" s="34" t="s">
        <v>20</v>
      </c>
      <c r="AB41" s="37"/>
      <c r="AC41" s="12">
        <f t="shared" si="5"/>
        <v>-1505</v>
      </c>
      <c r="AD41" s="14">
        <f t="shared" si="5"/>
        <v>0</v>
      </c>
      <c r="AE41" s="13" t="e">
        <f t="shared" si="6"/>
        <v>#DIV/0!</v>
      </c>
      <c r="AG41" s="16"/>
      <c r="AH41" s="34"/>
      <c r="AJ41" s="37"/>
      <c r="AK41" s="12"/>
      <c r="AL41" s="14"/>
      <c r="AM41" s="13"/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 t="s">
        <v>21</v>
      </c>
      <c r="S42" s="1">
        <v>8</v>
      </c>
      <c r="T42" s="37"/>
      <c r="U42" s="12">
        <f t="shared" si="2"/>
        <v>-1</v>
      </c>
      <c r="V42" s="14">
        <f t="shared" si="3"/>
        <v>0</v>
      </c>
      <c r="W42" s="13" t="e">
        <f t="shared" si="4"/>
        <v>#DIV/0!</v>
      </c>
      <c r="Y42" s="16"/>
      <c r="Z42" s="34" t="s">
        <v>21</v>
      </c>
      <c r="AB42" s="37"/>
      <c r="AC42" s="12">
        <f t="shared" si="5"/>
        <v>-8</v>
      </c>
      <c r="AD42" s="14">
        <f t="shared" si="5"/>
        <v>0</v>
      </c>
      <c r="AE42" s="13" t="e">
        <f t="shared" si="6"/>
        <v>#DIV/0!</v>
      </c>
      <c r="AG42" s="16"/>
      <c r="AH42" s="34"/>
      <c r="AJ42" s="37"/>
      <c r="AK42" s="12"/>
      <c r="AL42" s="14"/>
      <c r="AM42" s="13"/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 t="s">
        <v>10</v>
      </c>
      <c r="S43" s="12">
        <v>111</v>
      </c>
      <c r="T43" s="14">
        <v>102842.85714249001</v>
      </c>
      <c r="U43" s="12">
        <f t="shared" si="2"/>
        <v>7</v>
      </c>
      <c r="V43" s="14">
        <f t="shared" si="3"/>
        <v>11217.142857189989</v>
      </c>
      <c r="W43" s="13">
        <f t="shared" si="4"/>
        <v>0.12242352427684824</v>
      </c>
      <c r="Y43" s="16"/>
      <c r="Z43" s="15" t="s">
        <v>10</v>
      </c>
      <c r="AA43" s="12">
        <v>100</v>
      </c>
      <c r="AB43" s="14">
        <v>91869.523809129969</v>
      </c>
      <c r="AC43" s="12">
        <f t="shared" si="5"/>
        <v>-11</v>
      </c>
      <c r="AD43" s="14">
        <f t="shared" si="5"/>
        <v>-10973.333333360046</v>
      </c>
      <c r="AE43" s="13">
        <f t="shared" si="6"/>
        <v>-0.10670000463091336</v>
      </c>
      <c r="AG43" s="16"/>
      <c r="AH43" s="15"/>
      <c r="AJ43" s="14"/>
      <c r="AL43" s="14"/>
      <c r="AM43" s="13"/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 t="s">
        <v>9</v>
      </c>
      <c r="S44" s="12">
        <v>73</v>
      </c>
      <c r="T44" s="14">
        <v>69238.09523798</v>
      </c>
      <c r="U44" s="12">
        <f t="shared" si="2"/>
        <v>-10</v>
      </c>
      <c r="V44" s="14">
        <f t="shared" si="3"/>
        <v>-24956.190476189979</v>
      </c>
      <c r="W44" s="13">
        <f t="shared" si="4"/>
        <v>-0.26494378387154893</v>
      </c>
      <c r="Y44" s="16"/>
      <c r="Z44" s="15" t="s">
        <v>9</v>
      </c>
      <c r="AA44" s="12">
        <v>69</v>
      </c>
      <c r="AB44" s="14">
        <v>61968.57142848002</v>
      </c>
      <c r="AC44" s="12">
        <f t="shared" si="5"/>
        <v>-4</v>
      </c>
      <c r="AD44" s="14">
        <f t="shared" si="5"/>
        <v>-7269.5238094999804</v>
      </c>
      <c r="AE44" s="13">
        <f t="shared" si="6"/>
        <v>-0.10499312242073842</v>
      </c>
      <c r="AG44" s="16"/>
      <c r="AH44" s="15"/>
      <c r="AJ44" s="14"/>
      <c r="AL44" s="14"/>
      <c r="AM44" s="13"/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 t="s">
        <v>8</v>
      </c>
      <c r="S45" s="12">
        <v>10</v>
      </c>
      <c r="T45" s="14">
        <v>75619.047619040008</v>
      </c>
      <c r="U45" s="12">
        <f t="shared" si="2"/>
        <v>-7</v>
      </c>
      <c r="V45" s="14">
        <f t="shared" si="3"/>
        <v>-27076.190476179996</v>
      </c>
      <c r="W45" s="13">
        <f t="shared" si="4"/>
        <v>-0.2636557544282111</v>
      </c>
      <c r="Y45" s="16"/>
      <c r="Z45" s="15" t="s">
        <v>8</v>
      </c>
      <c r="AA45" s="12">
        <v>16</v>
      </c>
      <c r="AB45" s="14">
        <v>104419.04761903</v>
      </c>
      <c r="AC45" s="12">
        <f t="shared" si="5"/>
        <v>6</v>
      </c>
      <c r="AD45" s="14">
        <f t="shared" si="5"/>
        <v>28799.999999989988</v>
      </c>
      <c r="AE45" s="13">
        <f t="shared" si="6"/>
        <v>0.38085642317370949</v>
      </c>
      <c r="AG45" s="16"/>
      <c r="AH45" s="15"/>
      <c r="AJ45" s="14"/>
      <c r="AL45" s="14"/>
      <c r="AM45" s="13"/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 t="s">
        <v>7</v>
      </c>
      <c r="S46" s="12">
        <v>15</v>
      </c>
      <c r="T46" s="14">
        <v>170952.38095232999</v>
      </c>
      <c r="U46" s="12">
        <f t="shared" si="2"/>
        <v>4</v>
      </c>
      <c r="V46" s="14">
        <f t="shared" si="3"/>
        <v>41047.619047609987</v>
      </c>
      <c r="W46" s="13">
        <f t="shared" si="4"/>
        <v>0.3159824046921143</v>
      </c>
      <c r="Y46" s="16"/>
      <c r="Z46" s="15" t="s">
        <v>7</v>
      </c>
      <c r="AA46" s="12">
        <v>12</v>
      </c>
      <c r="AB46" s="14">
        <v>145047.61904759001</v>
      </c>
      <c r="AC46" s="12">
        <f t="shared" si="5"/>
        <v>-3</v>
      </c>
      <c r="AD46" s="14">
        <f t="shared" si="5"/>
        <v>-25904.761904739978</v>
      </c>
      <c r="AE46" s="13">
        <f t="shared" si="6"/>
        <v>-0.15153203342610075</v>
      </c>
      <c r="AG46" s="16"/>
      <c r="AH46" s="15"/>
      <c r="AJ46" s="14"/>
      <c r="AL46" s="14"/>
      <c r="AM46" s="13"/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 t="s">
        <v>6</v>
      </c>
      <c r="S47" s="12">
        <v>1</v>
      </c>
      <c r="T47" s="14">
        <v>2657.1428571400002</v>
      </c>
      <c r="U47" s="12">
        <f t="shared" si="2"/>
        <v>1</v>
      </c>
      <c r="V47" s="14">
        <f t="shared" si="3"/>
        <v>2657.1428571400002</v>
      </c>
      <c r="W47" s="13" t="e">
        <f t="shared" si="4"/>
        <v>#DIV/0!</v>
      </c>
      <c r="Y47" s="16"/>
      <c r="Z47" s="15" t="s">
        <v>6</v>
      </c>
      <c r="AA47" s="12">
        <v>3</v>
      </c>
      <c r="AB47" s="14">
        <v>8571.4285714200014</v>
      </c>
      <c r="AC47" s="12">
        <f t="shared" si="5"/>
        <v>2</v>
      </c>
      <c r="AD47" s="14">
        <f t="shared" si="5"/>
        <v>5914.2857142800012</v>
      </c>
      <c r="AE47" s="13">
        <f t="shared" si="6"/>
        <v>2.2258064516131464</v>
      </c>
      <c r="AG47" s="16"/>
      <c r="AH47" s="15"/>
      <c r="AJ47" s="14"/>
      <c r="AL47" s="14"/>
      <c r="AM47" s="13"/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 t="s">
        <v>5</v>
      </c>
      <c r="S48" s="12">
        <v>2</v>
      </c>
      <c r="T48" s="14">
        <v>14580</v>
      </c>
      <c r="U48" s="12">
        <f t="shared" si="2"/>
        <v>1</v>
      </c>
      <c r="V48" s="14">
        <f t="shared" si="3"/>
        <v>8190</v>
      </c>
      <c r="W48" s="13">
        <f t="shared" si="4"/>
        <v>1.2816901408450705</v>
      </c>
      <c r="Y48" s="16"/>
      <c r="Z48" s="15" t="s">
        <v>5</v>
      </c>
      <c r="AA48" s="12">
        <v>5</v>
      </c>
      <c r="AB48" s="14">
        <v>18350</v>
      </c>
      <c r="AC48" s="12">
        <f t="shared" si="5"/>
        <v>3</v>
      </c>
      <c r="AD48" s="14">
        <f t="shared" si="5"/>
        <v>3770</v>
      </c>
      <c r="AE48" s="13">
        <f t="shared" si="6"/>
        <v>0.25857338820301784</v>
      </c>
      <c r="AG48" s="16"/>
      <c r="AH48" s="15"/>
      <c r="AJ48" s="14"/>
      <c r="AL48" s="14"/>
      <c r="AM48" s="13"/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 t="s">
        <v>4</v>
      </c>
      <c r="S49" s="12">
        <v>4</v>
      </c>
      <c r="T49" s="14">
        <v>145539.99999998999</v>
      </c>
      <c r="U49" s="12">
        <f t="shared" si="2"/>
        <v>2</v>
      </c>
      <c r="V49" s="14">
        <f t="shared" si="3"/>
        <v>50492.380952379986</v>
      </c>
      <c r="W49" s="13">
        <f t="shared" si="4"/>
        <v>0.53123246492990006</v>
      </c>
      <c r="Y49" s="16"/>
      <c r="Z49" s="15" t="s">
        <v>4</v>
      </c>
      <c r="AA49" s="12">
        <v>2</v>
      </c>
      <c r="AB49" s="14">
        <v>79333.333333329996</v>
      </c>
      <c r="AC49" s="12">
        <f t="shared" si="5"/>
        <v>-2</v>
      </c>
      <c r="AD49" s="14">
        <f t="shared" si="5"/>
        <v>-66206.666666659992</v>
      </c>
      <c r="AE49" s="13">
        <f t="shared" si="6"/>
        <v>-0.45490357748154836</v>
      </c>
      <c r="AG49" s="16"/>
      <c r="AH49" s="15"/>
      <c r="AJ49" s="14"/>
      <c r="AL49" s="14"/>
      <c r="AM49" s="13"/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 t="s">
        <v>3</v>
      </c>
      <c r="S50" s="12">
        <v>14</v>
      </c>
      <c r="T50" s="14">
        <v>243238.09523807</v>
      </c>
      <c r="U50" s="12">
        <f t="shared" si="2"/>
        <v>-14</v>
      </c>
      <c r="V50" s="14">
        <f t="shared" si="3"/>
        <v>-145523.80952378997</v>
      </c>
      <c r="W50" s="13">
        <f t="shared" si="4"/>
        <v>-0.37432631063203592</v>
      </c>
      <c r="Y50" s="16"/>
      <c r="Z50" s="15" t="s">
        <v>3</v>
      </c>
      <c r="AA50" s="12">
        <v>12</v>
      </c>
      <c r="AB50" s="14">
        <v>210380.95238090001</v>
      </c>
      <c r="AC50" s="12">
        <f t="shared" si="5"/>
        <v>-2</v>
      </c>
      <c r="AD50" s="14">
        <f t="shared" si="5"/>
        <v>-32857.142857169994</v>
      </c>
      <c r="AE50" s="13">
        <f t="shared" si="6"/>
        <v>-0.1350822239625375</v>
      </c>
      <c r="AG50" s="16"/>
      <c r="AH50" s="15"/>
      <c r="AJ50" s="14"/>
      <c r="AL50" s="14"/>
      <c r="AM50" s="13"/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 t="s">
        <v>2</v>
      </c>
      <c r="S51" s="12">
        <v>32</v>
      </c>
      <c r="T51" s="14">
        <v>1259809.52380949</v>
      </c>
      <c r="U51" s="12">
        <f t="shared" si="2"/>
        <v>-1</v>
      </c>
      <c r="V51" s="14">
        <f t="shared" si="3"/>
        <v>48666.666666680016</v>
      </c>
      <c r="W51" s="13">
        <f t="shared" si="4"/>
        <v>4.0182432963761901E-2</v>
      </c>
      <c r="Y51" s="16"/>
      <c r="Z51" s="15" t="s">
        <v>2</v>
      </c>
      <c r="AA51" s="12">
        <v>23</v>
      </c>
      <c r="AB51" s="14">
        <v>832095.23809519992</v>
      </c>
      <c r="AC51" s="12">
        <f t="shared" si="5"/>
        <v>-9</v>
      </c>
      <c r="AD51" s="14">
        <f t="shared" si="5"/>
        <v>-427714.2857142901</v>
      </c>
      <c r="AE51" s="13">
        <f t="shared" si="6"/>
        <v>-0.33950710613850671</v>
      </c>
      <c r="AG51" s="16"/>
      <c r="AH51" s="15"/>
      <c r="AJ51" s="14"/>
      <c r="AL51" s="14"/>
      <c r="AM51" s="13"/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 t="s">
        <v>11</v>
      </c>
      <c r="R52" s="11"/>
      <c r="S52" s="10">
        <v>262</v>
      </c>
      <c r="T52" s="9">
        <v>2084477.1428565299</v>
      </c>
      <c r="U52" s="29">
        <f t="shared" si="2"/>
        <v>-17</v>
      </c>
      <c r="V52" s="30">
        <f t="shared" si="3"/>
        <v>-35285.238095160108</v>
      </c>
      <c r="W52" s="31">
        <f t="shared" si="4"/>
        <v>-1.6645845974169248E-2</v>
      </c>
      <c r="Y52" s="11" t="s">
        <v>11</v>
      </c>
      <c r="Z52" s="11"/>
      <c r="AA52" s="10">
        <v>242</v>
      </c>
      <c r="AB52" s="9">
        <v>1552035.7142850799</v>
      </c>
      <c r="AC52" s="29">
        <f t="shared" si="5"/>
        <v>-20</v>
      </c>
      <c r="AD52" s="30">
        <f t="shared" si="5"/>
        <v>-532441.42857145006</v>
      </c>
      <c r="AE52" s="31">
        <f t="shared" si="6"/>
        <v>-0.25543164644242722</v>
      </c>
      <c r="AG52" s="11"/>
      <c r="AH52" s="11"/>
      <c r="AI52" s="10"/>
      <c r="AJ52" s="9"/>
      <c r="AK52" s="10"/>
      <c r="AL52" s="9"/>
      <c r="AM52" s="8"/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>
        <v>84</v>
      </c>
      <c r="R53" s="34" t="s">
        <v>20</v>
      </c>
      <c r="T53" s="37"/>
      <c r="U53" s="12">
        <f t="shared" si="2"/>
        <v>0</v>
      </c>
      <c r="V53" s="14">
        <f t="shared" si="3"/>
        <v>0</v>
      </c>
      <c r="W53" s="13" t="e">
        <f t="shared" si="4"/>
        <v>#DIV/0!</v>
      </c>
      <c r="Y53" s="16">
        <v>84</v>
      </c>
      <c r="Z53" s="34" t="s">
        <v>20</v>
      </c>
      <c r="AB53" s="37"/>
      <c r="AC53" s="12">
        <f t="shared" si="5"/>
        <v>0</v>
      </c>
      <c r="AD53" s="14">
        <f t="shared" si="5"/>
        <v>0</v>
      </c>
      <c r="AE53" s="13" t="e">
        <f t="shared" si="6"/>
        <v>#DIV/0!</v>
      </c>
      <c r="AG53" s="16"/>
      <c r="AH53" s="34"/>
      <c r="AJ53" s="37"/>
      <c r="AK53" s="12"/>
      <c r="AL53" s="14"/>
      <c r="AM53" s="13"/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 t="s">
        <v>21</v>
      </c>
      <c r="S54" s="1">
        <v>6</v>
      </c>
      <c r="T54" s="37"/>
      <c r="U54" s="12">
        <f t="shared" si="2"/>
        <v>4</v>
      </c>
      <c r="V54" s="14">
        <f t="shared" si="3"/>
        <v>0</v>
      </c>
      <c r="W54" s="13" t="e">
        <f t="shared" si="4"/>
        <v>#DIV/0!</v>
      </c>
      <c r="Y54" s="16"/>
      <c r="Z54" s="34" t="s">
        <v>21</v>
      </c>
      <c r="AB54" s="37"/>
      <c r="AC54" s="12">
        <f t="shared" si="5"/>
        <v>-6</v>
      </c>
      <c r="AD54" s="14">
        <f t="shared" si="5"/>
        <v>0</v>
      </c>
      <c r="AE54" s="13" t="e">
        <f t="shared" si="6"/>
        <v>#DIV/0!</v>
      </c>
      <c r="AG54" s="16"/>
      <c r="AH54" s="34"/>
      <c r="AJ54" s="37"/>
      <c r="AK54" s="12"/>
      <c r="AL54" s="14"/>
      <c r="AM54" s="13"/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 t="s">
        <v>10</v>
      </c>
      <c r="S55" s="12">
        <v>118</v>
      </c>
      <c r="T55" s="14">
        <v>106974.28571380995</v>
      </c>
      <c r="U55" s="12">
        <f t="shared" si="2"/>
        <v>-4</v>
      </c>
      <c r="V55" s="14">
        <f t="shared" si="3"/>
        <v>-19591.428571419994</v>
      </c>
      <c r="W55" s="13">
        <f t="shared" si="4"/>
        <v>-0.15479254142451665</v>
      </c>
      <c r="Y55" s="16"/>
      <c r="Z55" s="15" t="s">
        <v>10</v>
      </c>
      <c r="AA55" s="12">
        <v>166</v>
      </c>
      <c r="AB55" s="14">
        <v>154430.47618988011</v>
      </c>
      <c r="AC55" s="12">
        <f t="shared" si="5"/>
        <v>48</v>
      </c>
      <c r="AD55" s="14">
        <f t="shared" si="5"/>
        <v>47456.190476070158</v>
      </c>
      <c r="AE55" s="13">
        <f t="shared" si="6"/>
        <v>0.44362241037094163</v>
      </c>
      <c r="AG55" s="16"/>
      <c r="AH55" s="15"/>
      <c r="AJ55" s="14"/>
      <c r="AL55" s="14"/>
      <c r="AM55" s="13"/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 t="s">
        <v>9</v>
      </c>
      <c r="S56" s="12">
        <v>80</v>
      </c>
      <c r="T56" s="14">
        <v>66952.380952310006</v>
      </c>
      <c r="U56" s="12">
        <f t="shared" si="2"/>
        <v>35</v>
      </c>
      <c r="V56" s="14">
        <f t="shared" si="3"/>
        <v>6904.7619047900007</v>
      </c>
      <c r="W56" s="13">
        <f t="shared" si="4"/>
        <v>0.11498810467948388</v>
      </c>
      <c r="Y56" s="16"/>
      <c r="Z56" s="15" t="s">
        <v>9</v>
      </c>
      <c r="AA56" s="12">
        <v>72</v>
      </c>
      <c r="AB56" s="14">
        <v>74877.142857059996</v>
      </c>
      <c r="AC56" s="12">
        <f t="shared" si="5"/>
        <v>-8</v>
      </c>
      <c r="AD56" s="14">
        <f t="shared" si="5"/>
        <v>7924.7619047499902</v>
      </c>
      <c r="AE56" s="13">
        <f t="shared" si="6"/>
        <v>0.11836415362725899</v>
      </c>
      <c r="AG56" s="16"/>
      <c r="AH56" s="15"/>
      <c r="AJ56" s="14"/>
      <c r="AL56" s="14"/>
      <c r="AM56" s="13"/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 t="s">
        <v>8</v>
      </c>
      <c r="S57" s="12">
        <v>22</v>
      </c>
      <c r="T57" s="14">
        <v>136577.14285713001</v>
      </c>
      <c r="U57" s="12">
        <f t="shared" si="2"/>
        <v>7</v>
      </c>
      <c r="V57" s="14">
        <f t="shared" si="3"/>
        <v>45291.428571420009</v>
      </c>
      <c r="W57" s="13">
        <f t="shared" si="4"/>
        <v>0.49615023474171355</v>
      </c>
      <c r="Y57" s="16"/>
      <c r="Z57" s="15" t="s">
        <v>8</v>
      </c>
      <c r="AA57" s="12">
        <v>24</v>
      </c>
      <c r="AB57" s="14">
        <v>160819.04761903</v>
      </c>
      <c r="AC57" s="12">
        <f t="shared" si="5"/>
        <v>2</v>
      </c>
      <c r="AD57" s="14">
        <f t="shared" si="5"/>
        <v>24241.90476189999</v>
      </c>
      <c r="AE57" s="13">
        <f t="shared" si="6"/>
        <v>0.17749606013693559</v>
      </c>
      <c r="AG57" s="16"/>
      <c r="AH57" s="15"/>
      <c r="AJ57" s="14"/>
      <c r="AL57" s="14"/>
      <c r="AM57" s="13"/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 t="s">
        <v>7</v>
      </c>
      <c r="S58" s="12">
        <v>7</v>
      </c>
      <c r="T58" s="14">
        <v>95047.619047589993</v>
      </c>
      <c r="U58" s="12">
        <f t="shared" si="2"/>
        <v>-7</v>
      </c>
      <c r="V58" s="14">
        <f t="shared" si="3"/>
        <v>-86476.190476160045</v>
      </c>
      <c r="W58" s="13">
        <f t="shared" si="4"/>
        <v>-0.47639034627490978</v>
      </c>
      <c r="Y58" s="16"/>
      <c r="Z58" s="15" t="s">
        <v>7</v>
      </c>
      <c r="AA58" s="12">
        <v>10</v>
      </c>
      <c r="AB58" s="14">
        <v>114285.71428569</v>
      </c>
      <c r="AC58" s="12">
        <f t="shared" si="5"/>
        <v>3</v>
      </c>
      <c r="AD58" s="14">
        <f t="shared" si="5"/>
        <v>19238.09523810001</v>
      </c>
      <c r="AE58" s="13">
        <f t="shared" si="6"/>
        <v>0.20240480961935056</v>
      </c>
      <c r="AG58" s="16"/>
      <c r="AH58" s="15"/>
      <c r="AJ58" s="14"/>
      <c r="AL58" s="14"/>
      <c r="AM58" s="13"/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2"/>
        <v>1</v>
      </c>
      <c r="V59" s="14">
        <f t="shared" si="3"/>
        <v>2857.1428571400002</v>
      </c>
      <c r="W59" s="13" t="e">
        <f t="shared" si="4"/>
        <v>#DIV/0!</v>
      </c>
      <c r="Y59" s="16"/>
      <c r="Z59" s="15" t="s">
        <v>6</v>
      </c>
      <c r="AB59" s="14"/>
      <c r="AC59" s="12">
        <f t="shared" si="5"/>
        <v>-1</v>
      </c>
      <c r="AD59" s="14">
        <f t="shared" si="5"/>
        <v>-2857.1428571400002</v>
      </c>
      <c r="AE59" s="13">
        <f t="shared" si="6"/>
        <v>-1</v>
      </c>
      <c r="AG59" s="16"/>
      <c r="AH59" s="15"/>
      <c r="AJ59" s="14"/>
      <c r="AL59" s="14"/>
      <c r="AM59" s="13"/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 t="s">
        <v>5</v>
      </c>
      <c r="S60" s="12">
        <v>0</v>
      </c>
      <c r="T60" s="14">
        <v>0</v>
      </c>
      <c r="U60" s="12">
        <f t="shared" si="2"/>
        <v>-3</v>
      </c>
      <c r="V60" s="14">
        <f t="shared" si="3"/>
        <v>-19070</v>
      </c>
      <c r="W60" s="13">
        <f t="shared" si="4"/>
        <v>-1</v>
      </c>
      <c r="Y60" s="16"/>
      <c r="Z60" s="15" t="s">
        <v>5</v>
      </c>
      <c r="AA60" s="12">
        <v>1</v>
      </c>
      <c r="AB60" s="14">
        <v>4890</v>
      </c>
      <c r="AC60" s="12">
        <f t="shared" si="5"/>
        <v>1</v>
      </c>
      <c r="AD60" s="14">
        <f t="shared" si="5"/>
        <v>4890</v>
      </c>
      <c r="AE60" s="13" t="e">
        <f t="shared" si="6"/>
        <v>#DIV/0!</v>
      </c>
      <c r="AG60" s="16"/>
      <c r="AH60" s="15"/>
      <c r="AJ60" s="14"/>
      <c r="AL60" s="14"/>
      <c r="AM60" s="13"/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 t="s">
        <v>4</v>
      </c>
      <c r="S61" s="12">
        <v>3</v>
      </c>
      <c r="T61" s="14">
        <v>133047.61904761</v>
      </c>
      <c r="U61" s="12">
        <f t="shared" si="2"/>
        <v>0</v>
      </c>
      <c r="V61" s="14">
        <f t="shared" si="3"/>
        <v>39995.238095230001</v>
      </c>
      <c r="W61" s="13">
        <f t="shared" si="4"/>
        <v>0.42981423673294028</v>
      </c>
      <c r="Y61" s="16"/>
      <c r="Z61" s="15" t="s">
        <v>4</v>
      </c>
      <c r="AA61" s="12">
        <v>2</v>
      </c>
      <c r="AB61" s="14">
        <v>75999.999999990003</v>
      </c>
      <c r="AC61" s="12">
        <f t="shared" si="5"/>
        <v>-1</v>
      </c>
      <c r="AD61" s="14">
        <f t="shared" si="5"/>
        <v>-57047.619047619999</v>
      </c>
      <c r="AE61" s="13">
        <f t="shared" si="6"/>
        <v>-0.42877594846102413</v>
      </c>
      <c r="AG61" s="16"/>
      <c r="AH61" s="15"/>
      <c r="AJ61" s="14"/>
      <c r="AL61" s="14"/>
      <c r="AM61" s="13"/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 t="s">
        <v>3</v>
      </c>
      <c r="S62" s="12">
        <v>11</v>
      </c>
      <c r="T62" s="14">
        <v>149428.57142853999</v>
      </c>
      <c r="U62" s="12">
        <f t="shared" si="2"/>
        <v>-3</v>
      </c>
      <c r="V62" s="14">
        <f t="shared" si="3"/>
        <v>-66857.142857130006</v>
      </c>
      <c r="W62" s="13">
        <f t="shared" si="4"/>
        <v>-0.30911492734478591</v>
      </c>
      <c r="Y62" s="16"/>
      <c r="Z62" s="15" t="s">
        <v>3</v>
      </c>
      <c r="AA62" s="12">
        <v>15</v>
      </c>
      <c r="AB62" s="14">
        <v>280476.19047614001</v>
      </c>
      <c r="AC62" s="12">
        <f t="shared" si="5"/>
        <v>4</v>
      </c>
      <c r="AD62" s="14">
        <f t="shared" si="5"/>
        <v>131047.61904760002</v>
      </c>
      <c r="AE62" s="13">
        <f t="shared" si="6"/>
        <v>0.87699171446787105</v>
      </c>
      <c r="AG62" s="16"/>
      <c r="AH62" s="15"/>
      <c r="AJ62" s="14"/>
      <c r="AL62" s="14"/>
      <c r="AM62" s="13"/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 t="s">
        <v>2</v>
      </c>
      <c r="S63" s="12">
        <v>24</v>
      </c>
      <c r="T63" s="14">
        <v>923428.57142854005</v>
      </c>
      <c r="U63" s="12">
        <f t="shared" si="2"/>
        <v>-11</v>
      </c>
      <c r="V63" s="14">
        <f t="shared" si="3"/>
        <v>-290857.14285714005</v>
      </c>
      <c r="W63" s="13">
        <f t="shared" si="4"/>
        <v>-0.23952941176471032</v>
      </c>
      <c r="Y63" s="16"/>
      <c r="Z63" s="15" t="s">
        <v>2</v>
      </c>
      <c r="AA63" s="12">
        <v>66</v>
      </c>
      <c r="AB63" s="14">
        <v>2531809.52380946</v>
      </c>
      <c r="AC63" s="12">
        <f t="shared" si="5"/>
        <v>42</v>
      </c>
      <c r="AD63" s="14">
        <f t="shared" si="5"/>
        <v>1608380.9523809198</v>
      </c>
      <c r="AE63" s="13">
        <f t="shared" si="6"/>
        <v>1.7417491749175158</v>
      </c>
      <c r="AG63" s="16"/>
      <c r="AH63" s="15"/>
      <c r="AJ63" s="14"/>
      <c r="AL63" s="14"/>
      <c r="AM63" s="13"/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 t="s">
        <v>1</v>
      </c>
      <c r="R64" s="11"/>
      <c r="S64" s="10">
        <v>266</v>
      </c>
      <c r="T64" s="9">
        <v>1614313.3333326699</v>
      </c>
      <c r="U64" s="29">
        <f t="shared" si="2"/>
        <v>15</v>
      </c>
      <c r="V64" s="30">
        <f t="shared" si="3"/>
        <v>-387803.33333327016</v>
      </c>
      <c r="W64" s="31">
        <f t="shared" si="4"/>
        <v>-0.1936966710232059</v>
      </c>
      <c r="Y64" s="11" t="s">
        <v>1</v>
      </c>
      <c r="Z64" s="11"/>
      <c r="AA64" s="10">
        <v>356</v>
      </c>
      <c r="AB64" s="9">
        <v>3397588.09523725</v>
      </c>
      <c r="AC64" s="29">
        <f t="shared" si="5"/>
        <v>90</v>
      </c>
      <c r="AD64" s="30">
        <f t="shared" si="5"/>
        <v>1783274.7619045801</v>
      </c>
      <c r="AE64" s="31">
        <f t="shared" si="6"/>
        <v>1.1046645809603131</v>
      </c>
      <c r="AG64" s="11"/>
      <c r="AH64" s="11"/>
      <c r="AI64" s="10"/>
      <c r="AJ64" s="9"/>
      <c r="AK64" s="10"/>
      <c r="AL64" s="9"/>
      <c r="AM64" s="8"/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 t="s">
        <v>0</v>
      </c>
      <c r="R65" s="5"/>
      <c r="S65" s="4">
        <v>2501</v>
      </c>
      <c r="T65" s="3">
        <v>22057628.571424037</v>
      </c>
      <c r="U65" s="7">
        <f t="shared" si="2"/>
        <v>248</v>
      </c>
      <c r="V65" s="6">
        <f t="shared" si="3"/>
        <v>1974724.285713993</v>
      </c>
      <c r="W65" s="32">
        <f t="shared" si="4"/>
        <v>9.8328621080921288E-2</v>
      </c>
      <c r="Y65" s="5" t="s">
        <v>0</v>
      </c>
      <c r="Z65" s="5"/>
      <c r="AA65" s="4">
        <v>2881</v>
      </c>
      <c r="AB65" s="3">
        <v>30569097.142852049</v>
      </c>
      <c r="AC65" s="7">
        <f t="shared" si="5"/>
        <v>380</v>
      </c>
      <c r="AD65" s="6">
        <f t="shared" si="5"/>
        <v>8511468.5714280121</v>
      </c>
      <c r="AE65" s="32">
        <f t="shared" si="6"/>
        <v>0.38587414525851332</v>
      </c>
      <c r="AG65" s="5"/>
      <c r="AH65" s="5"/>
      <c r="AI65" s="4"/>
      <c r="AJ65" s="3"/>
      <c r="AK65" s="4"/>
      <c r="AL65" s="3"/>
      <c r="AM65" s="2"/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0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3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2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4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3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2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9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8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7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6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5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4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2026-01-25T12:22:39Z</dcterms:modified>
</cp:coreProperties>
</file>