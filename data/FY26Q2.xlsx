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GitHub/QBR/data/"/>
    </mc:Choice>
  </mc:AlternateContent>
  <xr:revisionPtr revIDLastSave="0" documentId="13_ncr:1_{889C1D50-9114-9D4B-BDF9-9EDA1CE2B0FB}" xr6:coauthVersionLast="47" xr6:coauthVersionMax="47" xr10:uidLastSave="{00000000-0000-0000-0000-000000000000}"/>
  <bookViews>
    <workbookView xWindow="14260" yWindow="700" windowWidth="19520" windowHeight="20160" xr2:uid="{021FACC0-6583-9245-81B4-0A7BE4D712CF}"/>
  </bookViews>
  <sheets>
    <sheet name="26Q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65" i="2" l="1"/>
  <c r="BZ65" i="2"/>
  <c r="BY65" i="2"/>
  <c r="CA64" i="2"/>
  <c r="BZ64" i="2"/>
  <c r="BY64" i="2"/>
  <c r="CA63" i="2"/>
  <c r="BZ63" i="2"/>
  <c r="BY63" i="2"/>
  <c r="CA62" i="2"/>
  <c r="BZ62" i="2"/>
  <c r="BY62" i="2"/>
  <c r="CA61" i="2"/>
  <c r="BZ61" i="2"/>
  <c r="BY61" i="2"/>
  <c r="CA60" i="2"/>
  <c r="BZ60" i="2"/>
  <c r="BY60" i="2"/>
  <c r="CA59" i="2"/>
  <c r="BZ59" i="2"/>
  <c r="BY59" i="2"/>
  <c r="CA58" i="2"/>
  <c r="BZ58" i="2"/>
  <c r="BY58" i="2"/>
  <c r="CA57" i="2"/>
  <c r="BZ57" i="2"/>
  <c r="BY57" i="2"/>
  <c r="CA56" i="2"/>
  <c r="BZ56" i="2"/>
  <c r="BY56" i="2"/>
  <c r="CA55" i="2"/>
  <c r="BZ55" i="2"/>
  <c r="BY55" i="2"/>
  <c r="CA54" i="2"/>
  <c r="BZ54" i="2"/>
  <c r="BY54" i="2"/>
  <c r="CA53" i="2"/>
  <c r="BZ53" i="2"/>
  <c r="BY53" i="2"/>
  <c r="CA52" i="2"/>
  <c r="BZ52" i="2"/>
  <c r="BY52" i="2"/>
  <c r="CA51" i="2"/>
  <c r="BZ51" i="2"/>
  <c r="BY51" i="2"/>
  <c r="CA50" i="2"/>
  <c r="BZ50" i="2"/>
  <c r="BY50" i="2"/>
  <c r="CA49" i="2"/>
  <c r="BZ49" i="2"/>
  <c r="BY49" i="2"/>
  <c r="CA48" i="2"/>
  <c r="BZ48" i="2"/>
  <c r="BY48" i="2"/>
  <c r="CA47" i="2"/>
  <c r="BZ47" i="2"/>
  <c r="BY47" i="2"/>
  <c r="CA46" i="2"/>
  <c r="BZ46" i="2"/>
  <c r="BY46" i="2"/>
  <c r="CA45" i="2"/>
  <c r="BZ45" i="2"/>
  <c r="BY45" i="2"/>
  <c r="CA44" i="2"/>
  <c r="BZ44" i="2"/>
  <c r="BY44" i="2"/>
  <c r="CA43" i="2"/>
  <c r="BZ43" i="2"/>
  <c r="BY43" i="2"/>
  <c r="CA42" i="2"/>
  <c r="BZ42" i="2"/>
  <c r="BY42" i="2"/>
  <c r="CA41" i="2"/>
  <c r="BZ41" i="2"/>
  <c r="BY41" i="2"/>
  <c r="CA40" i="2"/>
  <c r="BZ40" i="2"/>
  <c r="BY40" i="2"/>
  <c r="CA39" i="2"/>
  <c r="BZ39" i="2"/>
  <c r="BY39" i="2"/>
  <c r="CA38" i="2"/>
  <c r="BZ38" i="2"/>
  <c r="BY38" i="2"/>
  <c r="CA37" i="2"/>
  <c r="BZ37" i="2"/>
  <c r="BY37" i="2"/>
  <c r="CA36" i="2"/>
  <c r="BZ36" i="2"/>
  <c r="BY36" i="2"/>
  <c r="CA35" i="2"/>
  <c r="BZ35" i="2"/>
  <c r="BY35" i="2"/>
  <c r="CA34" i="2"/>
  <c r="BZ34" i="2"/>
  <c r="BY34" i="2"/>
  <c r="CA33" i="2"/>
  <c r="BZ33" i="2"/>
  <c r="BY33" i="2"/>
  <c r="CA32" i="2"/>
  <c r="BZ32" i="2"/>
  <c r="BY32" i="2"/>
  <c r="CA31" i="2"/>
  <c r="BZ31" i="2"/>
  <c r="BY31" i="2"/>
  <c r="CA30" i="2"/>
  <c r="BZ30" i="2"/>
  <c r="BY30" i="2"/>
  <c r="CA29" i="2"/>
  <c r="BZ29" i="2"/>
  <c r="BY29" i="2"/>
  <c r="CA28" i="2"/>
  <c r="BZ28" i="2"/>
  <c r="BY28" i="2"/>
  <c r="CA27" i="2"/>
  <c r="BZ27" i="2"/>
  <c r="BY27" i="2"/>
  <c r="CA26" i="2"/>
  <c r="BZ26" i="2"/>
  <c r="BY26" i="2"/>
  <c r="CA25" i="2"/>
  <c r="BZ25" i="2"/>
  <c r="BY25" i="2"/>
  <c r="CA24" i="2"/>
  <c r="BZ24" i="2"/>
  <c r="BY24" i="2"/>
  <c r="CA23" i="2"/>
  <c r="BZ23" i="2"/>
  <c r="BY23" i="2"/>
  <c r="CA22" i="2"/>
  <c r="BZ22" i="2"/>
  <c r="BY22" i="2"/>
  <c r="CA21" i="2"/>
  <c r="BZ21" i="2"/>
  <c r="BY21" i="2"/>
  <c r="CA20" i="2"/>
  <c r="BZ20" i="2"/>
  <c r="BY20" i="2"/>
  <c r="CA19" i="2"/>
  <c r="BZ19" i="2"/>
  <c r="BY19" i="2"/>
  <c r="CA18" i="2"/>
  <c r="BZ18" i="2"/>
  <c r="BY18" i="2"/>
  <c r="CA17" i="2"/>
  <c r="BZ17" i="2"/>
  <c r="BY17" i="2"/>
  <c r="CA16" i="2"/>
  <c r="BZ16" i="2"/>
  <c r="BY16" i="2"/>
  <c r="CA15" i="2"/>
  <c r="BZ15" i="2"/>
  <c r="BY15" i="2"/>
  <c r="CA14" i="2"/>
  <c r="BZ14" i="2"/>
  <c r="BY14" i="2"/>
  <c r="CA13" i="2"/>
  <c r="BZ13" i="2"/>
  <c r="BY13" i="2"/>
  <c r="CA12" i="2"/>
  <c r="BZ12" i="2"/>
  <c r="BY12" i="2"/>
  <c r="CA11" i="2"/>
  <c r="BZ11" i="2"/>
  <c r="BY11" i="2"/>
  <c r="CA10" i="2"/>
  <c r="BZ10" i="2"/>
  <c r="BY10" i="2"/>
  <c r="CA9" i="2"/>
  <c r="BZ9" i="2"/>
  <c r="BY9" i="2"/>
  <c r="CA8" i="2"/>
  <c r="BZ8" i="2"/>
  <c r="BY8" i="2"/>
  <c r="CA7" i="2"/>
  <c r="BZ7" i="2"/>
  <c r="BY7" i="2"/>
  <c r="CA6" i="2"/>
  <c r="BZ6" i="2"/>
  <c r="BY6" i="2"/>
  <c r="CA5" i="2"/>
  <c r="BZ5" i="2"/>
  <c r="BY5" i="2"/>
  <c r="BS65" i="2"/>
  <c r="BR65" i="2"/>
  <c r="BQ65" i="2"/>
  <c r="BS64" i="2"/>
  <c r="BR64" i="2"/>
  <c r="BQ64" i="2"/>
  <c r="BS63" i="2"/>
  <c r="BR63" i="2"/>
  <c r="BQ63" i="2"/>
  <c r="BS62" i="2"/>
  <c r="BR62" i="2"/>
  <c r="BQ62" i="2"/>
  <c r="BS61" i="2"/>
  <c r="BR61" i="2"/>
  <c r="BQ61" i="2"/>
  <c r="BS60" i="2"/>
  <c r="BR60" i="2"/>
  <c r="BQ60" i="2"/>
  <c r="BS59" i="2"/>
  <c r="BR59" i="2"/>
  <c r="BQ59" i="2"/>
  <c r="BS58" i="2"/>
  <c r="BR58" i="2"/>
  <c r="BQ58" i="2"/>
  <c r="BS57" i="2"/>
  <c r="BR57" i="2"/>
  <c r="BQ57" i="2"/>
  <c r="BS56" i="2"/>
  <c r="BR56" i="2"/>
  <c r="BQ56" i="2"/>
  <c r="BS55" i="2"/>
  <c r="BR55" i="2"/>
  <c r="BQ55" i="2"/>
  <c r="BS54" i="2"/>
  <c r="BR54" i="2"/>
  <c r="BQ54" i="2"/>
  <c r="BS53" i="2"/>
  <c r="BR53" i="2"/>
  <c r="BQ53" i="2"/>
  <c r="BS52" i="2"/>
  <c r="BR52" i="2"/>
  <c r="BQ52" i="2"/>
  <c r="BS51" i="2"/>
  <c r="BR51" i="2"/>
  <c r="BQ51" i="2"/>
  <c r="BS50" i="2"/>
  <c r="BR50" i="2"/>
  <c r="BQ50" i="2"/>
  <c r="BS49" i="2"/>
  <c r="BR49" i="2"/>
  <c r="BQ49" i="2"/>
  <c r="BS48" i="2"/>
  <c r="BR48" i="2"/>
  <c r="BQ48" i="2"/>
  <c r="BS47" i="2"/>
  <c r="BR47" i="2"/>
  <c r="BQ47" i="2"/>
  <c r="BS46" i="2"/>
  <c r="BR46" i="2"/>
  <c r="BQ46" i="2"/>
  <c r="BS45" i="2"/>
  <c r="BR45" i="2"/>
  <c r="BQ45" i="2"/>
  <c r="BS44" i="2"/>
  <c r="BR44" i="2"/>
  <c r="BQ44" i="2"/>
  <c r="BS43" i="2"/>
  <c r="BR43" i="2"/>
  <c r="BQ43" i="2"/>
  <c r="BS42" i="2"/>
  <c r="BR42" i="2"/>
  <c r="BQ42" i="2"/>
  <c r="BS41" i="2"/>
  <c r="BR41" i="2"/>
  <c r="BQ41" i="2"/>
  <c r="BS40" i="2"/>
  <c r="BR40" i="2"/>
  <c r="BQ40" i="2"/>
  <c r="BS39" i="2"/>
  <c r="BR39" i="2"/>
  <c r="BQ39" i="2"/>
  <c r="BS38" i="2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9" i="2"/>
  <c r="BR29" i="2"/>
  <c r="BQ29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9" i="2"/>
  <c r="BR9" i="2"/>
  <c r="BQ9" i="2"/>
  <c r="BS8" i="2"/>
  <c r="BR8" i="2"/>
  <c r="BQ8" i="2"/>
  <c r="BS7" i="2"/>
  <c r="BR7" i="2"/>
  <c r="BQ7" i="2"/>
  <c r="BS6" i="2"/>
  <c r="BR6" i="2"/>
  <c r="BQ6" i="2"/>
  <c r="BS5" i="2"/>
  <c r="BR5" i="2"/>
  <c r="BQ5" i="2"/>
  <c r="BC65" i="2"/>
  <c r="BB65" i="2"/>
  <c r="BA65" i="2"/>
  <c r="BC64" i="2"/>
  <c r="BB64" i="2"/>
  <c r="BA64" i="2"/>
  <c r="BC63" i="2"/>
  <c r="BB63" i="2"/>
  <c r="BA63" i="2"/>
  <c r="BC62" i="2"/>
  <c r="BB62" i="2"/>
  <c r="BA62" i="2"/>
  <c r="BC61" i="2"/>
  <c r="BB61" i="2"/>
  <c r="BA61" i="2"/>
  <c r="BC60" i="2"/>
  <c r="BB60" i="2"/>
  <c r="BA60" i="2"/>
  <c r="BC59" i="2"/>
  <c r="BB59" i="2"/>
  <c r="BA59" i="2"/>
  <c r="BC58" i="2"/>
  <c r="BB58" i="2"/>
  <c r="BA58" i="2"/>
  <c r="BC57" i="2"/>
  <c r="BB57" i="2"/>
  <c r="BA57" i="2"/>
  <c r="BC56" i="2"/>
  <c r="BB56" i="2"/>
  <c r="BA56" i="2"/>
  <c r="BC55" i="2"/>
  <c r="BB55" i="2"/>
  <c r="BA55" i="2"/>
  <c r="BC54" i="2"/>
  <c r="BB54" i="2"/>
  <c r="BA54" i="2"/>
  <c r="BC53" i="2"/>
  <c r="BB53" i="2"/>
  <c r="BA53" i="2"/>
  <c r="BC52" i="2"/>
  <c r="BB52" i="2"/>
  <c r="BA52" i="2"/>
  <c r="BC51" i="2"/>
  <c r="BB51" i="2"/>
  <c r="BA51" i="2"/>
  <c r="BC50" i="2"/>
  <c r="BB50" i="2"/>
  <c r="BA50" i="2"/>
  <c r="BC49" i="2"/>
  <c r="BB49" i="2"/>
  <c r="BA49" i="2"/>
  <c r="BC48" i="2"/>
  <c r="BB48" i="2"/>
  <c r="BA48" i="2"/>
  <c r="BC47" i="2"/>
  <c r="BB47" i="2"/>
  <c r="BA47" i="2"/>
  <c r="BC46" i="2"/>
  <c r="BB46" i="2"/>
  <c r="BA46" i="2"/>
  <c r="BC45" i="2"/>
  <c r="BB45" i="2"/>
  <c r="BA45" i="2"/>
  <c r="BC44" i="2"/>
  <c r="BB44" i="2"/>
  <c r="BA44" i="2"/>
  <c r="BC43" i="2"/>
  <c r="BB43" i="2"/>
  <c r="BA43" i="2"/>
  <c r="BC42" i="2"/>
  <c r="BB42" i="2"/>
  <c r="BA42" i="2"/>
  <c r="BC41" i="2"/>
  <c r="BB41" i="2"/>
  <c r="BA41" i="2"/>
  <c r="BC40" i="2"/>
  <c r="BB40" i="2"/>
  <c r="BA40" i="2"/>
  <c r="BC39" i="2"/>
  <c r="BB39" i="2"/>
  <c r="BA39" i="2"/>
  <c r="BC38" i="2"/>
  <c r="BB38" i="2"/>
  <c r="BA38" i="2"/>
  <c r="BC37" i="2"/>
  <c r="BB37" i="2"/>
  <c r="BA37" i="2"/>
  <c r="BC36" i="2"/>
  <c r="BB36" i="2"/>
  <c r="BA36" i="2"/>
  <c r="BC35" i="2"/>
  <c r="BB35" i="2"/>
  <c r="BA35" i="2"/>
  <c r="BC34" i="2"/>
  <c r="BB34" i="2"/>
  <c r="BA34" i="2"/>
  <c r="BC33" i="2"/>
  <c r="BB33" i="2"/>
  <c r="BA33" i="2"/>
  <c r="BC32" i="2"/>
  <c r="BB32" i="2"/>
  <c r="BA32" i="2"/>
  <c r="BC31" i="2"/>
  <c r="BB31" i="2"/>
  <c r="BA31" i="2"/>
  <c r="BC30" i="2"/>
  <c r="BB30" i="2"/>
  <c r="BA30" i="2"/>
  <c r="BC29" i="2"/>
  <c r="BB29" i="2"/>
  <c r="BA29" i="2"/>
  <c r="BC28" i="2"/>
  <c r="BB28" i="2"/>
  <c r="BA28" i="2"/>
  <c r="BC27" i="2"/>
  <c r="BB27" i="2"/>
  <c r="BA27" i="2"/>
  <c r="BC26" i="2"/>
  <c r="BB26" i="2"/>
  <c r="BA26" i="2"/>
  <c r="BC25" i="2"/>
  <c r="BB25" i="2"/>
  <c r="BA25" i="2"/>
  <c r="BC24" i="2"/>
  <c r="BB24" i="2"/>
  <c r="BA24" i="2"/>
  <c r="BC23" i="2"/>
  <c r="BB23" i="2"/>
  <c r="BA23" i="2"/>
  <c r="BC22" i="2"/>
  <c r="BB22" i="2"/>
  <c r="BA22" i="2"/>
  <c r="BC21" i="2"/>
  <c r="BB21" i="2"/>
  <c r="BA21" i="2"/>
  <c r="BC20" i="2"/>
  <c r="BB20" i="2"/>
  <c r="BA20" i="2"/>
  <c r="BC19" i="2"/>
  <c r="BB19" i="2"/>
  <c r="BA19" i="2"/>
  <c r="BC18" i="2"/>
  <c r="BB18" i="2"/>
  <c r="BA18" i="2"/>
  <c r="BC17" i="2"/>
  <c r="BB17" i="2"/>
  <c r="BA17" i="2"/>
  <c r="BC16" i="2"/>
  <c r="BB16" i="2"/>
  <c r="BA16" i="2"/>
  <c r="BC15" i="2"/>
  <c r="BB15" i="2"/>
  <c r="BA15" i="2"/>
  <c r="BC14" i="2"/>
  <c r="BB14" i="2"/>
  <c r="BA14" i="2"/>
  <c r="BC13" i="2"/>
  <c r="BB13" i="2"/>
  <c r="BA13" i="2"/>
  <c r="BC12" i="2"/>
  <c r="BB12" i="2"/>
  <c r="BA12" i="2"/>
  <c r="BC11" i="2"/>
  <c r="BB11" i="2"/>
  <c r="BA11" i="2"/>
  <c r="BC10" i="2"/>
  <c r="BB10" i="2"/>
  <c r="BA10" i="2"/>
  <c r="BC9" i="2"/>
  <c r="BB9" i="2"/>
  <c r="BA9" i="2"/>
  <c r="BC8" i="2"/>
  <c r="BB8" i="2"/>
  <c r="BA8" i="2"/>
  <c r="BC7" i="2"/>
  <c r="BB7" i="2"/>
  <c r="BA7" i="2"/>
  <c r="BC6" i="2"/>
  <c r="BB6" i="2"/>
  <c r="BA6" i="2"/>
  <c r="BC5" i="2"/>
  <c r="BB5" i="2"/>
  <c r="BA5" i="2"/>
  <c r="BK65" i="2"/>
  <c r="BJ65" i="2"/>
  <c r="BI65" i="2"/>
  <c r="BK64" i="2"/>
  <c r="BJ64" i="2"/>
  <c r="BI64" i="2"/>
  <c r="BK63" i="2"/>
  <c r="BJ63" i="2"/>
  <c r="BI63" i="2"/>
  <c r="BK62" i="2"/>
  <c r="BJ62" i="2"/>
  <c r="BI62" i="2"/>
  <c r="BK61" i="2"/>
  <c r="BJ61" i="2"/>
  <c r="BI61" i="2"/>
  <c r="BK60" i="2"/>
  <c r="BJ60" i="2"/>
  <c r="BI60" i="2"/>
  <c r="BK59" i="2"/>
  <c r="BJ59" i="2"/>
  <c r="BI59" i="2"/>
  <c r="BK58" i="2"/>
  <c r="BJ58" i="2"/>
  <c r="BI58" i="2"/>
  <c r="BK57" i="2"/>
  <c r="BJ57" i="2"/>
  <c r="BI57" i="2"/>
  <c r="BK56" i="2"/>
  <c r="BJ56" i="2"/>
  <c r="BI56" i="2"/>
  <c r="BK55" i="2"/>
  <c r="BJ55" i="2"/>
  <c r="BI55" i="2"/>
  <c r="BK54" i="2"/>
  <c r="BJ54" i="2"/>
  <c r="BI54" i="2"/>
  <c r="BK53" i="2"/>
  <c r="BJ53" i="2"/>
  <c r="BI53" i="2"/>
  <c r="BK52" i="2"/>
  <c r="BJ52" i="2"/>
  <c r="BI52" i="2"/>
  <c r="BK51" i="2"/>
  <c r="BJ51" i="2"/>
  <c r="BI51" i="2"/>
  <c r="BK50" i="2"/>
  <c r="BJ50" i="2"/>
  <c r="BI50" i="2"/>
  <c r="BK49" i="2"/>
  <c r="BJ49" i="2"/>
  <c r="BI49" i="2"/>
  <c r="BK48" i="2"/>
  <c r="BJ48" i="2"/>
  <c r="BI48" i="2"/>
  <c r="BK47" i="2"/>
  <c r="BJ47" i="2"/>
  <c r="BI47" i="2"/>
  <c r="BK46" i="2"/>
  <c r="BJ46" i="2"/>
  <c r="BI46" i="2"/>
  <c r="BK45" i="2"/>
  <c r="BJ45" i="2"/>
  <c r="BI45" i="2"/>
  <c r="BK44" i="2"/>
  <c r="BJ44" i="2"/>
  <c r="BI44" i="2"/>
  <c r="BK43" i="2"/>
  <c r="BJ43" i="2"/>
  <c r="BI43" i="2"/>
  <c r="BK42" i="2"/>
  <c r="BJ42" i="2"/>
  <c r="BI42" i="2"/>
  <c r="BK41" i="2"/>
  <c r="BJ41" i="2"/>
  <c r="BI41" i="2"/>
  <c r="BK40" i="2"/>
  <c r="BJ40" i="2"/>
  <c r="BI40" i="2"/>
  <c r="BK39" i="2"/>
  <c r="BJ39" i="2"/>
  <c r="BI39" i="2"/>
  <c r="BK38" i="2"/>
  <c r="BJ38" i="2"/>
  <c r="BI38" i="2"/>
  <c r="BK37" i="2"/>
  <c r="BJ37" i="2"/>
  <c r="BI37" i="2"/>
  <c r="BK36" i="2"/>
  <c r="BJ36" i="2"/>
  <c r="BI36" i="2"/>
  <c r="BK35" i="2"/>
  <c r="BJ35" i="2"/>
  <c r="BI35" i="2"/>
  <c r="BK34" i="2"/>
  <c r="BJ34" i="2"/>
  <c r="BI34" i="2"/>
  <c r="BK33" i="2"/>
  <c r="BJ33" i="2"/>
  <c r="BI33" i="2"/>
  <c r="BK32" i="2"/>
  <c r="BJ32" i="2"/>
  <c r="BI32" i="2"/>
  <c r="BK31" i="2"/>
  <c r="BJ31" i="2"/>
  <c r="BI31" i="2"/>
  <c r="BK30" i="2"/>
  <c r="BJ30" i="2"/>
  <c r="BI30" i="2"/>
  <c r="BK29" i="2"/>
  <c r="BJ29" i="2"/>
  <c r="BI29" i="2"/>
  <c r="BK28" i="2"/>
  <c r="BJ28" i="2"/>
  <c r="BI28" i="2"/>
  <c r="BK27" i="2"/>
  <c r="BJ27" i="2"/>
  <c r="BI27" i="2"/>
  <c r="BK26" i="2"/>
  <c r="BJ26" i="2"/>
  <c r="BI26" i="2"/>
  <c r="BK25" i="2"/>
  <c r="BJ25" i="2"/>
  <c r="BI25" i="2"/>
  <c r="BK24" i="2"/>
  <c r="BJ24" i="2"/>
  <c r="BI24" i="2"/>
  <c r="BK23" i="2"/>
  <c r="BJ23" i="2"/>
  <c r="BI23" i="2"/>
  <c r="BK22" i="2"/>
  <c r="BJ22" i="2"/>
  <c r="BI22" i="2"/>
  <c r="BK21" i="2"/>
  <c r="BJ21" i="2"/>
  <c r="BI21" i="2"/>
  <c r="BK20" i="2"/>
  <c r="BJ20" i="2"/>
  <c r="BI20" i="2"/>
  <c r="BK19" i="2"/>
  <c r="BJ19" i="2"/>
  <c r="BI19" i="2"/>
  <c r="BK18" i="2"/>
  <c r="BJ18" i="2"/>
  <c r="BI18" i="2"/>
  <c r="BK17" i="2"/>
  <c r="BJ17" i="2"/>
  <c r="BI17" i="2"/>
  <c r="BK16" i="2"/>
  <c r="BJ16" i="2"/>
  <c r="BI16" i="2"/>
  <c r="BK15" i="2"/>
  <c r="BJ15" i="2"/>
  <c r="BI15" i="2"/>
  <c r="BK14" i="2"/>
  <c r="BJ14" i="2"/>
  <c r="BI14" i="2"/>
  <c r="BK13" i="2"/>
  <c r="BJ13" i="2"/>
  <c r="BI13" i="2"/>
  <c r="BK12" i="2"/>
  <c r="BJ12" i="2"/>
  <c r="BI12" i="2"/>
  <c r="BK11" i="2"/>
  <c r="BJ11" i="2"/>
  <c r="BI11" i="2"/>
  <c r="BK10" i="2"/>
  <c r="BJ10" i="2"/>
  <c r="BI10" i="2"/>
  <c r="BK9" i="2"/>
  <c r="BJ9" i="2"/>
  <c r="BI9" i="2"/>
  <c r="BK8" i="2"/>
  <c r="BJ8" i="2"/>
  <c r="BI8" i="2"/>
  <c r="BK7" i="2"/>
  <c r="BJ7" i="2"/>
  <c r="BI7" i="2"/>
  <c r="BK6" i="2"/>
  <c r="BJ6" i="2"/>
  <c r="BI6" i="2"/>
  <c r="BK5" i="2"/>
  <c r="BJ5" i="2"/>
  <c r="BI5" i="2"/>
  <c r="AU65" i="2"/>
  <c r="AT65" i="2"/>
  <c r="AS65" i="2"/>
  <c r="AU64" i="2"/>
  <c r="AT64" i="2"/>
  <c r="AS64" i="2"/>
  <c r="AU63" i="2"/>
  <c r="AT63" i="2"/>
  <c r="AS63" i="2"/>
  <c r="AU62" i="2"/>
  <c r="AT62" i="2"/>
  <c r="AS62" i="2"/>
  <c r="AU61" i="2"/>
  <c r="AT61" i="2"/>
  <c r="AS61" i="2"/>
  <c r="AU60" i="2"/>
  <c r="AT60" i="2"/>
  <c r="AS60" i="2"/>
  <c r="AU59" i="2"/>
  <c r="AT59" i="2"/>
  <c r="AS59" i="2"/>
  <c r="AU58" i="2"/>
  <c r="AT58" i="2"/>
  <c r="AS58" i="2"/>
  <c r="AU57" i="2"/>
  <c r="AT57" i="2"/>
  <c r="AS57" i="2"/>
  <c r="AU56" i="2"/>
  <c r="AT56" i="2"/>
  <c r="AS56" i="2"/>
  <c r="AU55" i="2"/>
  <c r="AT55" i="2"/>
  <c r="AS55" i="2"/>
  <c r="AU54" i="2"/>
  <c r="AT54" i="2"/>
  <c r="AS54" i="2"/>
  <c r="AU53" i="2"/>
  <c r="AT53" i="2"/>
  <c r="AS53" i="2"/>
  <c r="AU52" i="2"/>
  <c r="AT52" i="2"/>
  <c r="AS52" i="2"/>
  <c r="AU51" i="2"/>
  <c r="AT51" i="2"/>
  <c r="AS51" i="2"/>
  <c r="AU50" i="2"/>
  <c r="AT50" i="2"/>
  <c r="AS50" i="2"/>
  <c r="AU49" i="2"/>
  <c r="AT49" i="2"/>
  <c r="AS49" i="2"/>
  <c r="AU48" i="2"/>
  <c r="AT48" i="2"/>
  <c r="AS48" i="2"/>
  <c r="AU47" i="2"/>
  <c r="AT47" i="2"/>
  <c r="AS47" i="2"/>
  <c r="AU46" i="2"/>
  <c r="AT46" i="2"/>
  <c r="AS46" i="2"/>
  <c r="AU45" i="2"/>
  <c r="AT45" i="2"/>
  <c r="AS45" i="2"/>
  <c r="AU44" i="2"/>
  <c r="AT44" i="2"/>
  <c r="AS44" i="2"/>
  <c r="AU43" i="2"/>
  <c r="AT43" i="2"/>
  <c r="AS43" i="2"/>
  <c r="AU42" i="2"/>
  <c r="AT42" i="2"/>
  <c r="AS42" i="2"/>
  <c r="AU41" i="2"/>
  <c r="AT41" i="2"/>
  <c r="AS41" i="2"/>
  <c r="AU40" i="2"/>
  <c r="AT40" i="2"/>
  <c r="AS40" i="2"/>
  <c r="AU39" i="2"/>
  <c r="AT39" i="2"/>
  <c r="AS39" i="2"/>
  <c r="AU38" i="2"/>
  <c r="AT38" i="2"/>
  <c r="AS38" i="2"/>
  <c r="AU37" i="2"/>
  <c r="AT37" i="2"/>
  <c r="AS37" i="2"/>
  <c r="AU36" i="2"/>
  <c r="AT36" i="2"/>
  <c r="AS36" i="2"/>
  <c r="AU35" i="2"/>
  <c r="AT35" i="2"/>
  <c r="AS35" i="2"/>
  <c r="AU34" i="2"/>
  <c r="AT34" i="2"/>
  <c r="AS34" i="2"/>
  <c r="AU33" i="2"/>
  <c r="AT33" i="2"/>
  <c r="AS33" i="2"/>
  <c r="AU32" i="2"/>
  <c r="AT32" i="2"/>
  <c r="AS32" i="2"/>
  <c r="AU31" i="2"/>
  <c r="AT31" i="2"/>
  <c r="AS31" i="2"/>
  <c r="AU30" i="2"/>
  <c r="AT30" i="2"/>
  <c r="AS30" i="2"/>
  <c r="AU29" i="2"/>
  <c r="AT29" i="2"/>
  <c r="AS29" i="2"/>
  <c r="AU28" i="2"/>
  <c r="AT28" i="2"/>
  <c r="AS28" i="2"/>
  <c r="AU27" i="2"/>
  <c r="AT27" i="2"/>
  <c r="AS27" i="2"/>
  <c r="AU26" i="2"/>
  <c r="AT26" i="2"/>
  <c r="AS26" i="2"/>
  <c r="AU25" i="2"/>
  <c r="AT25" i="2"/>
  <c r="AS25" i="2"/>
  <c r="AU24" i="2"/>
  <c r="AT24" i="2"/>
  <c r="AS24" i="2"/>
  <c r="AU23" i="2"/>
  <c r="AT23" i="2"/>
  <c r="AS23" i="2"/>
  <c r="AU22" i="2"/>
  <c r="AT22" i="2"/>
  <c r="AS22" i="2"/>
  <c r="AU21" i="2"/>
  <c r="AT21" i="2"/>
  <c r="AS21" i="2"/>
  <c r="AU20" i="2"/>
  <c r="AT20" i="2"/>
  <c r="AS20" i="2"/>
  <c r="AU19" i="2"/>
  <c r="AT19" i="2"/>
  <c r="AS19" i="2"/>
  <c r="AU18" i="2"/>
  <c r="AT18" i="2"/>
  <c r="AS18" i="2"/>
  <c r="AU17" i="2"/>
  <c r="AT17" i="2"/>
  <c r="AS17" i="2"/>
  <c r="AU16" i="2"/>
  <c r="AT16" i="2"/>
  <c r="AS16" i="2"/>
  <c r="AU15" i="2"/>
  <c r="AT15" i="2"/>
  <c r="AS15" i="2"/>
  <c r="AU14" i="2"/>
  <c r="AT14" i="2"/>
  <c r="AS14" i="2"/>
  <c r="AU13" i="2"/>
  <c r="AT13" i="2"/>
  <c r="AS13" i="2"/>
  <c r="AU12" i="2"/>
  <c r="AT12" i="2"/>
  <c r="AS12" i="2"/>
  <c r="AU11" i="2"/>
  <c r="AT11" i="2"/>
  <c r="AS11" i="2"/>
  <c r="AU10" i="2"/>
  <c r="AT10" i="2"/>
  <c r="AS10" i="2"/>
  <c r="AU9" i="2"/>
  <c r="AT9" i="2"/>
  <c r="AS9" i="2"/>
  <c r="AU8" i="2"/>
  <c r="AT8" i="2"/>
  <c r="AS8" i="2"/>
  <c r="AU7" i="2"/>
  <c r="AT7" i="2"/>
  <c r="AS7" i="2"/>
  <c r="AU6" i="2"/>
  <c r="AT6" i="2"/>
  <c r="AS6" i="2"/>
  <c r="AU5" i="2"/>
  <c r="AT5" i="2"/>
  <c r="AS5" i="2"/>
  <c r="AM65" i="2"/>
  <c r="AL65" i="2"/>
  <c r="AK65" i="2"/>
  <c r="AM64" i="2"/>
  <c r="AL64" i="2"/>
  <c r="AK64" i="2"/>
  <c r="AM63" i="2"/>
  <c r="AL63" i="2"/>
  <c r="AK63" i="2"/>
  <c r="AM62" i="2"/>
  <c r="AL62" i="2"/>
  <c r="AK62" i="2"/>
  <c r="AM61" i="2"/>
  <c r="AL61" i="2"/>
  <c r="AK61" i="2"/>
  <c r="AM60" i="2"/>
  <c r="AL60" i="2"/>
  <c r="AK60" i="2"/>
  <c r="AM59" i="2"/>
  <c r="AL59" i="2"/>
  <c r="AK59" i="2"/>
  <c r="AM58" i="2"/>
  <c r="AL58" i="2"/>
  <c r="AK58" i="2"/>
  <c r="AM57" i="2"/>
  <c r="AL57" i="2"/>
  <c r="AK57" i="2"/>
  <c r="AM56" i="2"/>
  <c r="AL56" i="2"/>
  <c r="AK56" i="2"/>
  <c r="AM55" i="2"/>
  <c r="AL55" i="2"/>
  <c r="AK55" i="2"/>
  <c r="AM54" i="2"/>
  <c r="AL54" i="2"/>
  <c r="AK54" i="2"/>
  <c r="AM53" i="2"/>
  <c r="AL53" i="2"/>
  <c r="AK53" i="2"/>
  <c r="AM52" i="2"/>
  <c r="AL52" i="2"/>
  <c r="AK52" i="2"/>
  <c r="AM51" i="2"/>
  <c r="AL51" i="2"/>
  <c r="AK51" i="2"/>
  <c r="AM50" i="2"/>
  <c r="AL50" i="2"/>
  <c r="AK50" i="2"/>
  <c r="AM49" i="2"/>
  <c r="AL49" i="2"/>
  <c r="AK49" i="2"/>
  <c r="AM48" i="2"/>
  <c r="AL48" i="2"/>
  <c r="AK48" i="2"/>
  <c r="AM47" i="2"/>
  <c r="AL47" i="2"/>
  <c r="AK47" i="2"/>
  <c r="AM46" i="2"/>
  <c r="AL46" i="2"/>
  <c r="AK46" i="2"/>
  <c r="AM45" i="2"/>
  <c r="AL45" i="2"/>
  <c r="AK45" i="2"/>
  <c r="AM44" i="2"/>
  <c r="AL44" i="2"/>
  <c r="AK44" i="2"/>
  <c r="AM43" i="2"/>
  <c r="AL43" i="2"/>
  <c r="AK43" i="2"/>
  <c r="AM42" i="2"/>
  <c r="AL42" i="2"/>
  <c r="AK42" i="2"/>
  <c r="AM41" i="2"/>
  <c r="AL41" i="2"/>
  <c r="AK41" i="2"/>
  <c r="AM40" i="2"/>
  <c r="AL40" i="2"/>
  <c r="AK40" i="2"/>
  <c r="AM39" i="2"/>
  <c r="AL39" i="2"/>
  <c r="AK39" i="2"/>
  <c r="AM38" i="2"/>
  <c r="AL38" i="2"/>
  <c r="AK38" i="2"/>
  <c r="AM37" i="2"/>
  <c r="AL37" i="2"/>
  <c r="AK37" i="2"/>
  <c r="AM36" i="2"/>
  <c r="AL36" i="2"/>
  <c r="AK36" i="2"/>
  <c r="AM35" i="2"/>
  <c r="AL35" i="2"/>
  <c r="AK35" i="2"/>
  <c r="AM34" i="2"/>
  <c r="AL34" i="2"/>
  <c r="AK34" i="2"/>
  <c r="AM33" i="2"/>
  <c r="AL33" i="2"/>
  <c r="AK33" i="2"/>
  <c r="AM32" i="2"/>
  <c r="AL32" i="2"/>
  <c r="AK32" i="2"/>
  <c r="AM31" i="2"/>
  <c r="AL31" i="2"/>
  <c r="AK31" i="2"/>
  <c r="AM30" i="2"/>
  <c r="AL30" i="2"/>
  <c r="AK30" i="2"/>
  <c r="AM29" i="2"/>
  <c r="AL29" i="2"/>
  <c r="AK29" i="2"/>
  <c r="AM28" i="2"/>
  <c r="AL28" i="2"/>
  <c r="AK28" i="2"/>
  <c r="AM27" i="2"/>
  <c r="AL27" i="2"/>
  <c r="AK27" i="2"/>
  <c r="AM26" i="2"/>
  <c r="AL26" i="2"/>
  <c r="AK26" i="2"/>
  <c r="AM25" i="2"/>
  <c r="AL25" i="2"/>
  <c r="AK25" i="2"/>
  <c r="AM24" i="2"/>
  <c r="AL24" i="2"/>
  <c r="AK24" i="2"/>
  <c r="AM23" i="2"/>
  <c r="AL23" i="2"/>
  <c r="AK23" i="2"/>
  <c r="AM22" i="2"/>
  <c r="AL22" i="2"/>
  <c r="AK22" i="2"/>
  <c r="AM21" i="2"/>
  <c r="AL21" i="2"/>
  <c r="AK21" i="2"/>
  <c r="AM20" i="2"/>
  <c r="AL20" i="2"/>
  <c r="AK20" i="2"/>
  <c r="AM19" i="2"/>
  <c r="AL19" i="2"/>
  <c r="AK19" i="2"/>
  <c r="AM18" i="2"/>
  <c r="AL18" i="2"/>
  <c r="AK18" i="2"/>
  <c r="AM17" i="2"/>
  <c r="AL17" i="2"/>
  <c r="AK17" i="2"/>
  <c r="AM16" i="2"/>
  <c r="AL16" i="2"/>
  <c r="AK16" i="2"/>
  <c r="AM15" i="2"/>
  <c r="AL15" i="2"/>
  <c r="AK15" i="2"/>
  <c r="AM14" i="2"/>
  <c r="AL14" i="2"/>
  <c r="AK14" i="2"/>
  <c r="AM13" i="2"/>
  <c r="AL13" i="2"/>
  <c r="AK13" i="2"/>
  <c r="AM12" i="2"/>
  <c r="AL12" i="2"/>
  <c r="AK12" i="2"/>
  <c r="AM11" i="2"/>
  <c r="AL11" i="2"/>
  <c r="AK11" i="2"/>
  <c r="AM10" i="2"/>
  <c r="AL10" i="2"/>
  <c r="AK10" i="2"/>
  <c r="AM9" i="2"/>
  <c r="AL9" i="2"/>
  <c r="AK9" i="2"/>
  <c r="AM8" i="2"/>
  <c r="AL8" i="2"/>
  <c r="AK8" i="2"/>
  <c r="AM7" i="2"/>
  <c r="AL7" i="2"/>
  <c r="AK7" i="2"/>
  <c r="AM6" i="2"/>
  <c r="AL6" i="2"/>
  <c r="AK6" i="2"/>
  <c r="AM5" i="2"/>
  <c r="AL5" i="2"/>
  <c r="AK5" i="2"/>
  <c r="AE65" i="2"/>
  <c r="AD65" i="2"/>
  <c r="AC65" i="2"/>
  <c r="AE64" i="2"/>
  <c r="AD64" i="2"/>
  <c r="AC64" i="2"/>
  <c r="AE63" i="2"/>
  <c r="AD63" i="2"/>
  <c r="AC63" i="2"/>
  <c r="AE62" i="2"/>
  <c r="AD62" i="2"/>
  <c r="AC62" i="2"/>
  <c r="AE61" i="2"/>
  <c r="AD61" i="2"/>
  <c r="AC61" i="2"/>
  <c r="AE60" i="2"/>
  <c r="AD60" i="2"/>
  <c r="AC60" i="2"/>
  <c r="AE59" i="2"/>
  <c r="AD59" i="2"/>
  <c r="AC59" i="2"/>
  <c r="AE58" i="2"/>
  <c r="AD58" i="2"/>
  <c r="AC58" i="2"/>
  <c r="AE57" i="2"/>
  <c r="AD57" i="2"/>
  <c r="AC57" i="2"/>
  <c r="AE56" i="2"/>
  <c r="AD56" i="2"/>
  <c r="AC56" i="2"/>
  <c r="AE55" i="2"/>
  <c r="AD55" i="2"/>
  <c r="AC55" i="2"/>
  <c r="AE54" i="2"/>
  <c r="AD54" i="2"/>
  <c r="AC54" i="2"/>
  <c r="AE53" i="2"/>
  <c r="AD53" i="2"/>
  <c r="AC53" i="2"/>
  <c r="AE52" i="2"/>
  <c r="AD52" i="2"/>
  <c r="AC52" i="2"/>
  <c r="AE51" i="2"/>
  <c r="AD51" i="2"/>
  <c r="AC51" i="2"/>
  <c r="AE50" i="2"/>
  <c r="AD50" i="2"/>
  <c r="AC50" i="2"/>
  <c r="AE49" i="2"/>
  <c r="AD49" i="2"/>
  <c r="AC49" i="2"/>
  <c r="AE48" i="2"/>
  <c r="AD48" i="2"/>
  <c r="AC48" i="2"/>
  <c r="AE47" i="2"/>
  <c r="AD47" i="2"/>
  <c r="AC47" i="2"/>
  <c r="AE46" i="2"/>
  <c r="AD46" i="2"/>
  <c r="AC46" i="2"/>
  <c r="AE45" i="2"/>
  <c r="AD45" i="2"/>
  <c r="AC45" i="2"/>
  <c r="AE44" i="2"/>
  <c r="AD44" i="2"/>
  <c r="AC44" i="2"/>
  <c r="AE43" i="2"/>
  <c r="AD43" i="2"/>
  <c r="AC43" i="2"/>
  <c r="AE42" i="2"/>
  <c r="AD42" i="2"/>
  <c r="AC42" i="2"/>
  <c r="AE41" i="2"/>
  <c r="AD41" i="2"/>
  <c r="AC41" i="2"/>
  <c r="AE40" i="2"/>
  <c r="AD40" i="2"/>
  <c r="AC40" i="2"/>
  <c r="AE39" i="2"/>
  <c r="AD39" i="2"/>
  <c r="AC39" i="2"/>
  <c r="AE38" i="2"/>
  <c r="AD38" i="2"/>
  <c r="AC38" i="2"/>
  <c r="AE37" i="2"/>
  <c r="AD37" i="2"/>
  <c r="AC37" i="2"/>
  <c r="AE36" i="2"/>
  <c r="AD36" i="2"/>
  <c r="AC36" i="2"/>
  <c r="AE35" i="2"/>
  <c r="AD35" i="2"/>
  <c r="AC35" i="2"/>
  <c r="AE34" i="2"/>
  <c r="AD34" i="2"/>
  <c r="AC34" i="2"/>
  <c r="AE33" i="2"/>
  <c r="AD33" i="2"/>
  <c r="AC33" i="2"/>
  <c r="AE32" i="2"/>
  <c r="AD32" i="2"/>
  <c r="AC32" i="2"/>
  <c r="AE31" i="2"/>
  <c r="AD31" i="2"/>
  <c r="AC31" i="2"/>
  <c r="AE30" i="2"/>
  <c r="AD30" i="2"/>
  <c r="AC30" i="2"/>
  <c r="AE29" i="2"/>
  <c r="AD29" i="2"/>
  <c r="AC29" i="2"/>
  <c r="AE28" i="2"/>
  <c r="AD28" i="2"/>
  <c r="AC28" i="2"/>
  <c r="AE27" i="2"/>
  <c r="AD27" i="2"/>
  <c r="AC27" i="2"/>
  <c r="AE26" i="2"/>
  <c r="AD26" i="2"/>
  <c r="AC26" i="2"/>
  <c r="AE25" i="2"/>
  <c r="AD25" i="2"/>
  <c r="AC25" i="2"/>
  <c r="AE24" i="2"/>
  <c r="AD24" i="2"/>
  <c r="AC24" i="2"/>
  <c r="AE23" i="2"/>
  <c r="AD23" i="2"/>
  <c r="AC23" i="2"/>
  <c r="AE22" i="2"/>
  <c r="AD22" i="2"/>
  <c r="AC22" i="2"/>
  <c r="AE21" i="2"/>
  <c r="AD21" i="2"/>
  <c r="AC21" i="2"/>
  <c r="AE20" i="2"/>
  <c r="AD20" i="2"/>
  <c r="AC20" i="2"/>
  <c r="AE19" i="2"/>
  <c r="AD19" i="2"/>
  <c r="AC19" i="2"/>
  <c r="AE18" i="2"/>
  <c r="AD18" i="2"/>
  <c r="AC18" i="2"/>
  <c r="AE17" i="2"/>
  <c r="AD17" i="2"/>
  <c r="AC17" i="2"/>
  <c r="AE16" i="2"/>
  <c r="AD16" i="2"/>
  <c r="AC16" i="2"/>
  <c r="AE15" i="2"/>
  <c r="AD15" i="2"/>
  <c r="AC15" i="2"/>
  <c r="AE14" i="2"/>
  <c r="AD14" i="2"/>
  <c r="AC14" i="2"/>
  <c r="AE13" i="2"/>
  <c r="AD13" i="2"/>
  <c r="AC13" i="2"/>
  <c r="AE12" i="2"/>
  <c r="AD12" i="2"/>
  <c r="AC12" i="2"/>
  <c r="AE11" i="2"/>
  <c r="AD11" i="2"/>
  <c r="AC11" i="2"/>
  <c r="AE10" i="2"/>
  <c r="AD10" i="2"/>
  <c r="AC10" i="2"/>
  <c r="AE9" i="2"/>
  <c r="AD9" i="2"/>
  <c r="AC9" i="2"/>
  <c r="AE8" i="2"/>
  <c r="AD8" i="2"/>
  <c r="AC8" i="2"/>
  <c r="AE7" i="2"/>
  <c r="AD7" i="2"/>
  <c r="AC7" i="2"/>
  <c r="AE6" i="2"/>
  <c r="AD6" i="2"/>
  <c r="AC6" i="2"/>
  <c r="AE5" i="2"/>
  <c r="AD5" i="2"/>
  <c r="AC5" i="2"/>
  <c r="W65" i="2"/>
  <c r="V65" i="2"/>
  <c r="U65" i="2"/>
  <c r="W64" i="2"/>
  <c r="V64" i="2"/>
  <c r="U64" i="2"/>
  <c r="W63" i="2"/>
  <c r="V63" i="2"/>
  <c r="U63" i="2"/>
  <c r="W62" i="2"/>
  <c r="V62" i="2"/>
  <c r="U62" i="2"/>
  <c r="W61" i="2"/>
  <c r="V61" i="2"/>
  <c r="U61" i="2"/>
  <c r="W60" i="2"/>
  <c r="V60" i="2"/>
  <c r="U60" i="2"/>
  <c r="W59" i="2"/>
  <c r="V59" i="2"/>
  <c r="U59" i="2"/>
  <c r="W58" i="2"/>
  <c r="V58" i="2"/>
  <c r="U58" i="2"/>
  <c r="W57" i="2"/>
  <c r="V57" i="2"/>
  <c r="U57" i="2"/>
  <c r="W56" i="2"/>
  <c r="V56" i="2"/>
  <c r="U56" i="2"/>
  <c r="W55" i="2"/>
  <c r="V55" i="2"/>
  <c r="U55" i="2"/>
  <c r="W54" i="2"/>
  <c r="V54" i="2"/>
  <c r="U54" i="2"/>
  <c r="W53" i="2"/>
  <c r="V53" i="2"/>
  <c r="U53" i="2"/>
  <c r="W52" i="2"/>
  <c r="V52" i="2"/>
  <c r="U52" i="2"/>
  <c r="W51" i="2"/>
  <c r="V51" i="2"/>
  <c r="U51" i="2"/>
  <c r="W50" i="2"/>
  <c r="V50" i="2"/>
  <c r="U50" i="2"/>
  <c r="W49" i="2"/>
  <c r="V49" i="2"/>
  <c r="U49" i="2"/>
  <c r="W48" i="2"/>
  <c r="V48" i="2"/>
  <c r="U48" i="2"/>
  <c r="W47" i="2"/>
  <c r="V47" i="2"/>
  <c r="U47" i="2"/>
  <c r="W46" i="2"/>
  <c r="V46" i="2"/>
  <c r="U46" i="2"/>
  <c r="W45" i="2"/>
  <c r="V45" i="2"/>
  <c r="U45" i="2"/>
  <c r="W44" i="2"/>
  <c r="V44" i="2"/>
  <c r="U44" i="2"/>
  <c r="W43" i="2"/>
  <c r="V43" i="2"/>
  <c r="U43" i="2"/>
  <c r="W42" i="2"/>
  <c r="V42" i="2"/>
  <c r="U42" i="2"/>
  <c r="W41" i="2"/>
  <c r="V41" i="2"/>
  <c r="U41" i="2"/>
  <c r="W40" i="2"/>
  <c r="V40" i="2"/>
  <c r="U40" i="2"/>
  <c r="W39" i="2"/>
  <c r="V39" i="2"/>
  <c r="U39" i="2"/>
  <c r="W38" i="2"/>
  <c r="V38" i="2"/>
  <c r="U38" i="2"/>
  <c r="W37" i="2"/>
  <c r="V37" i="2"/>
  <c r="U37" i="2"/>
  <c r="W36" i="2"/>
  <c r="V36" i="2"/>
  <c r="U36" i="2"/>
  <c r="W35" i="2"/>
  <c r="V35" i="2"/>
  <c r="U35" i="2"/>
  <c r="W34" i="2"/>
  <c r="V34" i="2"/>
  <c r="U34" i="2"/>
  <c r="W33" i="2"/>
  <c r="V33" i="2"/>
  <c r="U33" i="2"/>
  <c r="W32" i="2"/>
  <c r="V32" i="2"/>
  <c r="U32" i="2"/>
  <c r="W31" i="2"/>
  <c r="V31" i="2"/>
  <c r="U31" i="2"/>
  <c r="W30" i="2"/>
  <c r="V30" i="2"/>
  <c r="U30" i="2"/>
  <c r="W29" i="2"/>
  <c r="V29" i="2"/>
  <c r="U29" i="2"/>
  <c r="W28" i="2"/>
  <c r="V28" i="2"/>
  <c r="U28" i="2"/>
  <c r="W27" i="2"/>
  <c r="V27" i="2"/>
  <c r="U27" i="2"/>
  <c r="W26" i="2"/>
  <c r="V26" i="2"/>
  <c r="U26" i="2"/>
  <c r="W25" i="2"/>
  <c r="V25" i="2"/>
  <c r="U25" i="2"/>
  <c r="W24" i="2"/>
  <c r="V24" i="2"/>
  <c r="U24" i="2"/>
  <c r="W23" i="2"/>
  <c r="V23" i="2"/>
  <c r="U23" i="2"/>
  <c r="W22" i="2"/>
  <c r="V22" i="2"/>
  <c r="U22" i="2"/>
  <c r="W21" i="2"/>
  <c r="V21" i="2"/>
  <c r="U21" i="2"/>
  <c r="W20" i="2"/>
  <c r="V20" i="2"/>
  <c r="U20" i="2"/>
  <c r="W19" i="2"/>
  <c r="V19" i="2"/>
  <c r="U19" i="2"/>
  <c r="W18" i="2"/>
  <c r="V18" i="2"/>
  <c r="U18" i="2"/>
  <c r="W17" i="2"/>
  <c r="V17" i="2"/>
  <c r="U17" i="2"/>
  <c r="W16" i="2"/>
  <c r="V16" i="2"/>
  <c r="U16" i="2"/>
  <c r="W15" i="2"/>
  <c r="V15" i="2"/>
  <c r="U15" i="2"/>
  <c r="W14" i="2"/>
  <c r="V14" i="2"/>
  <c r="U14" i="2"/>
  <c r="W13" i="2"/>
  <c r="V13" i="2"/>
  <c r="U13" i="2"/>
  <c r="W12" i="2"/>
  <c r="V12" i="2"/>
  <c r="U12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W5" i="2"/>
  <c r="V5" i="2"/>
  <c r="U5" i="2"/>
  <c r="O65" i="2"/>
  <c r="N65" i="2"/>
  <c r="M65" i="2"/>
  <c r="O64" i="2"/>
  <c r="N64" i="2"/>
  <c r="M64" i="2"/>
  <c r="O63" i="2"/>
  <c r="N63" i="2"/>
  <c r="M63" i="2"/>
  <c r="O62" i="2"/>
  <c r="N62" i="2"/>
  <c r="M62" i="2"/>
  <c r="O61" i="2"/>
  <c r="N61" i="2"/>
  <c r="M61" i="2"/>
  <c r="O60" i="2"/>
  <c r="N60" i="2"/>
  <c r="M60" i="2"/>
  <c r="O59" i="2"/>
  <c r="N59" i="2"/>
  <c r="M59" i="2"/>
  <c r="O58" i="2"/>
  <c r="N58" i="2"/>
  <c r="M58" i="2"/>
  <c r="O57" i="2"/>
  <c r="N57" i="2"/>
  <c r="M57" i="2"/>
  <c r="O56" i="2"/>
  <c r="N56" i="2"/>
  <c r="M56" i="2"/>
  <c r="O55" i="2"/>
  <c r="N55" i="2"/>
  <c r="M55" i="2"/>
  <c r="O54" i="2"/>
  <c r="N54" i="2"/>
  <c r="M54" i="2"/>
  <c r="O53" i="2"/>
  <c r="N53" i="2"/>
  <c r="M53" i="2"/>
  <c r="O52" i="2"/>
  <c r="N52" i="2"/>
  <c r="M52" i="2"/>
  <c r="O51" i="2"/>
  <c r="N51" i="2"/>
  <c r="M51" i="2"/>
  <c r="O50" i="2"/>
  <c r="N50" i="2"/>
  <c r="M50" i="2"/>
  <c r="O49" i="2"/>
  <c r="N49" i="2"/>
  <c r="M49" i="2"/>
  <c r="O48" i="2"/>
  <c r="N48" i="2"/>
  <c r="M48" i="2"/>
  <c r="O47" i="2"/>
  <c r="N47" i="2"/>
  <c r="M47" i="2"/>
  <c r="O46" i="2"/>
  <c r="N46" i="2"/>
  <c r="M46" i="2"/>
  <c r="O45" i="2"/>
  <c r="N45" i="2"/>
  <c r="M45" i="2"/>
  <c r="O44" i="2"/>
  <c r="N44" i="2"/>
  <c r="M44" i="2"/>
  <c r="O43" i="2"/>
  <c r="N43" i="2"/>
  <c r="M43" i="2"/>
  <c r="O42" i="2"/>
  <c r="N42" i="2"/>
  <c r="M42" i="2"/>
  <c r="O41" i="2"/>
  <c r="N41" i="2"/>
  <c r="M41" i="2"/>
  <c r="O40" i="2"/>
  <c r="N40" i="2"/>
  <c r="M40" i="2"/>
  <c r="O39" i="2"/>
  <c r="N39" i="2"/>
  <c r="M39" i="2"/>
  <c r="O38" i="2"/>
  <c r="N38" i="2"/>
  <c r="M38" i="2"/>
  <c r="O37" i="2"/>
  <c r="N37" i="2"/>
  <c r="M37" i="2"/>
  <c r="O36" i="2"/>
  <c r="N36" i="2"/>
  <c r="M36" i="2"/>
  <c r="O35" i="2"/>
  <c r="N35" i="2"/>
  <c r="M35" i="2"/>
  <c r="O34" i="2"/>
  <c r="N34" i="2"/>
  <c r="M34" i="2"/>
  <c r="O33" i="2"/>
  <c r="N33" i="2"/>
  <c r="M33" i="2"/>
  <c r="O32" i="2"/>
  <c r="N32" i="2"/>
  <c r="M32" i="2"/>
  <c r="O31" i="2"/>
  <c r="N31" i="2"/>
  <c r="M31" i="2"/>
  <c r="O30" i="2"/>
  <c r="N30" i="2"/>
  <c r="M30" i="2"/>
  <c r="O29" i="2"/>
  <c r="N29" i="2"/>
  <c r="M29" i="2"/>
  <c r="O28" i="2"/>
  <c r="N28" i="2"/>
  <c r="M28" i="2"/>
  <c r="O27" i="2"/>
  <c r="N27" i="2"/>
  <c r="M27" i="2"/>
  <c r="O26" i="2"/>
  <c r="N26" i="2"/>
  <c r="M26" i="2"/>
  <c r="O25" i="2"/>
  <c r="N25" i="2"/>
  <c r="M25" i="2"/>
  <c r="O24" i="2"/>
  <c r="N24" i="2"/>
  <c r="M24" i="2"/>
  <c r="O23" i="2"/>
  <c r="N23" i="2"/>
  <c r="M23" i="2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O16" i="2"/>
  <c r="N16" i="2"/>
  <c r="M16" i="2"/>
  <c r="O15" i="2"/>
  <c r="N15" i="2"/>
  <c r="M15" i="2"/>
  <c r="O14" i="2"/>
  <c r="N14" i="2"/>
  <c r="M14" i="2"/>
  <c r="O13" i="2"/>
  <c r="N13" i="2"/>
  <c r="M13" i="2"/>
  <c r="O12" i="2"/>
  <c r="N12" i="2"/>
  <c r="M12" i="2"/>
  <c r="O11" i="2"/>
  <c r="N11" i="2"/>
  <c r="M11" i="2"/>
  <c r="O10" i="2"/>
  <c r="N10" i="2"/>
  <c r="M10" i="2"/>
  <c r="O9" i="2"/>
  <c r="N9" i="2"/>
  <c r="M9" i="2"/>
  <c r="O8" i="2"/>
  <c r="N8" i="2"/>
  <c r="M8" i="2"/>
  <c r="O7" i="2"/>
  <c r="N7" i="2"/>
  <c r="M7" i="2"/>
  <c r="O6" i="2"/>
  <c r="N6" i="2"/>
  <c r="M6" i="2"/>
  <c r="O5" i="2"/>
  <c r="N5" i="2"/>
  <c r="M5" i="2"/>
</calcChain>
</file>

<file path=xl/sharedStrings.xml><?xml version="1.0" encoding="utf-8"?>
<sst xmlns="http://schemas.openxmlformats.org/spreadsheetml/2006/main" count="642" uniqueCount="42">
  <si>
    <t>總計</t>
  </si>
  <si>
    <t>84 合計</t>
  </si>
  <si>
    <t>iPhone</t>
  </si>
  <si>
    <t>iPad</t>
  </si>
  <si>
    <t>CPU</t>
  </si>
  <si>
    <t>Care</t>
  </si>
  <si>
    <t>Audio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</si>
  <si>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</si>
  <si>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</si>
  <si>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</si>
  <si>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</si>
  <si>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</si>
  <si>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</si>
  <si>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</si>
  <si>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</si>
  <si>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</si>
  <si>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</si>
  <si>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</si>
  <si>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</si>
  <si>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</si>
  <si>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Traffic</t>
    <phoneticPr fontId="2" type="noConversion"/>
  </si>
  <si>
    <t>Trade in</t>
    <phoneticPr fontId="2" type="noConversion"/>
  </si>
  <si>
    <t>26Q2W1</t>
    <phoneticPr fontId="2" type="noConversion"/>
  </si>
  <si>
    <t>12/28~01/03</t>
    <phoneticPr fontId="2" type="noConversion"/>
  </si>
  <si>
    <t>01/04~01/10</t>
    <phoneticPr fontId="2" type="noConversion"/>
  </si>
  <si>
    <t>26Q2W2</t>
    <phoneticPr fontId="2" type="noConversion"/>
  </si>
  <si>
    <t>26Q2W3</t>
    <phoneticPr fontId="2" type="noConversion"/>
  </si>
  <si>
    <t>01/11~01/17</t>
    <phoneticPr fontId="2" type="noConversion"/>
  </si>
  <si>
    <t>26Q2W4</t>
  </si>
  <si>
    <t>01/18~01/24</t>
    <phoneticPr fontId="2" type="noConversion"/>
  </si>
  <si>
    <t>26Q2W5</t>
  </si>
  <si>
    <t>01/25~01/31</t>
    <phoneticPr fontId="2" type="noConversion"/>
  </si>
  <si>
    <t>26Q2W6</t>
  </si>
  <si>
    <t>02/01~02/07</t>
    <phoneticPr fontId="2" type="noConversion"/>
  </si>
  <si>
    <t>26Q2W7</t>
    <phoneticPr fontId="2" type="noConversion"/>
  </si>
  <si>
    <t>02/08~02/14</t>
    <phoneticPr fontId="2" type="noConversion"/>
  </si>
  <si>
    <t>02/15~02/21</t>
    <phoneticPr fontId="2" type="noConversion"/>
  </si>
  <si>
    <t>26Q2W8</t>
    <phoneticPr fontId="2" type="noConversion"/>
  </si>
  <si>
    <t>26Q2W9</t>
    <phoneticPr fontId="2" type="noConversion"/>
  </si>
  <si>
    <t>02/22~02/28</t>
    <phoneticPr fontId="2" type="noConversion"/>
  </si>
  <si>
    <t>26Q2W10</t>
  </si>
  <si>
    <t>0301-0307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</si>
</sst>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b/>
      <sz val="10"/>
      <name val="Microsoft JhengHei"/>
      <family val="2"/>
      <charset val="136"/>
    </font>
    <font>
      <sz val="13"/>
      <color theme="1"/>
      <name val="Helvetica Neue"/>
      <family val="2"/>
    </font>
    <font>
      <b/>
      <sz val="12"/>
      <color theme="1"/>
      <name val="Arial Italic"/>
    </font>
    <font>
      <b/>
      <sz val="14"/>
      <color theme="1"/>
      <name val="Arial Italic"/>
    </font>
    <font>
      <b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41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0" fontId="16" fillId="0" borderId="0" xfId="0" applyFont="1">
      <alignment vertical="center"/>
    </xf>
    <xf numFmtId="0" fontId="9" fillId="0" borderId="0" xfId="2" applyFont="1" applyAlignme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9" fontId="6" fillId="0" borderId="0" xfId="1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45F6-4B2F-7944-A1EC-E7E5896AE27B}">
  <sheetPr codeName="工作表1"/>
  <dimension ref="A1:CY65"/>
  <sheetViews>
    <sheetView tabSelected="1" topLeftCell="A6" zoomScale="81" workbookViewId="0">
      <pane xSplit="1" topLeftCell="BI1" activePane="topRight" state="frozen"/>
      <selection pane="topRight" activeCell="BW30" sqref="BW30"/>
    </sheetView>
  </sheetViews>
  <sheetFormatPr baseColWidth="10" defaultRowHeight="15"/>
  <cols>
    <col min="1" max="1" width="11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60" max="60" width="14.1640625" bestFit="1" customWidth="1"/>
    <col min="62" max="62" width="13" bestFit="1" customWidth="1"/>
    <col min="64" max="64" width="5" customWidth="1"/>
    <col min="68" max="68" width="14.1640625" bestFit="1" customWidth="1"/>
    <col min="72" max="72" width="5" customWidth="1"/>
    <col min="76" max="76" width="14.1640625" bestFit="1" customWidth="1"/>
    <col min="80" max="80" width="5" customWidth="1"/>
    <col min="84" max="84" width="14.1640625" bestFit="1" customWidth="1"/>
    <col min="88" max="88" width="5" customWidth="1"/>
    <col min="92" max="92" width="14.1640625" bestFit="1" customWidth="1"/>
    <col min="96" max="96" width="5" customWidth="1"/>
    <col min="100" max="100" width="14.1640625" bestFit="1" customWidth="1"/>
  </cols>
  <sheetData>
    <row r="1" spans="1:103" s="24" customFormat="1" ht="28" customHeight="1">
      <c r="A1" s="26" t="s">
        <v>22</v>
      </c>
      <c r="B1" s="26"/>
      <c r="D1" s="25"/>
      <c r="I1" s="26" t="s">
        <v>25</v>
      </c>
      <c r="J1" s="26"/>
      <c r="L1" s="25"/>
      <c r="Q1" s="26" t="s">
        <v>26</v>
      </c>
      <c r="R1" s="26"/>
      <c r="T1" s="25"/>
      <c r="Y1" s="26" t="s">
        <v>28</v>
      </c>
      <c r="Z1" s="26"/>
      <c r="AB1" s="25"/>
      <c r="AG1" s="26" t="s">
        <v>30</v>
      </c>
      <c r="AH1" s="26"/>
      <c r="AJ1" s="25"/>
      <c r="AO1" s="26" t="s">
        <v>32</v>
      </c>
      <c r="AP1" s="26"/>
      <c r="AR1" s="25"/>
      <c r="AW1" s="26" t="s">
        <v>34</v>
      </c>
      <c r="AX1" s="26"/>
      <c r="AZ1" s="25"/>
      <c r="BE1" s="26" t="s">
        <v>37</v>
      </c>
      <c r="BF1" s="26"/>
      <c r="BH1" s="25"/>
      <c r="BM1" s="26" t="s">
        <v>38</v>
      </c>
      <c r="BU1" s="26" t="s">
        <v>40</v>
      </c>
      <c r="BV1" s="26"/>
      <c r="BX1" s="25"/>
      <c r="CC1" s="26"/>
      <c r="CK1" s="26"/>
      <c r="CS1" s="26"/>
    </row>
    <row r="2" spans="1:103" s="20" customFormat="1" ht="18">
      <c r="A2" s="23" t="s">
        <v>23</v>
      </c>
      <c r="B2" s="22"/>
      <c r="D2" s="21"/>
      <c r="I2" s="23" t="s">
        <v>24</v>
      </c>
      <c r="K2" s="23"/>
      <c r="M2" s="23"/>
      <c r="O2" s="23"/>
      <c r="Q2" s="22" t="s">
        <v>27</v>
      </c>
      <c r="S2" s="23"/>
      <c r="U2" s="23"/>
      <c r="W2" s="23"/>
      <c r="Y2" s="20" t="s">
        <v>29</v>
      </c>
      <c r="Z2" s="22"/>
      <c r="AB2" s="21"/>
      <c r="AG2" s="20" t="s">
        <v>31</v>
      </c>
      <c r="AK2" s="22"/>
      <c r="AL2" s="22"/>
      <c r="AN2" s="21"/>
      <c r="AO2" s="20" t="s">
        <v>33</v>
      </c>
      <c r="AQ2" s="22"/>
      <c r="AR2" s="22"/>
      <c r="AT2" s="21"/>
      <c r="AW2" s="20" t="s">
        <v>35</v>
      </c>
      <c r="AY2" s="22"/>
      <c r="AZ2" s="22"/>
      <c r="BB2" s="21"/>
      <c r="BE2" s="20" t="s">
        <v>36</v>
      </c>
      <c r="BG2" s="22"/>
      <c r="BH2" s="22"/>
      <c r="BJ2" s="21"/>
      <c r="BM2" s="20" t="s">
        <v>39</v>
      </c>
      <c r="BN2" s="21"/>
      <c r="BP2" s="21"/>
      <c r="BQ2" s="21"/>
      <c r="BR2" s="21"/>
      <c r="BS2" s="21"/>
      <c r="BU2" s="20" t="s">
        <v>41</v>
      </c>
      <c r="BV2" s="21"/>
      <c r="BX2" s="21"/>
      <c r="BY2" s="21"/>
      <c r="BZ2" s="21"/>
      <c r="CA2" s="21"/>
      <c r="CC2" s="22"/>
      <c r="CD2" s="21"/>
      <c r="CF2" s="21"/>
      <c r="CG2" s="21"/>
      <c r="CH2" s="21"/>
      <c r="CI2" s="21"/>
      <c r="CK2" s="22"/>
      <c r="CL2" s="21"/>
      <c r="CN2" s="21"/>
      <c r="CO2" s="21"/>
      <c r="CP2" s="21"/>
      <c r="CQ2" s="21"/>
      <c r="CS2" s="22"/>
      <c r="CT2" s="21"/>
      <c r="CV2" s="21"/>
      <c r="CW2" s="21"/>
      <c r="CX2" s="21"/>
      <c r="CY2" s="21"/>
    </row>
    <row r="3" spans="1:103" s="20" customFormat="1" ht="28" customHeight="1">
      <c r="I3" s="31"/>
      <c r="Q3" s="31"/>
      <c r="T3" s="31"/>
      <c r="Y3" s="31"/>
      <c r="AB3" s="31"/>
      <c r="AG3" s="31"/>
    </row>
    <row r="4" spans="1:103" s="15" customFormat="1" ht="22" customHeight="1">
      <c r="A4" s="19" t="s">
        <v>18</v>
      </c>
      <c r="B4" s="19" t="s">
        <v>17</v>
      </c>
      <c r="C4" s="18" t="s">
        <v>16</v>
      </c>
      <c r="D4" s="17" t="s">
        <v>15</v>
      </c>
      <c r="E4" s="16" t="s">
        <v>14</v>
      </c>
      <c r="F4" s="16" t="s">
        <v>14</v>
      </c>
      <c r="G4" s="16" t="s">
        <v>14</v>
      </c>
      <c r="I4" s="19"/>
      <c r="J4" s="19"/>
      <c r="K4" s="18"/>
      <c r="L4" s="17"/>
      <c r="M4" s="16"/>
      <c r="N4" s="16"/>
      <c r="O4" s="16"/>
      <c r="Q4" s="19"/>
      <c r="R4" s="19"/>
      <c r="S4" s="18"/>
      <c r="T4" s="17"/>
      <c r="U4" s="16"/>
      <c r="V4" s="16"/>
      <c r="W4" s="16"/>
      <c r="Y4" s="19"/>
      <c r="Z4" s="19"/>
      <c r="AA4" s="18"/>
      <c r="AB4" s="17"/>
      <c r="AC4" s="16"/>
      <c r="AD4" s="16"/>
      <c r="AE4" s="16"/>
      <c r="AG4" s="19"/>
      <c r="AH4" s="19"/>
      <c r="AI4" s="18"/>
      <c r="AJ4" s="17"/>
      <c r="AK4" s="16"/>
      <c r="AL4" s="16"/>
      <c r="AM4" s="16"/>
      <c r="AO4" s="19" t="s">
        <v>18</v>
      </c>
      <c r="AP4" s="19"/>
      <c r="AQ4" s="18"/>
      <c r="AR4" s="17"/>
      <c r="AS4" s="16"/>
      <c r="AT4" s="16"/>
      <c r="AU4" s="16"/>
      <c r="AW4" s="19" t="s">
        <v>18</v>
      </c>
      <c r="AX4" s="19"/>
      <c r="AY4" s="18"/>
      <c r="AZ4" s="17"/>
      <c r="BA4" s="16"/>
      <c r="BB4" s="16"/>
      <c r="BC4" s="16"/>
      <c r="BE4" s="19" t="s">
        <v>18</v>
      </c>
      <c r="BF4" s="19"/>
      <c r="BG4" s="18"/>
      <c r="BH4" s="17"/>
      <c r="BI4" s="16"/>
      <c r="BJ4" s="16"/>
      <c r="BK4" s="16"/>
      <c r="BM4" s="19" t="s">
        <v>18</v>
      </c>
      <c r="BN4" s="19"/>
      <c r="BO4" s="18"/>
      <c r="BP4" s="17"/>
      <c r="BQ4" s="16"/>
      <c r="BR4" s="16"/>
      <c r="BS4" s="16"/>
      <c r="BU4" s="19" t="s">
        <v>18</v>
      </c>
      <c r="BV4" s="19"/>
      <c r="BW4" s="18"/>
      <c r="BX4" s="17"/>
      <c r="BY4" s="16"/>
      <c r="BZ4" s="16"/>
      <c r="CA4" s="16"/>
      <c r="CC4" s="19"/>
      <c r="CD4" s="19"/>
      <c r="CE4" s="18"/>
      <c r="CF4" s="17"/>
      <c r="CG4" s="16"/>
      <c r="CH4" s="16"/>
      <c r="CI4" s="16"/>
      <c r="CK4" s="19"/>
      <c r="CL4" s="19"/>
      <c r="CM4" s="18"/>
      <c r="CN4" s="17"/>
      <c r="CO4" s="16"/>
      <c r="CP4" s="16"/>
      <c r="CQ4" s="16"/>
      <c r="CS4" s="19"/>
      <c r="CT4" s="19"/>
      <c r="CU4" s="18"/>
      <c r="CV4" s="17"/>
      <c r="CW4" s="16"/>
      <c r="CX4" s="16"/>
      <c r="CY4" s="16"/>
    </row>
    <row r="5" spans="1:103" s="39" customFormat="1" ht="22" customHeight="1">
      <c r="A5" s="14">
        <v>75</v>
      </c>
      <c r="B5" s="32" t="s">
        <v>20</v>
      </c>
      <c r="C5" s="40">
        <v>7680</v>
      </c>
      <c r="D5" s="1"/>
      <c r="E5" s="37"/>
      <c r="F5" s="37"/>
      <c r="G5" s="37"/>
      <c r="H5" s="1"/>
      <c r="I5" s="14">
        <v>75</v>
      </c>
      <c r="J5" s="32" t="s">
        <v>20</v>
      </c>
      <c r="K5" s="40">
        <v>5672</v>
      </c>
      <c r="L5" s="1"/>
      <c r="M5" s="10">
        <f t="shared" ref="M5:N65" si="0">K5-C5</f>
        <v>-2008</v>
      </c>
      <c r="N5" s="12">
        <f t="shared" si="0"/>
        <v>0</v>
      </c>
      <c r="O5" s="11" t="e">
        <f t="shared" ref="O5:O65" si="1">(L5-D5)/D5</f>
        <v>#DIV/0!</v>
      </c>
      <c r="P5" s="1"/>
      <c r="Q5" s="14">
        <v>75</v>
      </c>
      <c r="R5" s="32" t="s">
        <v>20</v>
      </c>
      <c r="S5" s="40">
        <v>5976</v>
      </c>
      <c r="T5" s="1"/>
      <c r="U5" s="10">
        <f t="shared" ref="U5:U65" si="2">S5-K5</f>
        <v>304</v>
      </c>
      <c r="V5" s="12">
        <f t="shared" ref="V5:V65" si="3">T5-L5</f>
        <v>0</v>
      </c>
      <c r="W5" s="11" t="e">
        <f t="shared" ref="W5:W65" si="4">(T5-L5)/L5</f>
        <v>#DIV/0!</v>
      </c>
      <c r="X5" s="1"/>
      <c r="Y5" s="14">
        <v>75</v>
      </c>
      <c r="Z5" s="32" t="s">
        <v>20</v>
      </c>
      <c r="AA5" s="40">
        <v>7342</v>
      </c>
      <c r="AB5" s="1"/>
      <c r="AC5" s="10">
        <f t="shared" ref="AC5:AD65" si="5">AA5-S5</f>
        <v>1366</v>
      </c>
      <c r="AD5" s="12">
        <f t="shared" si="5"/>
        <v>0</v>
      </c>
      <c r="AE5" s="11" t="e">
        <f t="shared" ref="AE5:AE65" si="6">(AB5-T5)/T5</f>
        <v>#DIV/0!</v>
      </c>
      <c r="AF5" s="1"/>
      <c r="AG5" s="14">
        <v>75</v>
      </c>
      <c r="AH5" s="32" t="s">
        <v>20</v>
      </c>
      <c r="AI5" s="32">
        <v>8034</v>
      </c>
      <c r="AJ5" s="40"/>
      <c r="AK5" s="10">
        <f t="shared" ref="AK5:AL65" si="7">AI5-AA5</f>
        <v>692</v>
      </c>
      <c r="AL5" s="12">
        <f t="shared" si="7"/>
        <v>0</v>
      </c>
      <c r="AM5" s="11" t="e">
        <f t="shared" ref="AM5:AM65" si="8">(AJ5-AB5)/AB5</f>
        <v>#DIV/0!</v>
      </c>
      <c r="AN5" s="1"/>
      <c r="AO5" s="14">
        <v>75</v>
      </c>
      <c r="AP5" s="32" t="s">
        <v>20</v>
      </c>
      <c r="AQ5" s="40">
        <v>6923</v>
      </c>
      <c r="AR5" s="1"/>
      <c r="AS5" s="10">
        <f t="shared" ref="AS5:AT65" si="9">AQ5-AI5</f>
        <v>-1111</v>
      </c>
      <c r="AT5" s="12">
        <f t="shared" si="9"/>
        <v>0</v>
      </c>
      <c r="AU5" s="11" t="e">
        <f t="shared" ref="AU5:AU65" si="10">(AR5-AJ5)/AJ5</f>
        <v>#DIV/0!</v>
      </c>
      <c r="AV5" s="1"/>
      <c r="AW5" s="14">
        <v>75</v>
      </c>
      <c r="AX5" s="32" t="s">
        <v>20</v>
      </c>
      <c r="AY5" s="40">
        <v>8377</v>
      </c>
      <c r="AZ5" s="1"/>
      <c r="BA5" s="10">
        <f t="shared" ref="BA5:BA65" si="11">AY5-AQ5</f>
        <v>1454</v>
      </c>
      <c r="BB5" s="12">
        <f t="shared" ref="BB5:BB65" si="12">AZ5-AR5</f>
        <v>0</v>
      </c>
      <c r="BC5" s="11" t="e">
        <f t="shared" ref="BC5:BC65" si="13">(AZ5-AR5)/AR5</f>
        <v>#DIV/0!</v>
      </c>
      <c r="BD5" s="38"/>
      <c r="BE5" s="14">
        <v>75</v>
      </c>
      <c r="BF5" s="32" t="s">
        <v>20</v>
      </c>
      <c r="BG5" s="40">
        <v>13053</v>
      </c>
      <c r="BH5" s="1"/>
      <c r="BI5" s="10">
        <f t="shared" ref="BI5:BI65" si="14">BG5-AY5</f>
        <v>4676</v>
      </c>
      <c r="BJ5" s="12">
        <f t="shared" ref="BJ5:BJ65" si="15">BH5-AZ5</f>
        <v>0</v>
      </c>
      <c r="BK5" s="11" t="e">
        <f t="shared" ref="BK5:BK65" si="16">(BH5-AZ5)/AZ5</f>
        <v>#DIV/0!</v>
      </c>
      <c r="BL5" s="38"/>
      <c r="BM5" s="14">
        <v>75</v>
      </c>
      <c r="BN5" s="32" t="s">
        <v>20</v>
      </c>
      <c r="BO5" s="40">
        <v>7390</v>
      </c>
      <c r="BP5" s="1"/>
      <c r="BQ5" s="10">
        <f t="shared" ref="BQ5:BQ65" si="17">BO5-BG5</f>
        <v>-5663</v>
      </c>
      <c r="BR5" s="12">
        <f t="shared" ref="BR5:BR65" si="18">BP5-BH5</f>
        <v>0</v>
      </c>
      <c r="BS5" s="11" t="e">
        <f t="shared" ref="BS5:BS65" si="19">(BP5-BH5)/BH5</f>
        <v>#DIV/0!</v>
      </c>
      <c r="BT5" s="38"/>
      <c r="BU5" s="14">
        <v>75</v>
      </c>
      <c r="BV5" s="32" t="s">
        <v>20</v>
      </c>
      <c r="BW5" s="15">
        <v>5435</v>
      </c>
      <c r="BX5" s="33"/>
      <c r="BY5" s="10">
        <f t="shared" ref="BY5:BY36" si="20">BW5-BO5</f>
        <v>-1955</v>
      </c>
      <c r="BZ5" s="12">
        <f t="shared" ref="BZ5:BZ65" si="21">BX5-BP5</f>
        <v>0</v>
      </c>
      <c r="CA5" s="11" t="e">
        <f t="shared" ref="CA5:CA65" si="22">(BX5-BP5)/BP5</f>
        <v>#DIV/0!</v>
      </c>
      <c r="CB5" s="38"/>
      <c r="CC5" s="14"/>
      <c r="CD5" s="32"/>
      <c r="CE5" s="15"/>
      <c r="CF5" s="33"/>
      <c r="CG5" s="10"/>
      <c r="CH5" s="12"/>
      <c r="CI5" s="11"/>
      <c r="CJ5" s="38"/>
      <c r="CK5" s="14"/>
      <c r="CL5" s="32"/>
      <c r="CM5" s="15"/>
      <c r="CN5" s="33"/>
      <c r="CO5" s="10"/>
      <c r="CP5" s="12"/>
      <c r="CQ5" s="11"/>
      <c r="CR5" s="38"/>
      <c r="CS5" s="14"/>
      <c r="CT5" s="32"/>
      <c r="CU5" s="15"/>
      <c r="CV5" s="33"/>
      <c r="CW5" s="10"/>
      <c r="CX5" s="12"/>
      <c r="CY5" s="11"/>
    </row>
    <row r="6" spans="1:103" s="15" customFormat="1" ht="22" customHeight="1">
      <c r="A6" s="14"/>
      <c r="B6" s="32" t="s">
        <v>21</v>
      </c>
      <c r="C6" s="15">
        <v>17</v>
      </c>
      <c r="D6" s="33"/>
      <c r="E6" s="34"/>
      <c r="F6" s="34"/>
      <c r="G6" s="34"/>
      <c r="I6" s="14"/>
      <c r="J6" s="32" t="s">
        <v>21</v>
      </c>
      <c r="K6" s="15">
        <v>15</v>
      </c>
      <c r="L6" s="33"/>
      <c r="M6" s="10">
        <f t="shared" si="0"/>
        <v>-2</v>
      </c>
      <c r="N6" s="12">
        <f t="shared" si="0"/>
        <v>0</v>
      </c>
      <c r="O6" s="11" t="e">
        <f t="shared" si="1"/>
        <v>#DIV/0!</v>
      </c>
      <c r="Q6" s="14"/>
      <c r="R6" s="32" t="s">
        <v>21</v>
      </c>
      <c r="S6" s="15">
        <v>19</v>
      </c>
      <c r="T6" s="33"/>
      <c r="U6" s="10">
        <f t="shared" si="2"/>
        <v>4</v>
      </c>
      <c r="V6" s="12">
        <f t="shared" si="3"/>
        <v>0</v>
      </c>
      <c r="W6" s="11" t="e">
        <f t="shared" si="4"/>
        <v>#DIV/0!</v>
      </c>
      <c r="Y6" s="14"/>
      <c r="Z6" s="32" t="s">
        <v>21</v>
      </c>
      <c r="AA6" s="15">
        <v>24</v>
      </c>
      <c r="AB6" s="33"/>
      <c r="AC6" s="10">
        <f t="shared" si="5"/>
        <v>5</v>
      </c>
      <c r="AD6" s="12">
        <f t="shared" si="5"/>
        <v>0</v>
      </c>
      <c r="AE6" s="11" t="e">
        <f t="shared" si="6"/>
        <v>#DIV/0!</v>
      </c>
      <c r="AG6" s="14"/>
      <c r="AH6" s="32" t="s">
        <v>21</v>
      </c>
      <c r="AI6" s="32">
        <v>25</v>
      </c>
      <c r="AK6" s="10">
        <f t="shared" si="7"/>
        <v>1</v>
      </c>
      <c r="AL6" s="12">
        <f t="shared" si="7"/>
        <v>0</v>
      </c>
      <c r="AM6" s="11" t="e">
        <f t="shared" si="8"/>
        <v>#DIV/0!</v>
      </c>
      <c r="AO6" s="14"/>
      <c r="AP6" s="32" t="s">
        <v>21</v>
      </c>
      <c r="AQ6" s="15">
        <v>19</v>
      </c>
      <c r="AR6" s="33"/>
      <c r="AS6" s="10">
        <f t="shared" si="9"/>
        <v>-6</v>
      </c>
      <c r="AT6" s="12">
        <f t="shared" si="9"/>
        <v>0</v>
      </c>
      <c r="AU6" s="11" t="e">
        <f t="shared" si="10"/>
        <v>#DIV/0!</v>
      </c>
      <c r="AW6" s="14"/>
      <c r="AX6" s="32" t="s">
        <v>21</v>
      </c>
      <c r="AY6" s="15">
        <v>31</v>
      </c>
      <c r="AZ6" s="33"/>
      <c r="BA6" s="10">
        <f t="shared" si="11"/>
        <v>12</v>
      </c>
      <c r="BB6" s="12">
        <f t="shared" si="12"/>
        <v>0</v>
      </c>
      <c r="BC6" s="11" t="e">
        <f t="shared" si="13"/>
        <v>#DIV/0!</v>
      </c>
      <c r="BE6" s="14"/>
      <c r="BF6" s="32" t="s">
        <v>21</v>
      </c>
      <c r="BG6" s="15">
        <v>18</v>
      </c>
      <c r="BH6" s="33"/>
      <c r="BI6" s="10">
        <f t="shared" si="14"/>
        <v>-13</v>
      </c>
      <c r="BJ6" s="12">
        <f t="shared" si="15"/>
        <v>0</v>
      </c>
      <c r="BK6" s="11" t="e">
        <f t="shared" si="16"/>
        <v>#DIV/0!</v>
      </c>
      <c r="BM6" s="14"/>
      <c r="BN6" s="32" t="s">
        <v>21</v>
      </c>
      <c r="BO6" s="15">
        <v>12</v>
      </c>
      <c r="BP6" s="33"/>
      <c r="BQ6" s="10">
        <f t="shared" si="17"/>
        <v>-6</v>
      </c>
      <c r="BR6" s="12">
        <f t="shared" si="18"/>
        <v>0</v>
      </c>
      <c r="BS6" s="11" t="e">
        <f t="shared" si="19"/>
        <v>#DIV/0!</v>
      </c>
      <c r="BU6" s="14"/>
      <c r="BV6" s="32" t="s">
        <v>21</v>
      </c>
      <c r="BW6" s="15">
        <v>13</v>
      </c>
      <c r="BX6" s="33"/>
      <c r="BY6" s="10">
        <f t="shared" si="20"/>
        <v>1</v>
      </c>
      <c r="BZ6" s="12">
        <f t="shared" si="21"/>
        <v>0</v>
      </c>
      <c r="CA6" s="11" t="e">
        <f t="shared" si="22"/>
        <v>#DIV/0!</v>
      </c>
      <c r="CC6" s="14"/>
      <c r="CD6" s="32"/>
      <c r="CF6" s="33"/>
      <c r="CG6" s="10"/>
      <c r="CH6" s="12"/>
      <c r="CI6" s="11"/>
      <c r="CK6" s="14"/>
      <c r="CL6" s="32"/>
      <c r="CN6" s="33"/>
      <c r="CO6" s="10"/>
      <c r="CP6" s="12"/>
      <c r="CQ6" s="11"/>
      <c r="CS6" s="14"/>
      <c r="CT6" s="32"/>
      <c r="CV6" s="33"/>
      <c r="CW6" s="10"/>
      <c r="CX6" s="12"/>
      <c r="CY6" s="11"/>
    </row>
    <row r="7" spans="1:103" s="10" customFormat="1" ht="20" customHeight="1">
      <c r="A7" s="14"/>
      <c r="B7" s="13" t="s">
        <v>10</v>
      </c>
      <c r="C7" s="10">
        <v>327</v>
      </c>
      <c r="D7" s="12">
        <v>303906.66666564974</v>
      </c>
      <c r="F7" s="12"/>
      <c r="G7" s="11"/>
      <c r="I7" s="14"/>
      <c r="J7" s="13" t="s">
        <v>10</v>
      </c>
      <c r="K7" s="10">
        <v>252</v>
      </c>
      <c r="L7" s="12">
        <v>237711.42857069001</v>
      </c>
      <c r="M7" s="10">
        <f t="shared" si="0"/>
        <v>-75</v>
      </c>
      <c r="N7" s="12">
        <f t="shared" si="0"/>
        <v>-66195.238094959728</v>
      </c>
      <c r="O7" s="11">
        <f t="shared" si="1"/>
        <v>-0.21781436656598921</v>
      </c>
      <c r="Q7" s="14"/>
      <c r="R7" s="13" t="s">
        <v>10</v>
      </c>
      <c r="S7" s="10">
        <v>326</v>
      </c>
      <c r="T7" s="12">
        <v>338219.99999906967</v>
      </c>
      <c r="U7" s="10">
        <f t="shared" si="2"/>
        <v>74</v>
      </c>
      <c r="V7" s="12">
        <f t="shared" si="3"/>
        <v>100508.57142837966</v>
      </c>
      <c r="W7" s="11">
        <f t="shared" si="4"/>
        <v>0.42281758194259755</v>
      </c>
      <c r="Y7" s="14"/>
      <c r="Z7" s="13" t="s">
        <v>10</v>
      </c>
      <c r="AA7" s="10">
        <v>295</v>
      </c>
      <c r="AB7" s="12">
        <v>296708.57142756984</v>
      </c>
      <c r="AC7" s="10">
        <f t="shared" si="5"/>
        <v>-31</v>
      </c>
      <c r="AD7" s="12">
        <f t="shared" si="5"/>
        <v>-41511.428571499826</v>
      </c>
      <c r="AE7" s="11">
        <f t="shared" si="6"/>
        <v>-0.12273499075044057</v>
      </c>
      <c r="AG7" s="14"/>
      <c r="AH7" s="13" t="s">
        <v>10</v>
      </c>
      <c r="AI7" s="13">
        <v>350</v>
      </c>
      <c r="AJ7" s="10">
        <v>352479.99999889999</v>
      </c>
      <c r="AK7" s="10">
        <f t="shared" si="7"/>
        <v>55</v>
      </c>
      <c r="AL7" s="12">
        <f t="shared" si="7"/>
        <v>55771.428571330151</v>
      </c>
      <c r="AM7" s="11">
        <f t="shared" si="8"/>
        <v>0.1879670287346068</v>
      </c>
      <c r="AO7" s="14"/>
      <c r="AP7" s="13" t="s">
        <v>10</v>
      </c>
      <c r="AQ7" s="10">
        <v>291</v>
      </c>
      <c r="AR7" s="12">
        <v>327441.90476075973</v>
      </c>
      <c r="AS7" s="10">
        <f t="shared" si="9"/>
        <v>-59</v>
      </c>
      <c r="AT7" s="12">
        <f t="shared" si="9"/>
        <v>-25038.09523814026</v>
      </c>
      <c r="AU7" s="11">
        <f t="shared" si="10"/>
        <v>-7.1034087716234678E-2</v>
      </c>
      <c r="AW7" s="14"/>
      <c r="AX7" s="13" t="s">
        <v>10</v>
      </c>
      <c r="AY7" s="10">
        <v>342</v>
      </c>
      <c r="AZ7" s="12">
        <v>335288.5714273898</v>
      </c>
      <c r="BA7" s="10">
        <f t="shared" si="11"/>
        <v>51</v>
      </c>
      <c r="BB7" s="12">
        <f t="shared" si="12"/>
        <v>7846.6666666300735</v>
      </c>
      <c r="BC7" s="11">
        <f t="shared" si="13"/>
        <v>2.3963538424818034E-2</v>
      </c>
      <c r="BE7" s="14"/>
      <c r="BF7" s="13" t="s">
        <v>10</v>
      </c>
      <c r="BG7" s="10">
        <v>385</v>
      </c>
      <c r="BH7" s="12">
        <v>392687.61904632015</v>
      </c>
      <c r="BI7" s="10">
        <f t="shared" si="14"/>
        <v>43</v>
      </c>
      <c r="BJ7" s="12">
        <f t="shared" si="15"/>
        <v>57399.047618930344</v>
      </c>
      <c r="BK7" s="11">
        <f t="shared" si="16"/>
        <v>0.17119297378545068</v>
      </c>
      <c r="BM7" s="14"/>
      <c r="BN7" s="13" t="s">
        <v>10</v>
      </c>
      <c r="BO7" s="10">
        <v>278</v>
      </c>
      <c r="BP7" s="12">
        <v>285419.99999915995</v>
      </c>
      <c r="BQ7" s="10">
        <f t="shared" si="17"/>
        <v>-107</v>
      </c>
      <c r="BR7" s="12">
        <f t="shared" si="18"/>
        <v>-107267.6190471602</v>
      </c>
      <c r="BS7" s="11">
        <f t="shared" si="19"/>
        <v>-0.27316272233810168</v>
      </c>
      <c r="BU7" s="14"/>
      <c r="BV7" s="13" t="s">
        <v>10</v>
      </c>
      <c r="BW7" s="10">
        <v>192</v>
      </c>
      <c r="BX7" s="12">
        <v>227552.38095164995</v>
      </c>
      <c r="BY7" s="10">
        <f t="shared" si="20"/>
        <v>-86</v>
      </c>
      <c r="BZ7" s="12">
        <f t="shared" si="21"/>
        <v>-57867.619047510001</v>
      </c>
      <c r="CA7" s="11">
        <f t="shared" si="22"/>
        <v>-0.20274549452624313</v>
      </c>
      <c r="CC7" s="14"/>
      <c r="CD7" s="13"/>
      <c r="CF7" s="12"/>
      <c r="CH7" s="12"/>
      <c r="CI7" s="11"/>
      <c r="CK7" s="14"/>
      <c r="CL7" s="13"/>
      <c r="CN7" s="12"/>
      <c r="CP7" s="12"/>
      <c r="CQ7" s="11"/>
      <c r="CS7" s="14"/>
      <c r="CT7" s="13"/>
      <c r="CV7" s="12"/>
      <c r="CX7" s="12"/>
      <c r="CY7" s="11"/>
    </row>
    <row r="8" spans="1:103" s="10" customFormat="1" ht="20" customHeight="1">
      <c r="A8" s="14"/>
      <c r="B8" s="13" t="s">
        <v>9</v>
      </c>
      <c r="C8" s="10">
        <v>322</v>
      </c>
      <c r="D8" s="12">
        <v>428662.85714271001</v>
      </c>
      <c r="F8" s="12"/>
      <c r="G8" s="11"/>
      <c r="I8" s="14"/>
      <c r="J8" s="13" t="s">
        <v>9</v>
      </c>
      <c r="K8" s="10">
        <v>298</v>
      </c>
      <c r="L8" s="12">
        <v>378361.90476166992</v>
      </c>
      <c r="M8" s="10">
        <f t="shared" si="0"/>
        <v>-24</v>
      </c>
      <c r="N8" s="12">
        <f t="shared" si="0"/>
        <v>-50300.952381040086</v>
      </c>
      <c r="O8" s="11">
        <f t="shared" si="1"/>
        <v>-0.11734385553328672</v>
      </c>
      <c r="Q8" s="14"/>
      <c r="R8" s="13" t="s">
        <v>9</v>
      </c>
      <c r="S8" s="10">
        <v>290</v>
      </c>
      <c r="T8" s="12">
        <v>366126.6666664799</v>
      </c>
      <c r="U8" s="10">
        <f t="shared" si="2"/>
        <v>-8</v>
      </c>
      <c r="V8" s="12">
        <f t="shared" si="3"/>
        <v>-12235.238095190027</v>
      </c>
      <c r="W8" s="11">
        <f t="shared" si="4"/>
        <v>-3.2337394281004586E-2</v>
      </c>
      <c r="Y8" s="14"/>
      <c r="Z8" s="13" t="s">
        <v>9</v>
      </c>
      <c r="AA8" s="10">
        <v>331</v>
      </c>
      <c r="AB8" s="12">
        <v>474830.47619021981</v>
      </c>
      <c r="AC8" s="10">
        <f t="shared" si="5"/>
        <v>41</v>
      </c>
      <c r="AD8" s="12">
        <f t="shared" si="5"/>
        <v>108703.80952373991</v>
      </c>
      <c r="AE8" s="11">
        <f t="shared" si="6"/>
        <v>0.2969021910189425</v>
      </c>
      <c r="AG8" s="14"/>
      <c r="AH8" s="13" t="s">
        <v>9</v>
      </c>
      <c r="AI8" s="13">
        <v>364</v>
      </c>
      <c r="AJ8" s="10">
        <v>510521.9047616999</v>
      </c>
      <c r="AK8" s="10">
        <f t="shared" si="7"/>
        <v>33</v>
      </c>
      <c r="AL8" s="12">
        <f t="shared" si="7"/>
        <v>35691.428571480094</v>
      </c>
      <c r="AM8" s="11">
        <f t="shared" si="8"/>
        <v>7.5166676026881443E-2</v>
      </c>
      <c r="AO8" s="14"/>
      <c r="AP8" s="13" t="s">
        <v>9</v>
      </c>
      <c r="AQ8" s="10">
        <v>293</v>
      </c>
      <c r="AR8" s="12">
        <v>472234.28571407998</v>
      </c>
      <c r="AS8" s="10">
        <f t="shared" si="9"/>
        <v>-71</v>
      </c>
      <c r="AT8" s="12">
        <f t="shared" si="9"/>
        <v>-38287.619047619926</v>
      </c>
      <c r="AU8" s="11">
        <f t="shared" si="10"/>
        <v>-7.4997015192701133E-2</v>
      </c>
      <c r="AW8" s="14"/>
      <c r="AX8" s="13" t="s">
        <v>9</v>
      </c>
      <c r="AY8" s="10">
        <v>347</v>
      </c>
      <c r="AZ8" s="12">
        <v>448236.19047601998</v>
      </c>
      <c r="BA8" s="10">
        <f t="shared" si="11"/>
        <v>54</v>
      </c>
      <c r="BB8" s="12">
        <f t="shared" si="12"/>
        <v>-23998.095238059992</v>
      </c>
      <c r="BC8" s="11">
        <f t="shared" si="13"/>
        <v>-5.0818197585488174E-2</v>
      </c>
      <c r="BE8" s="14"/>
      <c r="BF8" s="13" t="s">
        <v>9</v>
      </c>
      <c r="BG8" s="10">
        <v>353</v>
      </c>
      <c r="BH8" s="12">
        <v>458364.76190460002</v>
      </c>
      <c r="BI8" s="10">
        <f t="shared" si="14"/>
        <v>6</v>
      </c>
      <c r="BJ8" s="12">
        <f t="shared" si="15"/>
        <v>10128.571428580035</v>
      </c>
      <c r="BK8" s="11">
        <f t="shared" si="16"/>
        <v>2.2596505243861829E-2</v>
      </c>
      <c r="BM8" s="14"/>
      <c r="BN8" s="13" t="s">
        <v>9</v>
      </c>
      <c r="BO8" s="10">
        <v>372</v>
      </c>
      <c r="BP8" s="12">
        <v>461889.52380932996</v>
      </c>
      <c r="BQ8" s="10">
        <f t="shared" si="17"/>
        <v>19</v>
      </c>
      <c r="BR8" s="12">
        <f t="shared" si="18"/>
        <v>3524.7619047299377</v>
      </c>
      <c r="BS8" s="11">
        <f t="shared" si="19"/>
        <v>7.6898623054787755E-3</v>
      </c>
      <c r="BU8" s="14"/>
      <c r="BV8" s="13" t="s">
        <v>9</v>
      </c>
      <c r="BW8" s="10">
        <v>251</v>
      </c>
      <c r="BX8" s="12">
        <v>308536.19047602999</v>
      </c>
      <c r="BY8" s="10">
        <f t="shared" si="20"/>
        <v>-121</v>
      </c>
      <c r="BZ8" s="12">
        <f t="shared" si="21"/>
        <v>-153353.33333329996</v>
      </c>
      <c r="CA8" s="11">
        <f t="shared" si="22"/>
        <v>-0.33201301486241308</v>
      </c>
      <c r="CC8" s="14"/>
      <c r="CD8" s="13"/>
      <c r="CF8" s="12"/>
      <c r="CH8" s="12"/>
      <c r="CI8" s="11"/>
      <c r="CK8" s="14"/>
      <c r="CL8" s="13"/>
      <c r="CN8" s="12"/>
      <c r="CP8" s="12"/>
      <c r="CQ8" s="11"/>
      <c r="CS8" s="14"/>
      <c r="CT8" s="13"/>
      <c r="CV8" s="12"/>
      <c r="CX8" s="12"/>
      <c r="CY8" s="11"/>
    </row>
    <row r="9" spans="1:103" s="10" customFormat="1" ht="20" customHeight="1">
      <c r="A9" s="14"/>
      <c r="B9" s="13" t="s">
        <v>8</v>
      </c>
      <c r="C9" s="10">
        <v>99</v>
      </c>
      <c r="D9" s="12">
        <v>718104.76190474001</v>
      </c>
      <c r="F9" s="12"/>
      <c r="G9" s="11"/>
      <c r="I9" s="14"/>
      <c r="J9" s="13" t="s">
        <v>8</v>
      </c>
      <c r="K9" s="10">
        <v>100</v>
      </c>
      <c r="L9" s="12">
        <v>664761.90476187994</v>
      </c>
      <c r="M9" s="10">
        <f t="shared" si="0"/>
        <v>1</v>
      </c>
      <c r="N9" s="12">
        <f t="shared" si="0"/>
        <v>-53342.85714286007</v>
      </c>
      <c r="O9" s="11">
        <f t="shared" si="1"/>
        <v>-7.4282834445172849E-2</v>
      </c>
      <c r="Q9" s="14"/>
      <c r="R9" s="13" t="s">
        <v>8</v>
      </c>
      <c r="S9" s="10">
        <v>151</v>
      </c>
      <c r="T9" s="12">
        <v>951895.23809521995</v>
      </c>
      <c r="U9" s="10">
        <f t="shared" si="2"/>
        <v>51</v>
      </c>
      <c r="V9" s="12">
        <f t="shared" si="3"/>
        <v>287133.33333334001</v>
      </c>
      <c r="W9" s="11">
        <f t="shared" si="4"/>
        <v>0.43193409742122962</v>
      </c>
      <c r="Y9" s="14"/>
      <c r="Z9" s="13" t="s">
        <v>8</v>
      </c>
      <c r="AA9" s="10">
        <v>144</v>
      </c>
      <c r="AB9" s="12">
        <v>952819.04761901998</v>
      </c>
      <c r="AC9" s="10">
        <f t="shared" si="5"/>
        <v>-7</v>
      </c>
      <c r="AD9" s="12">
        <f t="shared" si="5"/>
        <v>923.80952380003873</v>
      </c>
      <c r="AE9" s="11">
        <f t="shared" si="6"/>
        <v>9.7049495241579122E-4</v>
      </c>
      <c r="AG9" s="14"/>
      <c r="AH9" s="13" t="s">
        <v>8</v>
      </c>
      <c r="AI9" s="13">
        <v>147</v>
      </c>
      <c r="AJ9" s="10">
        <v>990885.71428568999</v>
      </c>
      <c r="AK9" s="10">
        <f t="shared" si="7"/>
        <v>3</v>
      </c>
      <c r="AL9" s="12">
        <f t="shared" si="7"/>
        <v>38066.666666670004</v>
      </c>
      <c r="AM9" s="11">
        <f t="shared" si="8"/>
        <v>3.9951622253767929E-2</v>
      </c>
      <c r="AO9" s="14"/>
      <c r="AP9" s="13" t="s">
        <v>8</v>
      </c>
      <c r="AQ9" s="10">
        <v>145</v>
      </c>
      <c r="AR9" s="12">
        <v>975405.71428568999</v>
      </c>
      <c r="AS9" s="10">
        <f t="shared" si="9"/>
        <v>-2</v>
      </c>
      <c r="AT9" s="12">
        <f t="shared" si="9"/>
        <v>-15480</v>
      </c>
      <c r="AU9" s="11">
        <f t="shared" si="10"/>
        <v>-1.5622386897725361E-2</v>
      </c>
      <c r="AW9" s="14"/>
      <c r="AX9" s="13" t="s">
        <v>8</v>
      </c>
      <c r="AY9" s="10">
        <v>158</v>
      </c>
      <c r="AZ9" s="12">
        <v>1055612.3809523501</v>
      </c>
      <c r="BA9" s="10">
        <f t="shared" si="11"/>
        <v>13</v>
      </c>
      <c r="BB9" s="12">
        <f t="shared" si="12"/>
        <v>80206.666666660109</v>
      </c>
      <c r="BC9" s="11">
        <f t="shared" si="13"/>
        <v>8.2229030947801166E-2</v>
      </c>
      <c r="BE9" s="14"/>
      <c r="BF9" s="13" t="s">
        <v>8</v>
      </c>
      <c r="BG9" s="10">
        <v>150</v>
      </c>
      <c r="BH9" s="12">
        <v>1016579.0476189899</v>
      </c>
      <c r="BI9" s="10">
        <f t="shared" si="14"/>
        <v>-8</v>
      </c>
      <c r="BJ9" s="12">
        <f t="shared" si="15"/>
        <v>-39033.333333360148</v>
      </c>
      <c r="BK9" s="11">
        <f t="shared" si="16"/>
        <v>-3.6976956729273237E-2</v>
      </c>
      <c r="BM9" s="14"/>
      <c r="BN9" s="13" t="s">
        <v>8</v>
      </c>
      <c r="BO9" s="10">
        <v>114</v>
      </c>
      <c r="BP9" s="12">
        <v>758651.42857138999</v>
      </c>
      <c r="BQ9" s="10">
        <f t="shared" si="17"/>
        <v>-36</v>
      </c>
      <c r="BR9" s="12">
        <f t="shared" si="18"/>
        <v>-257927.61904759996</v>
      </c>
      <c r="BS9" s="11">
        <f t="shared" si="19"/>
        <v>-0.25372116379116078</v>
      </c>
      <c r="BU9" s="14"/>
      <c r="BV9" s="13" t="s">
        <v>8</v>
      </c>
      <c r="BW9" s="10">
        <v>73</v>
      </c>
      <c r="BX9" s="12">
        <v>487876.19047616998</v>
      </c>
      <c r="BY9" s="10">
        <f t="shared" si="20"/>
        <v>-41</v>
      </c>
      <c r="BZ9" s="12">
        <f t="shared" si="21"/>
        <v>-270775.23809522</v>
      </c>
      <c r="CA9" s="11">
        <f t="shared" si="22"/>
        <v>-0.35691653359845976</v>
      </c>
      <c r="CC9" s="14"/>
      <c r="CD9" s="13"/>
      <c r="CF9" s="12"/>
      <c r="CH9" s="12"/>
      <c r="CI9" s="11"/>
      <c r="CK9" s="14"/>
      <c r="CL9" s="13"/>
      <c r="CN9" s="12"/>
      <c r="CP9" s="12"/>
      <c r="CQ9" s="11"/>
      <c r="CS9" s="14"/>
      <c r="CT9" s="13"/>
      <c r="CV9" s="12"/>
      <c r="CX9" s="12"/>
      <c r="CY9" s="11"/>
    </row>
    <row r="10" spans="1:103" s="10" customFormat="1" ht="20" customHeight="1">
      <c r="A10" s="14"/>
      <c r="B10" s="13" t="s">
        <v>7</v>
      </c>
      <c r="C10" s="10">
        <v>61</v>
      </c>
      <c r="D10" s="12">
        <v>872761.90476180997</v>
      </c>
      <c r="F10" s="12"/>
      <c r="G10" s="11"/>
      <c r="I10" s="14"/>
      <c r="J10" s="13" t="s">
        <v>7</v>
      </c>
      <c r="K10" s="10">
        <v>47</v>
      </c>
      <c r="L10" s="12">
        <v>616476.1904761201</v>
      </c>
      <c r="M10" s="10">
        <f t="shared" si="0"/>
        <v>-14</v>
      </c>
      <c r="N10" s="12">
        <f t="shared" si="0"/>
        <v>-256285.71428568987</v>
      </c>
      <c r="O10" s="11">
        <f t="shared" si="1"/>
        <v>-0.29364906154518072</v>
      </c>
      <c r="Q10" s="14"/>
      <c r="R10" s="13" t="s">
        <v>7</v>
      </c>
      <c r="S10" s="10">
        <v>47</v>
      </c>
      <c r="T10" s="12">
        <v>694571.42857134005</v>
      </c>
      <c r="U10" s="10">
        <f t="shared" si="2"/>
        <v>0</v>
      </c>
      <c r="V10" s="12">
        <f t="shared" si="3"/>
        <v>78095.238095219946</v>
      </c>
      <c r="W10" s="11">
        <f t="shared" si="4"/>
        <v>0.12668005561561918</v>
      </c>
      <c r="Y10" s="14"/>
      <c r="Z10" s="13" t="s">
        <v>7</v>
      </c>
      <c r="AA10" s="10">
        <v>93</v>
      </c>
      <c r="AB10" s="12">
        <v>1138761.9047617901</v>
      </c>
      <c r="AC10" s="10">
        <f t="shared" si="5"/>
        <v>46</v>
      </c>
      <c r="AD10" s="12">
        <f t="shared" si="5"/>
        <v>444190.47619045002</v>
      </c>
      <c r="AE10" s="11">
        <f t="shared" si="6"/>
        <v>0.63951734539974214</v>
      </c>
      <c r="AG10" s="14"/>
      <c r="AH10" s="13" t="s">
        <v>7</v>
      </c>
      <c r="AI10" s="13">
        <v>84</v>
      </c>
      <c r="AJ10" s="10">
        <v>1227238.0952379901</v>
      </c>
      <c r="AK10" s="10">
        <f t="shared" si="7"/>
        <v>-9</v>
      </c>
      <c r="AL10" s="12">
        <f t="shared" si="7"/>
        <v>88476.190476200078</v>
      </c>
      <c r="AM10" s="11">
        <f t="shared" si="8"/>
        <v>7.7695074015237467E-2</v>
      </c>
      <c r="AO10" s="14"/>
      <c r="AP10" s="13" t="s">
        <v>7</v>
      </c>
      <c r="AQ10" s="10">
        <v>88</v>
      </c>
      <c r="AR10" s="12">
        <v>1192571.4285713502</v>
      </c>
      <c r="AS10" s="10">
        <f t="shared" si="9"/>
        <v>4</v>
      </c>
      <c r="AT10" s="12">
        <f t="shared" si="9"/>
        <v>-34666.666666639969</v>
      </c>
      <c r="AU10" s="11">
        <f t="shared" si="10"/>
        <v>-2.8247710693756856E-2</v>
      </c>
      <c r="AW10" s="14"/>
      <c r="AX10" s="13" t="s">
        <v>7</v>
      </c>
      <c r="AY10" s="10">
        <v>81</v>
      </c>
      <c r="AZ10" s="12">
        <v>1172285.71428562</v>
      </c>
      <c r="BA10" s="10">
        <f t="shared" si="11"/>
        <v>-7</v>
      </c>
      <c r="BB10" s="12">
        <f t="shared" si="12"/>
        <v>-20285.714285730151</v>
      </c>
      <c r="BC10" s="11">
        <f t="shared" si="13"/>
        <v>-1.7010062290383373E-2</v>
      </c>
      <c r="BE10" s="14"/>
      <c r="BF10" s="13" t="s">
        <v>7</v>
      </c>
      <c r="BG10" s="10">
        <v>95</v>
      </c>
      <c r="BH10" s="12">
        <v>1234760.95238086</v>
      </c>
      <c r="BI10" s="10">
        <f t="shared" si="14"/>
        <v>14</v>
      </c>
      <c r="BJ10" s="12">
        <f t="shared" si="15"/>
        <v>62475.238095239969</v>
      </c>
      <c r="BK10" s="11">
        <f t="shared" si="16"/>
        <v>5.3293525062967945E-2</v>
      </c>
      <c r="BM10" s="14"/>
      <c r="BN10" s="13" t="s">
        <v>7</v>
      </c>
      <c r="BO10" s="10">
        <v>62</v>
      </c>
      <c r="BP10" s="12">
        <v>947427.61904750997</v>
      </c>
      <c r="BQ10" s="10">
        <f t="shared" si="17"/>
        <v>-33</v>
      </c>
      <c r="BR10" s="12">
        <f t="shared" si="18"/>
        <v>-287333.33333335002</v>
      </c>
      <c r="BS10" s="11">
        <f t="shared" si="19"/>
        <v>-0.23270361180381943</v>
      </c>
      <c r="BU10" s="14"/>
      <c r="BV10" s="13" t="s">
        <v>7</v>
      </c>
      <c r="BW10" s="10">
        <v>36</v>
      </c>
      <c r="BX10" s="12">
        <v>459904.76190469001</v>
      </c>
      <c r="BY10" s="10">
        <f t="shared" si="20"/>
        <v>-26</v>
      </c>
      <c r="BZ10" s="12">
        <f t="shared" si="21"/>
        <v>-487522.85714281996</v>
      </c>
      <c r="CA10" s="11">
        <f t="shared" si="22"/>
        <v>-0.51457530616739655</v>
      </c>
      <c r="CC10" s="14"/>
      <c r="CD10" s="13"/>
      <c r="CF10" s="12"/>
      <c r="CH10" s="12"/>
      <c r="CI10" s="11"/>
      <c r="CK10" s="14"/>
      <c r="CL10" s="13"/>
      <c r="CN10" s="12"/>
      <c r="CP10" s="12"/>
      <c r="CQ10" s="11"/>
      <c r="CS10" s="14"/>
      <c r="CT10" s="13"/>
      <c r="CV10" s="12"/>
      <c r="CX10" s="12"/>
      <c r="CY10" s="11"/>
    </row>
    <row r="11" spans="1:103" s="10" customFormat="1" ht="20" customHeight="1">
      <c r="A11" s="14"/>
      <c r="B11" s="13" t="s">
        <v>6</v>
      </c>
      <c r="D11" s="12"/>
      <c r="F11" s="12"/>
      <c r="G11" s="11"/>
      <c r="I11" s="14"/>
      <c r="J11" s="13" t="s">
        <v>6</v>
      </c>
      <c r="K11" s="10">
        <v>5</v>
      </c>
      <c r="L11" s="12">
        <v>19885.7142857</v>
      </c>
      <c r="M11" s="10">
        <f t="shared" si="0"/>
        <v>5</v>
      </c>
      <c r="N11" s="12">
        <f t="shared" si="0"/>
        <v>19885.7142857</v>
      </c>
      <c r="O11" s="11" t="e">
        <f t="shared" si="1"/>
        <v>#DIV/0!</v>
      </c>
      <c r="Q11" s="14"/>
      <c r="R11" s="13" t="s">
        <v>6</v>
      </c>
      <c r="S11" s="10">
        <v>2</v>
      </c>
      <c r="T11" s="12">
        <v>11714.285714279999</v>
      </c>
      <c r="U11" s="10">
        <f t="shared" si="2"/>
        <v>-3</v>
      </c>
      <c r="V11" s="12">
        <f t="shared" si="3"/>
        <v>-8171.4285714200014</v>
      </c>
      <c r="W11" s="11">
        <f t="shared" si="4"/>
        <v>-0.4109195402297493</v>
      </c>
      <c r="Y11" s="14"/>
      <c r="Z11" s="13" t="s">
        <v>6</v>
      </c>
      <c r="AA11" s="10">
        <v>11</v>
      </c>
      <c r="AB11" s="12">
        <v>43428.571428559997</v>
      </c>
      <c r="AC11" s="10">
        <f t="shared" si="5"/>
        <v>9</v>
      </c>
      <c r="AD11" s="12">
        <f t="shared" si="5"/>
        <v>31714.285714279999</v>
      </c>
      <c r="AE11" s="11">
        <f t="shared" si="6"/>
        <v>2.7073170731715646</v>
      </c>
      <c r="AG11" s="14"/>
      <c r="AH11" s="13" t="s">
        <v>6</v>
      </c>
      <c r="AI11" s="13">
        <v>2</v>
      </c>
      <c r="AJ11" s="10">
        <v>17714.285714279999</v>
      </c>
      <c r="AK11" s="10">
        <f t="shared" si="7"/>
        <v>-9</v>
      </c>
      <c r="AL11" s="12">
        <f t="shared" si="7"/>
        <v>-25714.285714279999</v>
      </c>
      <c r="AM11" s="11">
        <f t="shared" si="8"/>
        <v>-0.592105263157919</v>
      </c>
      <c r="AO11" s="14"/>
      <c r="AP11" s="13" t="s">
        <v>6</v>
      </c>
      <c r="AQ11" s="10">
        <v>2</v>
      </c>
      <c r="AR11" s="12">
        <v>17714.285714279999</v>
      </c>
      <c r="AS11" s="10">
        <f t="shared" si="9"/>
        <v>0</v>
      </c>
      <c r="AT11" s="12">
        <f t="shared" si="9"/>
        <v>0</v>
      </c>
      <c r="AU11" s="11">
        <f t="shared" si="10"/>
        <v>0</v>
      </c>
      <c r="AW11" s="14"/>
      <c r="AX11" s="13" t="s">
        <v>6</v>
      </c>
      <c r="AY11" s="10">
        <v>3</v>
      </c>
      <c r="AZ11" s="12">
        <v>8371.4285714200014</v>
      </c>
      <c r="BA11" s="10">
        <f t="shared" si="11"/>
        <v>1</v>
      </c>
      <c r="BB11" s="12">
        <f t="shared" si="12"/>
        <v>-9342.8571428599971</v>
      </c>
      <c r="BC11" s="11">
        <f t="shared" si="13"/>
        <v>-0.52741935483904101</v>
      </c>
      <c r="BE11" s="14"/>
      <c r="BF11" s="13" t="s">
        <v>6</v>
      </c>
      <c r="BH11" s="12"/>
      <c r="BI11" s="10">
        <f t="shared" si="14"/>
        <v>-3</v>
      </c>
      <c r="BJ11" s="12">
        <f t="shared" si="15"/>
        <v>-8371.4285714200014</v>
      </c>
      <c r="BK11" s="11">
        <f t="shared" si="16"/>
        <v>-1</v>
      </c>
      <c r="BM11" s="14"/>
      <c r="BN11" s="13" t="s">
        <v>6</v>
      </c>
      <c r="BP11" s="12"/>
      <c r="BQ11" s="10">
        <f t="shared" si="17"/>
        <v>0</v>
      </c>
      <c r="BR11" s="12">
        <f t="shared" si="18"/>
        <v>0</v>
      </c>
      <c r="BS11" s="11" t="e">
        <f t="shared" si="19"/>
        <v>#DIV/0!</v>
      </c>
      <c r="BU11" s="14"/>
      <c r="BV11" s="13" t="s">
        <v>6</v>
      </c>
      <c r="BX11" s="12"/>
      <c r="BY11" s="10">
        <f t="shared" si="20"/>
        <v>0</v>
      </c>
      <c r="BZ11" s="12">
        <f t="shared" si="21"/>
        <v>0</v>
      </c>
      <c r="CA11" s="11" t="e">
        <f t="shared" si="22"/>
        <v>#DIV/0!</v>
      </c>
      <c r="CC11" s="14"/>
      <c r="CD11" s="13"/>
      <c r="CF11" s="12"/>
      <c r="CH11" s="12"/>
      <c r="CI11" s="11"/>
      <c r="CK11" s="14"/>
      <c r="CL11" s="13"/>
      <c r="CN11" s="12"/>
      <c r="CP11" s="12"/>
      <c r="CQ11" s="11"/>
      <c r="CS11" s="14"/>
      <c r="CT11" s="13"/>
      <c r="CV11" s="12"/>
      <c r="CX11" s="12"/>
      <c r="CY11" s="11"/>
    </row>
    <row r="12" spans="1:103" s="10" customFormat="1" ht="20" customHeight="1">
      <c r="A12" s="14"/>
      <c r="B12" s="13" t="s">
        <v>5</v>
      </c>
      <c r="C12" s="10">
        <v>12</v>
      </c>
      <c r="D12" s="12">
        <v>49580</v>
      </c>
      <c r="F12" s="12"/>
      <c r="G12" s="11"/>
      <c r="I12" s="14"/>
      <c r="J12" s="13" t="s">
        <v>5</v>
      </c>
      <c r="K12" s="10">
        <v>6</v>
      </c>
      <c r="L12" s="12">
        <v>39140</v>
      </c>
      <c r="M12" s="10">
        <f t="shared" si="0"/>
        <v>-6</v>
      </c>
      <c r="N12" s="12">
        <f t="shared" si="0"/>
        <v>-10440</v>
      </c>
      <c r="O12" s="11">
        <f t="shared" si="1"/>
        <v>-0.21056877773295685</v>
      </c>
      <c r="Q12" s="14"/>
      <c r="R12" s="13" t="s">
        <v>5</v>
      </c>
      <c r="S12" s="10">
        <v>3</v>
      </c>
      <c r="T12" s="12">
        <v>19070</v>
      </c>
      <c r="U12" s="10">
        <f t="shared" si="2"/>
        <v>-3</v>
      </c>
      <c r="V12" s="12">
        <f t="shared" si="3"/>
        <v>-20070</v>
      </c>
      <c r="W12" s="11">
        <f t="shared" si="4"/>
        <v>-0.51277465508431275</v>
      </c>
      <c r="Y12" s="14"/>
      <c r="Z12" s="13" t="s">
        <v>5</v>
      </c>
      <c r="AA12" s="10">
        <v>12</v>
      </c>
      <c r="AB12" s="12">
        <v>74380</v>
      </c>
      <c r="AC12" s="10">
        <f t="shared" si="5"/>
        <v>9</v>
      </c>
      <c r="AD12" s="12">
        <f t="shared" si="5"/>
        <v>55310</v>
      </c>
      <c r="AE12" s="11">
        <f t="shared" si="6"/>
        <v>2.9003670686942842</v>
      </c>
      <c r="AG12" s="14"/>
      <c r="AH12" s="13" t="s">
        <v>5</v>
      </c>
      <c r="AI12" s="13">
        <v>18</v>
      </c>
      <c r="AJ12" s="10">
        <v>87420</v>
      </c>
      <c r="AK12" s="10">
        <f t="shared" si="7"/>
        <v>6</v>
      </c>
      <c r="AL12" s="12">
        <f t="shared" si="7"/>
        <v>13040</v>
      </c>
      <c r="AM12" s="11">
        <f t="shared" si="8"/>
        <v>0.17531594514654478</v>
      </c>
      <c r="AO12" s="14"/>
      <c r="AP12" s="13" t="s">
        <v>5</v>
      </c>
      <c r="AQ12" s="10">
        <v>11</v>
      </c>
      <c r="AR12" s="12">
        <v>48090</v>
      </c>
      <c r="AS12" s="10">
        <f t="shared" si="9"/>
        <v>-7</v>
      </c>
      <c r="AT12" s="12">
        <f t="shared" si="9"/>
        <v>-39330</v>
      </c>
      <c r="AU12" s="11">
        <f t="shared" si="10"/>
        <v>-0.44989704873026765</v>
      </c>
      <c r="AW12" s="14"/>
      <c r="AX12" s="13" t="s">
        <v>5</v>
      </c>
      <c r="AY12" s="10">
        <v>12</v>
      </c>
      <c r="AZ12" s="12">
        <v>69580</v>
      </c>
      <c r="BA12" s="10">
        <f t="shared" si="11"/>
        <v>1</v>
      </c>
      <c r="BB12" s="12">
        <f t="shared" si="12"/>
        <v>21490</v>
      </c>
      <c r="BC12" s="11">
        <f t="shared" si="13"/>
        <v>0.44687045123726349</v>
      </c>
      <c r="BE12" s="14"/>
      <c r="BF12" s="13" t="s">
        <v>5</v>
      </c>
      <c r="BG12" s="10">
        <v>12</v>
      </c>
      <c r="BH12" s="12">
        <v>54780</v>
      </c>
      <c r="BI12" s="10">
        <f t="shared" si="14"/>
        <v>0</v>
      </c>
      <c r="BJ12" s="12">
        <f t="shared" si="15"/>
        <v>-14800</v>
      </c>
      <c r="BK12" s="11">
        <f t="shared" si="16"/>
        <v>-0.21270480022995114</v>
      </c>
      <c r="BM12" s="14"/>
      <c r="BN12" s="13" t="s">
        <v>5</v>
      </c>
      <c r="BO12" s="10">
        <v>6</v>
      </c>
      <c r="BP12" s="12">
        <v>41940</v>
      </c>
      <c r="BQ12" s="10">
        <f t="shared" si="17"/>
        <v>-6</v>
      </c>
      <c r="BR12" s="12">
        <f t="shared" si="18"/>
        <v>-12840</v>
      </c>
      <c r="BS12" s="11">
        <f t="shared" si="19"/>
        <v>-0.23439211391018619</v>
      </c>
      <c r="BU12" s="14"/>
      <c r="BV12" s="13" t="s">
        <v>5</v>
      </c>
      <c r="BW12" s="10">
        <v>8</v>
      </c>
      <c r="BX12" s="12">
        <v>39020</v>
      </c>
      <c r="BY12" s="10">
        <f t="shared" si="20"/>
        <v>2</v>
      </c>
      <c r="BZ12" s="12">
        <f t="shared" si="21"/>
        <v>-2920</v>
      </c>
      <c r="CA12" s="11">
        <f t="shared" si="22"/>
        <v>-6.9623271340009535E-2</v>
      </c>
      <c r="CC12" s="14"/>
      <c r="CD12" s="13"/>
      <c r="CF12" s="12"/>
      <c r="CH12" s="12"/>
      <c r="CI12" s="11"/>
      <c r="CK12" s="14"/>
      <c r="CL12" s="13"/>
      <c r="CN12" s="12"/>
      <c r="CP12" s="12"/>
      <c r="CQ12" s="11"/>
      <c r="CS12" s="14"/>
      <c r="CT12" s="13"/>
      <c r="CV12" s="12"/>
      <c r="CX12" s="12"/>
      <c r="CY12" s="11"/>
    </row>
    <row r="13" spans="1:103" s="10" customFormat="1" ht="20" customHeight="1">
      <c r="A13" s="14"/>
      <c r="B13" s="13" t="s">
        <v>4</v>
      </c>
      <c r="C13" s="10">
        <v>8</v>
      </c>
      <c r="D13" s="12">
        <v>322719.04761901998</v>
      </c>
      <c r="F13" s="12"/>
      <c r="G13" s="11"/>
      <c r="I13" s="14"/>
      <c r="J13" s="13" t="s">
        <v>4</v>
      </c>
      <c r="K13" s="10">
        <v>16</v>
      </c>
      <c r="L13" s="12">
        <v>556447.61904758995</v>
      </c>
      <c r="M13" s="10">
        <f t="shared" si="0"/>
        <v>8</v>
      </c>
      <c r="N13" s="12">
        <f t="shared" si="0"/>
        <v>233728.57142856997</v>
      </c>
      <c r="O13" s="11">
        <f t="shared" si="1"/>
        <v>0.72424783461958497</v>
      </c>
      <c r="Q13" s="14"/>
      <c r="R13" s="13" t="s">
        <v>4</v>
      </c>
      <c r="S13" s="10">
        <v>16</v>
      </c>
      <c r="T13" s="12">
        <v>638338.09523803997</v>
      </c>
      <c r="U13" s="10">
        <f t="shared" si="2"/>
        <v>0</v>
      </c>
      <c r="V13" s="12">
        <f t="shared" si="3"/>
        <v>81890.476190450019</v>
      </c>
      <c r="W13" s="11">
        <f t="shared" si="4"/>
        <v>0.14716654971156659</v>
      </c>
      <c r="Y13" s="14"/>
      <c r="Z13" s="13" t="s">
        <v>4</v>
      </c>
      <c r="AA13" s="10">
        <v>22</v>
      </c>
      <c r="AB13" s="12">
        <v>809685.71428565995</v>
      </c>
      <c r="AC13" s="10">
        <f t="shared" si="5"/>
        <v>6</v>
      </c>
      <c r="AD13" s="12">
        <f t="shared" si="5"/>
        <v>171347.61904761998</v>
      </c>
      <c r="AE13" s="11">
        <f t="shared" si="6"/>
        <v>0.26842768796952887</v>
      </c>
      <c r="AG13" s="14"/>
      <c r="AH13" s="13" t="s">
        <v>4</v>
      </c>
      <c r="AI13" s="13">
        <v>20</v>
      </c>
      <c r="AJ13" s="10">
        <v>724261.90476185002</v>
      </c>
      <c r="AK13" s="10">
        <f t="shared" si="7"/>
        <v>-2</v>
      </c>
      <c r="AL13" s="12">
        <f t="shared" si="7"/>
        <v>-85423.809523809934</v>
      </c>
      <c r="AM13" s="11">
        <f t="shared" si="8"/>
        <v>-0.1055024289259871</v>
      </c>
      <c r="AO13" s="14"/>
      <c r="AP13" s="13" t="s">
        <v>4</v>
      </c>
      <c r="AQ13" s="10">
        <v>44</v>
      </c>
      <c r="AR13" s="12">
        <v>1657242.85714279</v>
      </c>
      <c r="AS13" s="10">
        <f t="shared" si="9"/>
        <v>24</v>
      </c>
      <c r="AT13" s="12">
        <f t="shared" si="9"/>
        <v>932980.95238093997</v>
      </c>
      <c r="AU13" s="11">
        <f t="shared" si="10"/>
        <v>1.2881817285250152</v>
      </c>
      <c r="AW13" s="14"/>
      <c r="AX13" s="13" t="s">
        <v>4</v>
      </c>
      <c r="AY13" s="10">
        <v>21</v>
      </c>
      <c r="AZ13" s="12">
        <v>949014.28571421991</v>
      </c>
      <c r="BA13" s="10">
        <f t="shared" si="11"/>
        <v>-23</v>
      </c>
      <c r="BB13" s="12">
        <f t="shared" si="12"/>
        <v>-708228.57142857008</v>
      </c>
      <c r="BC13" s="11">
        <f t="shared" si="13"/>
        <v>-0.42735352177025449</v>
      </c>
      <c r="BE13" s="14"/>
      <c r="BF13" s="13" t="s">
        <v>4</v>
      </c>
      <c r="BG13" s="10">
        <v>22</v>
      </c>
      <c r="BH13" s="12">
        <v>880290.47619039984</v>
      </c>
      <c r="BI13" s="10">
        <f t="shared" si="14"/>
        <v>1</v>
      </c>
      <c r="BJ13" s="12">
        <f t="shared" si="15"/>
        <v>-68723.809523820062</v>
      </c>
      <c r="BK13" s="11">
        <f t="shared" si="16"/>
        <v>-7.2415990526527349E-2</v>
      </c>
      <c r="BM13" s="14"/>
      <c r="BN13" s="13" t="s">
        <v>4</v>
      </c>
      <c r="BO13" s="10">
        <v>28</v>
      </c>
      <c r="BP13" s="12">
        <v>1294961.9047618099</v>
      </c>
      <c r="BQ13" s="10">
        <f t="shared" si="17"/>
        <v>6</v>
      </c>
      <c r="BR13" s="12">
        <f t="shared" si="18"/>
        <v>414671.42857141001</v>
      </c>
      <c r="BS13" s="11">
        <f t="shared" si="19"/>
        <v>0.47106204120936085</v>
      </c>
      <c r="BU13" s="14"/>
      <c r="BV13" s="13" t="s">
        <v>4</v>
      </c>
      <c r="BW13" s="10">
        <v>19</v>
      </c>
      <c r="BX13" s="12">
        <v>590671.42857137998</v>
      </c>
      <c r="BY13" s="10">
        <f t="shared" si="20"/>
        <v>-9</v>
      </c>
      <c r="BZ13" s="12">
        <f t="shared" si="21"/>
        <v>-704290.47619042988</v>
      </c>
      <c r="CA13" s="11">
        <f t="shared" si="22"/>
        <v>-0.54386964867508925</v>
      </c>
      <c r="CC13" s="14"/>
      <c r="CD13" s="13"/>
      <c r="CF13" s="12"/>
      <c r="CH13" s="12"/>
      <c r="CI13" s="11"/>
      <c r="CK13" s="14"/>
      <c r="CL13" s="13"/>
      <c r="CN13" s="12"/>
      <c r="CP13" s="12"/>
      <c r="CQ13" s="11"/>
      <c r="CS13" s="14"/>
      <c r="CT13" s="13"/>
      <c r="CV13" s="12"/>
      <c r="CX13" s="12"/>
      <c r="CY13" s="11"/>
    </row>
    <row r="14" spans="1:103" s="10" customFormat="1" ht="20" customHeight="1">
      <c r="A14" s="14"/>
      <c r="B14" s="13" t="s">
        <v>3</v>
      </c>
      <c r="C14" s="10">
        <v>66</v>
      </c>
      <c r="D14" s="12">
        <v>1320380.95238086</v>
      </c>
      <c r="F14" s="12"/>
      <c r="G14" s="11"/>
      <c r="I14" s="14"/>
      <c r="J14" s="13" t="s">
        <v>3</v>
      </c>
      <c r="K14" s="10">
        <v>49</v>
      </c>
      <c r="L14" s="12">
        <v>962761.90476181009</v>
      </c>
      <c r="M14" s="10">
        <f t="shared" si="0"/>
        <v>-17</v>
      </c>
      <c r="N14" s="12">
        <f t="shared" si="0"/>
        <v>-357619.0476190499</v>
      </c>
      <c r="O14" s="11">
        <f t="shared" si="1"/>
        <v>-0.27084535487595834</v>
      </c>
      <c r="Q14" s="14"/>
      <c r="R14" s="13" t="s">
        <v>3</v>
      </c>
      <c r="S14" s="10">
        <v>79</v>
      </c>
      <c r="T14" s="12">
        <v>1613619.0476188899</v>
      </c>
      <c r="U14" s="10">
        <f t="shared" si="2"/>
        <v>30</v>
      </c>
      <c r="V14" s="12">
        <f t="shared" si="3"/>
        <v>650857.14285707986</v>
      </c>
      <c r="W14" s="11">
        <f t="shared" si="4"/>
        <v>0.67603125927391539</v>
      </c>
      <c r="Y14" s="14"/>
      <c r="Z14" s="13" t="s">
        <v>3</v>
      </c>
      <c r="AA14" s="10">
        <v>124</v>
      </c>
      <c r="AB14" s="12">
        <v>2393238.0952379904</v>
      </c>
      <c r="AC14" s="10">
        <f t="shared" si="5"/>
        <v>45</v>
      </c>
      <c r="AD14" s="12">
        <f t="shared" si="5"/>
        <v>779619.04761910043</v>
      </c>
      <c r="AE14" s="11">
        <f t="shared" si="6"/>
        <v>0.483149383226191</v>
      </c>
      <c r="AG14" s="14"/>
      <c r="AH14" s="13" t="s">
        <v>3</v>
      </c>
      <c r="AI14" s="13">
        <v>69</v>
      </c>
      <c r="AJ14" s="10">
        <v>1315428.5714284203</v>
      </c>
      <c r="AK14" s="10">
        <f t="shared" si="7"/>
        <v>-55</v>
      </c>
      <c r="AL14" s="12">
        <f t="shared" si="7"/>
        <v>-1077809.5238095701</v>
      </c>
      <c r="AM14" s="11">
        <f t="shared" si="8"/>
        <v>-0.45035616220307145</v>
      </c>
      <c r="AO14" s="14"/>
      <c r="AP14" s="13" t="s">
        <v>3</v>
      </c>
      <c r="AQ14" s="10">
        <v>141</v>
      </c>
      <c r="AR14" s="12">
        <v>2330476.1904760804</v>
      </c>
      <c r="AS14" s="10">
        <f t="shared" si="9"/>
        <v>72</v>
      </c>
      <c r="AT14" s="12">
        <f t="shared" si="9"/>
        <v>1015047.6190476601</v>
      </c>
      <c r="AU14" s="11">
        <f t="shared" si="10"/>
        <v>0.77164784245595541</v>
      </c>
      <c r="AW14" s="14"/>
      <c r="AX14" s="13" t="s">
        <v>3</v>
      </c>
      <c r="AY14" s="10">
        <v>88</v>
      </c>
      <c r="AZ14" s="12">
        <v>1729142.8571427104</v>
      </c>
      <c r="BA14" s="10">
        <f t="shared" si="11"/>
        <v>-53</v>
      </c>
      <c r="BB14" s="12">
        <f t="shared" si="12"/>
        <v>-601333.33333337004</v>
      </c>
      <c r="BC14" s="11">
        <f t="shared" si="13"/>
        <v>-0.25803024111159312</v>
      </c>
      <c r="BE14" s="14"/>
      <c r="BF14" s="13" t="s">
        <v>3</v>
      </c>
      <c r="BG14" s="10">
        <v>80</v>
      </c>
      <c r="BH14" s="12">
        <v>1443428.5714284801</v>
      </c>
      <c r="BI14" s="10">
        <f t="shared" si="14"/>
        <v>-8</v>
      </c>
      <c r="BJ14" s="12">
        <f t="shared" si="15"/>
        <v>-285714.28571423027</v>
      </c>
      <c r="BK14" s="11">
        <f t="shared" si="16"/>
        <v>-0.16523463317909631</v>
      </c>
      <c r="BM14" s="14"/>
      <c r="BN14" s="13" t="s">
        <v>3</v>
      </c>
      <c r="BO14" s="10">
        <v>65</v>
      </c>
      <c r="BP14" s="12">
        <v>1457142.8571427404</v>
      </c>
      <c r="BQ14" s="10">
        <f t="shared" si="17"/>
        <v>-15</v>
      </c>
      <c r="BR14" s="12">
        <f t="shared" si="18"/>
        <v>13714.285714260302</v>
      </c>
      <c r="BS14" s="11">
        <f t="shared" si="19"/>
        <v>9.5011876484390537E-3</v>
      </c>
      <c r="BU14" s="14"/>
      <c r="BV14" s="13" t="s">
        <v>3</v>
      </c>
      <c r="BW14" s="10">
        <v>45</v>
      </c>
      <c r="BX14" s="12">
        <v>809714.28571423003</v>
      </c>
      <c r="BY14" s="10">
        <f t="shared" si="20"/>
        <v>-20</v>
      </c>
      <c r="BZ14" s="12">
        <f t="shared" si="21"/>
        <v>-647428.57142851036</v>
      </c>
      <c r="CA14" s="11">
        <f t="shared" si="22"/>
        <v>-0.44431372549018977</v>
      </c>
      <c r="CC14" s="14"/>
      <c r="CD14" s="13"/>
      <c r="CF14" s="12"/>
      <c r="CH14" s="12"/>
      <c r="CI14" s="11"/>
      <c r="CK14" s="14"/>
      <c r="CL14" s="13"/>
      <c r="CN14" s="12"/>
      <c r="CP14" s="12"/>
      <c r="CQ14" s="11"/>
      <c r="CS14" s="14"/>
      <c r="CT14" s="13"/>
      <c r="CV14" s="12"/>
      <c r="CX14" s="12"/>
      <c r="CY14" s="11"/>
    </row>
    <row r="15" spans="1:103" s="10" customFormat="1" ht="20" customHeight="1">
      <c r="A15" s="14"/>
      <c r="B15" s="13" t="s">
        <v>2</v>
      </c>
      <c r="C15" s="10">
        <v>158</v>
      </c>
      <c r="D15" s="12">
        <v>5812925.7142856196</v>
      </c>
      <c r="F15" s="12"/>
      <c r="G15" s="11"/>
      <c r="I15" s="14"/>
      <c r="J15" s="13" t="s">
        <v>2</v>
      </c>
      <c r="K15" s="10">
        <v>140</v>
      </c>
      <c r="L15" s="12">
        <v>5481428.5714284601</v>
      </c>
      <c r="M15" s="10">
        <f t="shared" si="0"/>
        <v>-18</v>
      </c>
      <c r="N15" s="12">
        <f t="shared" si="0"/>
        <v>-331497.14285715949</v>
      </c>
      <c r="O15" s="11">
        <f t="shared" si="1"/>
        <v>-5.7027589745811652E-2</v>
      </c>
      <c r="Q15" s="14"/>
      <c r="R15" s="13" t="s">
        <v>2</v>
      </c>
      <c r="S15" s="10">
        <v>159</v>
      </c>
      <c r="T15" s="12">
        <v>6112952.3809522903</v>
      </c>
      <c r="U15" s="10">
        <f t="shared" si="2"/>
        <v>19</v>
      </c>
      <c r="V15" s="12">
        <f t="shared" si="3"/>
        <v>631523.80952383019</v>
      </c>
      <c r="W15" s="11">
        <f t="shared" si="4"/>
        <v>0.11521153679090178</v>
      </c>
      <c r="Y15" s="14"/>
      <c r="Z15" s="13" t="s">
        <v>2</v>
      </c>
      <c r="AA15" s="10">
        <v>311</v>
      </c>
      <c r="AB15" s="12">
        <v>11922905.71428556</v>
      </c>
      <c r="AC15" s="10">
        <f t="shared" si="5"/>
        <v>152</v>
      </c>
      <c r="AD15" s="12">
        <f t="shared" si="5"/>
        <v>5809953.3333332697</v>
      </c>
      <c r="AE15" s="11">
        <f t="shared" si="6"/>
        <v>0.95043327205309935</v>
      </c>
      <c r="AG15" s="14"/>
      <c r="AH15" s="13" t="s">
        <v>2</v>
      </c>
      <c r="AI15" s="13">
        <v>200</v>
      </c>
      <c r="AJ15" s="10">
        <v>7349541.9047618201</v>
      </c>
      <c r="AK15" s="10">
        <f t="shared" si="7"/>
        <v>-111</v>
      </c>
      <c r="AL15" s="12">
        <f t="shared" si="7"/>
        <v>-4573363.8095237399</v>
      </c>
      <c r="AM15" s="11">
        <f t="shared" si="8"/>
        <v>-0.38357795650804433</v>
      </c>
      <c r="AO15" s="14"/>
      <c r="AP15" s="13" t="s">
        <v>2</v>
      </c>
      <c r="AQ15" s="10">
        <v>307</v>
      </c>
      <c r="AR15" s="12">
        <v>11936692.38095228</v>
      </c>
      <c r="AS15" s="10">
        <f t="shared" si="9"/>
        <v>107</v>
      </c>
      <c r="AT15" s="12">
        <f t="shared" si="9"/>
        <v>4587150.4761904599</v>
      </c>
      <c r="AU15" s="11">
        <f t="shared" si="10"/>
        <v>0.6241410057432849</v>
      </c>
      <c r="AW15" s="14"/>
      <c r="AX15" s="13" t="s">
        <v>2</v>
      </c>
      <c r="AY15" s="10">
        <v>253</v>
      </c>
      <c r="AZ15" s="12">
        <v>9680667.6190474909</v>
      </c>
      <c r="BA15" s="10">
        <f t="shared" si="11"/>
        <v>-54</v>
      </c>
      <c r="BB15" s="12">
        <f t="shared" si="12"/>
        <v>-2256024.7619047891</v>
      </c>
      <c r="BC15" s="11">
        <f t="shared" si="13"/>
        <v>-0.18899915402903339</v>
      </c>
      <c r="BE15" s="14"/>
      <c r="BF15" s="13" t="s">
        <v>2</v>
      </c>
      <c r="BG15" s="10">
        <v>166</v>
      </c>
      <c r="BH15" s="12">
        <v>5841256.1904760795</v>
      </c>
      <c r="BI15" s="10">
        <f t="shared" si="14"/>
        <v>-87</v>
      </c>
      <c r="BJ15" s="12">
        <f t="shared" si="15"/>
        <v>-3839411.4285714114</v>
      </c>
      <c r="BK15" s="11">
        <f t="shared" si="16"/>
        <v>-0.39660605855499687</v>
      </c>
      <c r="BM15" s="14"/>
      <c r="BN15" s="13" t="s">
        <v>2</v>
      </c>
      <c r="BO15" s="10">
        <v>101</v>
      </c>
      <c r="BP15" s="12">
        <v>3509025.7142856703</v>
      </c>
      <c r="BQ15" s="10">
        <f t="shared" si="17"/>
        <v>-65</v>
      </c>
      <c r="BR15" s="12">
        <f t="shared" si="18"/>
        <v>-2332230.4761904092</v>
      </c>
      <c r="BS15" s="11">
        <f t="shared" si="19"/>
        <v>-0.39926865046477711</v>
      </c>
      <c r="BU15" s="14"/>
      <c r="BV15" s="13" t="s">
        <v>2</v>
      </c>
      <c r="BW15" s="10">
        <v>65</v>
      </c>
      <c r="BX15" s="12">
        <v>2409999.99999996</v>
      </c>
      <c r="BY15" s="10">
        <f t="shared" si="20"/>
        <v>-36</v>
      </c>
      <c r="BZ15" s="12">
        <f t="shared" si="21"/>
        <v>-1099025.7142857104</v>
      </c>
      <c r="CA15" s="11">
        <f t="shared" si="22"/>
        <v>-0.31319967528634601</v>
      </c>
      <c r="CC15" s="14"/>
      <c r="CD15" s="13"/>
      <c r="CF15" s="12"/>
      <c r="CH15" s="12"/>
      <c r="CI15" s="11"/>
      <c r="CK15" s="14"/>
      <c r="CL15" s="13"/>
      <c r="CN15" s="12"/>
      <c r="CP15" s="12"/>
      <c r="CQ15" s="11"/>
      <c r="CS15" s="14"/>
      <c r="CT15" s="13"/>
      <c r="CV15" s="12"/>
      <c r="CX15" s="12"/>
      <c r="CY15" s="11"/>
    </row>
    <row r="16" spans="1:103" s="1" customFormat="1" ht="20" customHeight="1">
      <c r="A16" s="9" t="s">
        <v>19</v>
      </c>
      <c r="B16" s="9"/>
      <c r="C16" s="8">
        <v>1053</v>
      </c>
      <c r="D16" s="7">
        <v>9829041.9047604091</v>
      </c>
      <c r="E16" s="27"/>
      <c r="F16" s="28"/>
      <c r="G16" s="29"/>
      <c r="I16" s="9" t="s">
        <v>19</v>
      </c>
      <c r="J16" s="9"/>
      <c r="K16" s="8">
        <v>913</v>
      </c>
      <c r="L16" s="7">
        <v>8956975.2380939201</v>
      </c>
      <c r="M16" s="27">
        <f t="shared" si="0"/>
        <v>-140</v>
      </c>
      <c r="N16" s="28">
        <f t="shared" si="0"/>
        <v>-872066.66666648909</v>
      </c>
      <c r="O16" s="29">
        <f t="shared" si="1"/>
        <v>-8.8723466144154814E-2</v>
      </c>
      <c r="Q16" s="9" t="s">
        <v>19</v>
      </c>
      <c r="R16" s="9"/>
      <c r="S16" s="8">
        <v>1073</v>
      </c>
      <c r="T16" s="7">
        <v>10746507.142855611</v>
      </c>
      <c r="U16" s="27">
        <f t="shared" si="2"/>
        <v>160</v>
      </c>
      <c r="V16" s="28">
        <f t="shared" si="3"/>
        <v>1789531.9047616906</v>
      </c>
      <c r="W16" s="29">
        <f t="shared" si="4"/>
        <v>0.19979198972783027</v>
      </c>
      <c r="Y16" s="9" t="s">
        <v>19</v>
      </c>
      <c r="Z16" s="9"/>
      <c r="AA16" s="8">
        <v>1343</v>
      </c>
      <c r="AB16" s="7">
        <v>18106758.095236368</v>
      </c>
      <c r="AC16" s="27">
        <f t="shared" si="5"/>
        <v>270</v>
      </c>
      <c r="AD16" s="28">
        <f t="shared" si="5"/>
        <v>7360250.9523807578</v>
      </c>
      <c r="AE16" s="29">
        <f t="shared" si="6"/>
        <v>0.68489704185177314</v>
      </c>
      <c r="AG16" s="9" t="s">
        <v>19</v>
      </c>
      <c r="AH16" s="9"/>
      <c r="AI16" s="9">
        <v>1254</v>
      </c>
      <c r="AJ16" s="8">
        <v>12575492.38095065</v>
      </c>
      <c r="AK16" s="27">
        <f t="shared" si="7"/>
        <v>-89</v>
      </c>
      <c r="AL16" s="28">
        <f t="shared" si="7"/>
        <v>-5531265.7142857183</v>
      </c>
      <c r="AM16" s="29">
        <f t="shared" si="8"/>
        <v>-0.30548073184569224</v>
      </c>
      <c r="AO16" s="9" t="s">
        <v>19</v>
      </c>
      <c r="AP16" s="9"/>
      <c r="AQ16" s="8">
        <v>1322</v>
      </c>
      <c r="AR16" s="7">
        <v>18957869.047617309</v>
      </c>
      <c r="AS16" s="27">
        <f t="shared" si="9"/>
        <v>68</v>
      </c>
      <c r="AT16" s="28">
        <f t="shared" si="9"/>
        <v>6382376.6666666586</v>
      </c>
      <c r="AU16" s="29">
        <f t="shared" si="10"/>
        <v>0.50752499173190857</v>
      </c>
      <c r="AW16" s="9" t="s">
        <v>19</v>
      </c>
      <c r="AX16" s="9"/>
      <c r="AY16" s="8">
        <v>1305</v>
      </c>
      <c r="AZ16" s="7">
        <v>15448199.047617221</v>
      </c>
      <c r="BA16" s="27">
        <f t="shared" si="11"/>
        <v>-17</v>
      </c>
      <c r="BB16" s="28">
        <f t="shared" si="12"/>
        <v>-3509670.0000000875</v>
      </c>
      <c r="BC16" s="29">
        <f t="shared" si="13"/>
        <v>-0.18512998434500713</v>
      </c>
      <c r="BE16" s="9" t="s">
        <v>19</v>
      </c>
      <c r="BF16" s="9"/>
      <c r="BG16" s="8">
        <v>1263</v>
      </c>
      <c r="BH16" s="7">
        <v>11322147.619045731</v>
      </c>
      <c r="BI16" s="27">
        <f t="shared" si="14"/>
        <v>-42</v>
      </c>
      <c r="BJ16" s="28">
        <f t="shared" si="15"/>
        <v>-4126051.4285714906</v>
      </c>
      <c r="BK16" s="29">
        <f t="shared" si="16"/>
        <v>-0.26708947857633319</v>
      </c>
      <c r="BM16" s="9" t="s">
        <v>19</v>
      </c>
      <c r="BN16" s="9"/>
      <c r="BO16" s="8">
        <v>1026</v>
      </c>
      <c r="BP16" s="7">
        <v>8756459.0476176105</v>
      </c>
      <c r="BQ16" s="27">
        <f t="shared" si="17"/>
        <v>-237</v>
      </c>
      <c r="BR16" s="28">
        <f t="shared" si="18"/>
        <v>-2565688.5714281201</v>
      </c>
      <c r="BS16" s="29">
        <f t="shared" si="19"/>
        <v>-0.22660794204027213</v>
      </c>
      <c r="BU16" s="9" t="s">
        <v>19</v>
      </c>
      <c r="BV16" s="9"/>
      <c r="BW16" s="8">
        <v>689</v>
      </c>
      <c r="BX16" s="7">
        <v>5333275.23809411</v>
      </c>
      <c r="BY16" s="27">
        <f t="shared" si="20"/>
        <v>-337</v>
      </c>
      <c r="BZ16" s="28">
        <f t="shared" si="21"/>
        <v>-3423183.8095235005</v>
      </c>
      <c r="CA16" s="29">
        <f t="shared" si="22"/>
        <v>-0.39093242952524898</v>
      </c>
      <c r="CC16" s="9"/>
      <c r="CD16" s="9"/>
      <c r="CE16" s="8"/>
      <c r="CF16" s="7"/>
      <c r="CG16" s="27"/>
      <c r="CH16" s="28"/>
      <c r="CI16" s="29"/>
      <c r="CK16" s="9"/>
      <c r="CL16" s="9"/>
      <c r="CM16" s="8"/>
      <c r="CN16" s="7"/>
      <c r="CO16" s="27"/>
      <c r="CP16" s="28"/>
      <c r="CQ16" s="29"/>
      <c r="CS16" s="9"/>
      <c r="CT16" s="9"/>
      <c r="CU16" s="8"/>
      <c r="CV16" s="7"/>
      <c r="CW16" s="27"/>
      <c r="CX16" s="28"/>
      <c r="CY16" s="29"/>
    </row>
    <row r="17" spans="1:103" s="1" customFormat="1" ht="20" customHeight="1">
      <c r="A17" s="14">
        <v>76</v>
      </c>
      <c r="B17" s="32" t="s">
        <v>20</v>
      </c>
      <c r="C17" s="1">
        <v>4357</v>
      </c>
      <c r="D17" s="35"/>
      <c r="E17" s="10"/>
      <c r="F17" s="12"/>
      <c r="G17" s="36"/>
      <c r="I17" s="14">
        <v>76</v>
      </c>
      <c r="J17" s="32" t="s">
        <v>20</v>
      </c>
      <c r="K17" s="1">
        <v>3973</v>
      </c>
      <c r="L17" s="35"/>
      <c r="M17" s="10">
        <f t="shared" si="0"/>
        <v>-384</v>
      </c>
      <c r="N17" s="12">
        <f t="shared" si="0"/>
        <v>0</v>
      </c>
      <c r="O17" s="11" t="e">
        <f t="shared" si="1"/>
        <v>#DIV/0!</v>
      </c>
      <c r="Q17" s="14">
        <v>76</v>
      </c>
      <c r="R17" s="32" t="s">
        <v>20</v>
      </c>
      <c r="S17" s="1">
        <v>3949</v>
      </c>
      <c r="T17" s="35"/>
      <c r="U17" s="10">
        <f t="shared" si="2"/>
        <v>-24</v>
      </c>
      <c r="V17" s="12">
        <f t="shared" si="3"/>
        <v>0</v>
      </c>
      <c r="W17" s="11" t="e">
        <f t="shared" si="4"/>
        <v>#DIV/0!</v>
      </c>
      <c r="Y17" s="14">
        <v>76</v>
      </c>
      <c r="Z17" s="32" t="s">
        <v>20</v>
      </c>
      <c r="AA17" s="1">
        <v>4057</v>
      </c>
      <c r="AB17" s="35"/>
      <c r="AC17" s="10">
        <f t="shared" si="5"/>
        <v>108</v>
      </c>
      <c r="AD17" s="12">
        <f t="shared" si="5"/>
        <v>0</v>
      </c>
      <c r="AE17" s="11" t="e">
        <f t="shared" si="6"/>
        <v>#DIV/0!</v>
      </c>
      <c r="AG17" s="14">
        <v>76</v>
      </c>
      <c r="AH17" s="32" t="s">
        <v>20</v>
      </c>
      <c r="AI17" s="32">
        <v>4264</v>
      </c>
      <c r="AK17" s="10">
        <f t="shared" si="7"/>
        <v>207</v>
      </c>
      <c r="AL17" s="12">
        <f t="shared" si="7"/>
        <v>0</v>
      </c>
      <c r="AM17" s="11" t="e">
        <f t="shared" si="8"/>
        <v>#DIV/0!</v>
      </c>
      <c r="AO17" s="14">
        <v>76</v>
      </c>
      <c r="AP17" s="32" t="s">
        <v>20</v>
      </c>
      <c r="AQ17" s="1">
        <v>4566</v>
      </c>
      <c r="AR17" s="35"/>
      <c r="AS17" s="10">
        <f t="shared" si="9"/>
        <v>302</v>
      </c>
      <c r="AT17" s="12">
        <f t="shared" si="9"/>
        <v>0</v>
      </c>
      <c r="AU17" s="11" t="e">
        <f t="shared" si="10"/>
        <v>#DIV/0!</v>
      </c>
      <c r="AW17" s="14">
        <v>76</v>
      </c>
      <c r="AX17" s="32" t="s">
        <v>20</v>
      </c>
      <c r="AY17" s="1">
        <v>5081</v>
      </c>
      <c r="AZ17" s="35"/>
      <c r="BA17" s="10">
        <f t="shared" si="11"/>
        <v>515</v>
      </c>
      <c r="BB17" s="12">
        <f t="shared" si="12"/>
        <v>0</v>
      </c>
      <c r="BC17" s="11" t="e">
        <f t="shared" si="13"/>
        <v>#DIV/0!</v>
      </c>
      <c r="BE17" s="14">
        <v>76</v>
      </c>
      <c r="BF17" s="32" t="s">
        <v>20</v>
      </c>
      <c r="BG17" s="1">
        <v>8135</v>
      </c>
      <c r="BH17" s="35"/>
      <c r="BI17" s="10">
        <f t="shared" si="14"/>
        <v>3054</v>
      </c>
      <c r="BJ17" s="12">
        <f t="shared" si="15"/>
        <v>0</v>
      </c>
      <c r="BK17" s="11" t="e">
        <f t="shared" si="16"/>
        <v>#DIV/0!</v>
      </c>
      <c r="BM17" s="14">
        <v>76</v>
      </c>
      <c r="BN17" s="32" t="s">
        <v>20</v>
      </c>
      <c r="BO17" s="1">
        <v>4983</v>
      </c>
      <c r="BP17" s="35"/>
      <c r="BQ17" s="10">
        <f t="shared" si="17"/>
        <v>-3152</v>
      </c>
      <c r="BR17" s="12">
        <f t="shared" si="18"/>
        <v>0</v>
      </c>
      <c r="BS17" s="11" t="e">
        <f t="shared" si="19"/>
        <v>#DIV/0!</v>
      </c>
      <c r="BU17" s="14">
        <v>76</v>
      </c>
      <c r="BV17" s="32" t="s">
        <v>20</v>
      </c>
      <c r="BW17" s="15">
        <v>4024</v>
      </c>
      <c r="BX17" s="33"/>
      <c r="BY17" s="10">
        <f t="shared" si="20"/>
        <v>-959</v>
      </c>
      <c r="BZ17" s="12">
        <f t="shared" si="21"/>
        <v>0</v>
      </c>
      <c r="CA17" s="11" t="e">
        <f t="shared" si="22"/>
        <v>#DIV/0!</v>
      </c>
      <c r="CC17" s="14"/>
      <c r="CD17" s="32"/>
      <c r="CE17" s="15"/>
      <c r="CF17" s="33"/>
      <c r="CG17" s="10"/>
      <c r="CH17" s="12"/>
      <c r="CI17" s="11"/>
      <c r="CK17" s="14"/>
      <c r="CL17" s="32"/>
      <c r="CM17" s="15"/>
      <c r="CN17" s="33"/>
      <c r="CO17" s="10"/>
      <c r="CP17" s="12"/>
      <c r="CQ17" s="11"/>
      <c r="CS17" s="14"/>
      <c r="CT17" s="32"/>
      <c r="CU17" s="15"/>
      <c r="CV17" s="33"/>
      <c r="CW17" s="10"/>
      <c r="CX17" s="12"/>
      <c r="CY17" s="11"/>
    </row>
    <row r="18" spans="1:103" s="1" customFormat="1" ht="20" customHeight="1">
      <c r="A18" s="14"/>
      <c r="B18" s="32" t="s">
        <v>21</v>
      </c>
      <c r="C18" s="1">
        <v>16</v>
      </c>
      <c r="D18" s="35"/>
      <c r="E18" s="10"/>
      <c r="F18" s="12"/>
      <c r="G18" s="36"/>
      <c r="I18" s="14"/>
      <c r="J18" s="32" t="s">
        <v>21</v>
      </c>
      <c r="K18" s="1">
        <v>12</v>
      </c>
      <c r="L18" s="35"/>
      <c r="M18" s="10">
        <f t="shared" si="0"/>
        <v>-4</v>
      </c>
      <c r="N18" s="12">
        <f t="shared" si="0"/>
        <v>0</v>
      </c>
      <c r="O18" s="11" t="e">
        <f t="shared" si="1"/>
        <v>#DIV/0!</v>
      </c>
      <c r="Q18" s="14"/>
      <c r="R18" s="32" t="s">
        <v>21</v>
      </c>
      <c r="S18" s="1">
        <v>8</v>
      </c>
      <c r="T18" s="35"/>
      <c r="U18" s="10">
        <f t="shared" si="2"/>
        <v>-4</v>
      </c>
      <c r="V18" s="12">
        <f t="shared" si="3"/>
        <v>0</v>
      </c>
      <c r="W18" s="11" t="e">
        <f t="shared" si="4"/>
        <v>#DIV/0!</v>
      </c>
      <c r="Y18" s="14"/>
      <c r="Z18" s="32" t="s">
        <v>21</v>
      </c>
      <c r="AA18" s="1">
        <v>12</v>
      </c>
      <c r="AB18" s="35"/>
      <c r="AC18" s="10">
        <f t="shared" si="5"/>
        <v>4</v>
      </c>
      <c r="AD18" s="12">
        <f t="shared" si="5"/>
        <v>0</v>
      </c>
      <c r="AE18" s="11" t="e">
        <f t="shared" si="6"/>
        <v>#DIV/0!</v>
      </c>
      <c r="AG18" s="14"/>
      <c r="AH18" s="32" t="s">
        <v>21</v>
      </c>
      <c r="AI18" s="32">
        <v>10</v>
      </c>
      <c r="AK18" s="10">
        <f t="shared" si="7"/>
        <v>-2</v>
      </c>
      <c r="AL18" s="12">
        <f t="shared" si="7"/>
        <v>0</v>
      </c>
      <c r="AM18" s="11" t="e">
        <f t="shared" si="8"/>
        <v>#DIV/0!</v>
      </c>
      <c r="AO18" s="14"/>
      <c r="AP18" s="32" t="s">
        <v>21</v>
      </c>
      <c r="AQ18" s="1">
        <v>15</v>
      </c>
      <c r="AR18" s="35"/>
      <c r="AS18" s="10">
        <f t="shared" si="9"/>
        <v>5</v>
      </c>
      <c r="AT18" s="12">
        <f t="shared" si="9"/>
        <v>0</v>
      </c>
      <c r="AU18" s="11" t="e">
        <f t="shared" si="10"/>
        <v>#DIV/0!</v>
      </c>
      <c r="AW18" s="14"/>
      <c r="AX18" s="32" t="s">
        <v>21</v>
      </c>
      <c r="AY18" s="1">
        <v>18</v>
      </c>
      <c r="AZ18" s="35"/>
      <c r="BA18" s="10">
        <f t="shared" si="11"/>
        <v>3</v>
      </c>
      <c r="BB18" s="12">
        <f t="shared" si="12"/>
        <v>0</v>
      </c>
      <c r="BC18" s="11" t="e">
        <f t="shared" si="13"/>
        <v>#DIV/0!</v>
      </c>
      <c r="BE18" s="14"/>
      <c r="BF18" s="32" t="s">
        <v>21</v>
      </c>
      <c r="BG18" s="1">
        <v>18</v>
      </c>
      <c r="BH18" s="35"/>
      <c r="BI18" s="10">
        <f t="shared" si="14"/>
        <v>0</v>
      </c>
      <c r="BJ18" s="12">
        <f t="shared" si="15"/>
        <v>0</v>
      </c>
      <c r="BK18" s="11" t="e">
        <f t="shared" si="16"/>
        <v>#DIV/0!</v>
      </c>
      <c r="BM18" s="14"/>
      <c r="BN18" s="32" t="s">
        <v>21</v>
      </c>
      <c r="BO18" s="1">
        <v>10</v>
      </c>
      <c r="BP18" s="35"/>
      <c r="BQ18" s="10">
        <f t="shared" si="17"/>
        <v>-8</v>
      </c>
      <c r="BR18" s="12">
        <f t="shared" si="18"/>
        <v>0</v>
      </c>
      <c r="BS18" s="11" t="e">
        <f t="shared" si="19"/>
        <v>#DIV/0!</v>
      </c>
      <c r="BU18" s="14"/>
      <c r="BV18" s="32" t="s">
        <v>21</v>
      </c>
      <c r="BW18" s="15">
        <v>5</v>
      </c>
      <c r="BX18" s="33"/>
      <c r="BY18" s="10">
        <f t="shared" si="20"/>
        <v>-5</v>
      </c>
      <c r="BZ18" s="12">
        <f t="shared" si="21"/>
        <v>0</v>
      </c>
      <c r="CA18" s="11" t="e">
        <f t="shared" si="22"/>
        <v>#DIV/0!</v>
      </c>
      <c r="CC18" s="14"/>
      <c r="CD18" s="32"/>
      <c r="CE18" s="15"/>
      <c r="CF18" s="33"/>
      <c r="CG18" s="10"/>
      <c r="CH18" s="12"/>
      <c r="CI18" s="11"/>
      <c r="CK18" s="14"/>
      <c r="CL18" s="32"/>
      <c r="CM18" s="15"/>
      <c r="CN18" s="33"/>
      <c r="CO18" s="10"/>
      <c r="CP18" s="12"/>
      <c r="CQ18" s="11"/>
      <c r="CS18" s="14"/>
      <c r="CT18" s="32"/>
      <c r="CU18" s="15"/>
      <c r="CV18" s="33"/>
      <c r="CW18" s="10"/>
      <c r="CX18" s="12"/>
      <c r="CY18" s="11"/>
    </row>
    <row r="19" spans="1:103" s="10" customFormat="1" ht="20" customHeight="1">
      <c r="A19" s="14"/>
      <c r="B19" s="13" t="s">
        <v>10</v>
      </c>
      <c r="C19" s="10">
        <v>182</v>
      </c>
      <c r="D19" s="12">
        <v>179181.90476117999</v>
      </c>
      <c r="F19" s="12"/>
      <c r="G19" s="11"/>
      <c r="I19" s="14"/>
      <c r="J19" s="13" t="s">
        <v>10</v>
      </c>
      <c r="K19" s="10">
        <v>132</v>
      </c>
      <c r="L19" s="12">
        <v>123228.57142807</v>
      </c>
      <c r="M19" s="10">
        <f t="shared" si="0"/>
        <v>-50</v>
      </c>
      <c r="N19" s="12">
        <f t="shared" si="0"/>
        <v>-55953.333333109986</v>
      </c>
      <c r="O19" s="11">
        <f t="shared" si="1"/>
        <v>-0.31227111581209371</v>
      </c>
      <c r="Q19" s="14"/>
      <c r="R19" s="13" t="s">
        <v>10</v>
      </c>
      <c r="S19" s="10">
        <v>160</v>
      </c>
      <c r="T19" s="12">
        <v>164079.99999938003</v>
      </c>
      <c r="U19" s="10">
        <f t="shared" si="2"/>
        <v>28</v>
      </c>
      <c r="V19" s="12">
        <f t="shared" si="3"/>
        <v>40851.428571310025</v>
      </c>
      <c r="W19" s="11">
        <f t="shared" si="4"/>
        <v>0.33150939021601411</v>
      </c>
      <c r="Y19" s="14"/>
      <c r="Z19" s="13" t="s">
        <v>10</v>
      </c>
      <c r="AA19" s="10">
        <v>183</v>
      </c>
      <c r="AB19" s="12">
        <v>175820.95238023982</v>
      </c>
      <c r="AC19" s="10">
        <f t="shared" si="5"/>
        <v>23</v>
      </c>
      <c r="AD19" s="12">
        <f t="shared" si="5"/>
        <v>11740.952380859788</v>
      </c>
      <c r="AE19" s="11">
        <f t="shared" si="6"/>
        <v>7.155626755792388E-2</v>
      </c>
      <c r="AG19" s="14"/>
      <c r="AH19" s="13" t="s">
        <v>10</v>
      </c>
      <c r="AI19" s="13">
        <v>181</v>
      </c>
      <c r="AJ19" s="10">
        <v>165837.14285643995</v>
      </c>
      <c r="AK19" s="10">
        <f t="shared" si="7"/>
        <v>-2</v>
      </c>
      <c r="AL19" s="12">
        <f t="shared" si="7"/>
        <v>-9983.8095237998641</v>
      </c>
      <c r="AM19" s="11">
        <f t="shared" si="8"/>
        <v>-5.6783957706066465E-2</v>
      </c>
      <c r="AO19" s="14"/>
      <c r="AP19" s="13" t="s">
        <v>10</v>
      </c>
      <c r="AQ19" s="10">
        <v>192</v>
      </c>
      <c r="AR19" s="12">
        <v>205299.9999991901</v>
      </c>
      <c r="AS19" s="10">
        <f t="shared" si="9"/>
        <v>11</v>
      </c>
      <c r="AT19" s="12">
        <f t="shared" si="9"/>
        <v>39462.857142750145</v>
      </c>
      <c r="AU19" s="11">
        <f t="shared" si="10"/>
        <v>0.23796151129371487</v>
      </c>
      <c r="AW19" s="14"/>
      <c r="AX19" s="13" t="s">
        <v>10</v>
      </c>
      <c r="AY19" s="10">
        <v>282</v>
      </c>
      <c r="AZ19" s="12">
        <v>262955.23809412005</v>
      </c>
      <c r="BA19" s="10">
        <f t="shared" si="11"/>
        <v>90</v>
      </c>
      <c r="BB19" s="12">
        <f t="shared" si="12"/>
        <v>57655.238094929955</v>
      </c>
      <c r="BC19" s="11">
        <f t="shared" si="13"/>
        <v>0.28083408716589092</v>
      </c>
      <c r="BE19" s="14"/>
      <c r="BF19" s="13" t="s">
        <v>10</v>
      </c>
      <c r="BG19" s="10">
        <v>321</v>
      </c>
      <c r="BH19" s="12">
        <v>301802.85714181</v>
      </c>
      <c r="BI19" s="10">
        <f t="shared" si="14"/>
        <v>39</v>
      </c>
      <c r="BJ19" s="12">
        <f t="shared" si="15"/>
        <v>38847.61904768995</v>
      </c>
      <c r="BK19" s="11">
        <f t="shared" si="16"/>
        <v>0.1477347221879077</v>
      </c>
      <c r="BM19" s="14"/>
      <c r="BN19" s="13" t="s">
        <v>10</v>
      </c>
      <c r="BO19" s="10">
        <v>188</v>
      </c>
      <c r="BP19" s="12">
        <v>180387.61904688991</v>
      </c>
      <c r="BQ19" s="10">
        <f t="shared" si="17"/>
        <v>-133</v>
      </c>
      <c r="BR19" s="12">
        <f t="shared" si="18"/>
        <v>-121415.23809492009</v>
      </c>
      <c r="BS19" s="11">
        <f t="shared" si="19"/>
        <v>-0.40229982991138469</v>
      </c>
      <c r="BU19" s="14"/>
      <c r="BV19" s="13" t="s">
        <v>10</v>
      </c>
      <c r="BW19" s="10">
        <v>120</v>
      </c>
      <c r="BX19" s="12">
        <v>117983.80952329002</v>
      </c>
      <c r="BY19" s="10">
        <f t="shared" si="20"/>
        <v>-68</v>
      </c>
      <c r="BZ19" s="12">
        <f t="shared" si="21"/>
        <v>-62403.809523599892</v>
      </c>
      <c r="CA19" s="11">
        <f t="shared" si="22"/>
        <v>-0.34594286378034994</v>
      </c>
      <c r="CC19" s="14"/>
      <c r="CD19" s="13"/>
      <c r="CF19" s="12"/>
      <c r="CH19" s="12"/>
      <c r="CI19" s="11"/>
      <c r="CK19" s="14"/>
      <c r="CL19" s="13"/>
      <c r="CN19" s="12"/>
      <c r="CP19" s="12"/>
      <c r="CQ19" s="11"/>
      <c r="CS19" s="14"/>
      <c r="CT19" s="13"/>
      <c r="CV19" s="12"/>
      <c r="CX19" s="12"/>
      <c r="CY19" s="11"/>
    </row>
    <row r="20" spans="1:103" s="10" customFormat="1" ht="20" customHeight="1">
      <c r="A20" s="14"/>
      <c r="B20" s="13" t="s">
        <v>9</v>
      </c>
      <c r="C20" s="10">
        <v>167</v>
      </c>
      <c r="D20" s="12">
        <v>182485.71428558003</v>
      </c>
      <c r="F20" s="12"/>
      <c r="G20" s="11"/>
      <c r="I20" s="14"/>
      <c r="J20" s="13" t="s">
        <v>9</v>
      </c>
      <c r="K20" s="10">
        <v>217</v>
      </c>
      <c r="L20" s="12">
        <v>281617.14285699988</v>
      </c>
      <c r="M20" s="10">
        <f t="shared" si="0"/>
        <v>50</v>
      </c>
      <c r="N20" s="12">
        <f t="shared" si="0"/>
        <v>99131.428571419849</v>
      </c>
      <c r="O20" s="11">
        <f t="shared" si="1"/>
        <v>0.54322843275438348</v>
      </c>
      <c r="Q20" s="14"/>
      <c r="R20" s="13" t="s">
        <v>9</v>
      </c>
      <c r="S20" s="10">
        <v>209</v>
      </c>
      <c r="T20" s="12">
        <v>232359.04761889004</v>
      </c>
      <c r="U20" s="10">
        <f t="shared" si="2"/>
        <v>-8</v>
      </c>
      <c r="V20" s="12">
        <f t="shared" si="3"/>
        <v>-49258.095238109847</v>
      </c>
      <c r="W20" s="11">
        <f t="shared" si="4"/>
        <v>-0.17491156517812631</v>
      </c>
      <c r="Y20" s="14"/>
      <c r="Z20" s="13" t="s">
        <v>9</v>
      </c>
      <c r="AA20" s="10">
        <v>198</v>
      </c>
      <c r="AB20" s="12">
        <v>233128.57142843999</v>
      </c>
      <c r="AC20" s="10">
        <f t="shared" si="5"/>
        <v>-11</v>
      </c>
      <c r="AD20" s="12">
        <f t="shared" si="5"/>
        <v>769.52380954995169</v>
      </c>
      <c r="AE20" s="11">
        <f t="shared" si="6"/>
        <v>3.3117875866495502E-3</v>
      </c>
      <c r="AG20" s="14"/>
      <c r="AH20" s="13" t="s">
        <v>9</v>
      </c>
      <c r="AI20" s="13">
        <v>197</v>
      </c>
      <c r="AJ20" s="10">
        <v>188994.28571413</v>
      </c>
      <c r="AK20" s="10">
        <f t="shared" si="7"/>
        <v>-1</v>
      </c>
      <c r="AL20" s="12">
        <f t="shared" si="7"/>
        <v>-44134.285714309983</v>
      </c>
      <c r="AM20" s="11">
        <f t="shared" si="8"/>
        <v>-0.18931307065404993</v>
      </c>
      <c r="AO20" s="14"/>
      <c r="AP20" s="13" t="s">
        <v>9</v>
      </c>
      <c r="AQ20" s="10">
        <v>238</v>
      </c>
      <c r="AR20" s="12">
        <v>243830.47619032007</v>
      </c>
      <c r="AS20" s="10">
        <f t="shared" si="9"/>
        <v>41</v>
      </c>
      <c r="AT20" s="12">
        <f t="shared" si="9"/>
        <v>54836.190476190066</v>
      </c>
      <c r="AU20" s="11">
        <f t="shared" si="10"/>
        <v>0.29014734635487599</v>
      </c>
      <c r="AW20" s="14"/>
      <c r="AX20" s="13" t="s">
        <v>9</v>
      </c>
      <c r="AY20" s="10">
        <v>254</v>
      </c>
      <c r="AZ20" s="12">
        <v>291385.71428559005</v>
      </c>
      <c r="BA20" s="10">
        <f t="shared" si="11"/>
        <v>16</v>
      </c>
      <c r="BB20" s="12">
        <f t="shared" si="12"/>
        <v>47555.238095269975</v>
      </c>
      <c r="BC20" s="11">
        <f t="shared" si="13"/>
        <v>0.19503402051411772</v>
      </c>
      <c r="BE20" s="14"/>
      <c r="BF20" s="13" t="s">
        <v>9</v>
      </c>
      <c r="BG20" s="10">
        <v>292</v>
      </c>
      <c r="BH20" s="12">
        <v>289939.04761888995</v>
      </c>
      <c r="BI20" s="10">
        <f t="shared" si="14"/>
        <v>38</v>
      </c>
      <c r="BJ20" s="12">
        <f t="shared" si="15"/>
        <v>-1446.6666667000973</v>
      </c>
      <c r="BK20" s="11">
        <f t="shared" si="16"/>
        <v>-4.9647824027577577E-3</v>
      </c>
      <c r="BM20" s="14"/>
      <c r="BN20" s="13" t="s">
        <v>9</v>
      </c>
      <c r="BO20" s="10">
        <v>246</v>
      </c>
      <c r="BP20" s="12">
        <v>258290.47619038</v>
      </c>
      <c r="BQ20" s="10">
        <f t="shared" si="17"/>
        <v>-46</v>
      </c>
      <c r="BR20" s="12">
        <f t="shared" si="18"/>
        <v>-31648.571428509953</v>
      </c>
      <c r="BS20" s="11">
        <f t="shared" si="19"/>
        <v>-0.10915594739108885</v>
      </c>
      <c r="BU20" s="14"/>
      <c r="BV20" s="13" t="s">
        <v>9</v>
      </c>
      <c r="BW20" s="10">
        <v>211</v>
      </c>
      <c r="BX20" s="12">
        <v>205681.90476174001</v>
      </c>
      <c r="BY20" s="10">
        <f t="shared" si="20"/>
        <v>-35</v>
      </c>
      <c r="BZ20" s="12">
        <f t="shared" si="21"/>
        <v>-52608.571428639989</v>
      </c>
      <c r="CA20" s="11">
        <f t="shared" si="22"/>
        <v>-0.203679873159022</v>
      </c>
      <c r="CC20" s="14"/>
      <c r="CD20" s="13"/>
      <c r="CF20" s="12"/>
      <c r="CH20" s="12"/>
      <c r="CI20" s="11"/>
      <c r="CK20" s="14"/>
      <c r="CL20" s="13"/>
      <c r="CN20" s="12"/>
      <c r="CP20" s="12"/>
      <c r="CQ20" s="11"/>
      <c r="CS20" s="14"/>
      <c r="CT20" s="13"/>
      <c r="CV20" s="12"/>
      <c r="CX20" s="12"/>
      <c r="CY20" s="11"/>
    </row>
    <row r="21" spans="1:103" s="10" customFormat="1" ht="20" customHeight="1">
      <c r="A21" s="14"/>
      <c r="B21" s="13" t="s">
        <v>8</v>
      </c>
      <c r="C21" s="10">
        <v>47</v>
      </c>
      <c r="D21" s="12">
        <v>311414.28571426996</v>
      </c>
      <c r="F21" s="12"/>
      <c r="G21" s="11"/>
      <c r="I21" s="14"/>
      <c r="J21" s="13" t="s">
        <v>8</v>
      </c>
      <c r="K21" s="10">
        <v>66</v>
      </c>
      <c r="L21" s="12">
        <v>413300.95238093002</v>
      </c>
      <c r="M21" s="10">
        <f t="shared" si="0"/>
        <v>19</v>
      </c>
      <c r="N21" s="12">
        <f t="shared" si="0"/>
        <v>101886.66666666005</v>
      </c>
      <c r="O21" s="11">
        <f t="shared" si="1"/>
        <v>0.32717402938972268</v>
      </c>
      <c r="Q21" s="14"/>
      <c r="R21" s="13" t="s">
        <v>8</v>
      </c>
      <c r="S21" s="10">
        <v>55</v>
      </c>
      <c r="T21" s="12">
        <v>360904.76190475002</v>
      </c>
      <c r="U21" s="10">
        <f t="shared" si="2"/>
        <v>-11</v>
      </c>
      <c r="V21" s="12">
        <f t="shared" si="3"/>
        <v>-52396.190476179996</v>
      </c>
      <c r="W21" s="11">
        <f t="shared" si="4"/>
        <v>-0.12677490863337676</v>
      </c>
      <c r="Y21" s="14"/>
      <c r="Z21" s="13" t="s">
        <v>8</v>
      </c>
      <c r="AA21" s="10">
        <v>62</v>
      </c>
      <c r="AB21" s="12">
        <v>411028.57142855</v>
      </c>
      <c r="AC21" s="10">
        <f t="shared" si="5"/>
        <v>7</v>
      </c>
      <c r="AD21" s="12">
        <f t="shared" si="5"/>
        <v>50123.809523799981</v>
      </c>
      <c r="AE21" s="11">
        <f t="shared" si="6"/>
        <v>0.13888375775166042</v>
      </c>
      <c r="AG21" s="14"/>
      <c r="AH21" s="13" t="s">
        <v>8</v>
      </c>
      <c r="AI21" s="13">
        <v>41</v>
      </c>
      <c r="AJ21" s="10">
        <v>268180.95238093997</v>
      </c>
      <c r="AK21" s="10">
        <f t="shared" si="7"/>
        <v>-21</v>
      </c>
      <c r="AL21" s="12">
        <f t="shared" si="7"/>
        <v>-142847.61904761003</v>
      </c>
      <c r="AM21" s="11">
        <f t="shared" si="8"/>
        <v>-0.34753695722692979</v>
      </c>
      <c r="AO21" s="14"/>
      <c r="AP21" s="13" t="s">
        <v>8</v>
      </c>
      <c r="AQ21" s="10">
        <v>58</v>
      </c>
      <c r="AR21" s="12">
        <v>372304.76190475002</v>
      </c>
      <c r="AS21" s="10">
        <f t="shared" si="9"/>
        <v>17</v>
      </c>
      <c r="AT21" s="12">
        <f t="shared" si="9"/>
        <v>104123.80952381005</v>
      </c>
      <c r="AU21" s="11">
        <f t="shared" si="10"/>
        <v>0.38825952626160593</v>
      </c>
      <c r="AW21" s="14"/>
      <c r="AX21" s="13" t="s">
        <v>8</v>
      </c>
      <c r="AY21" s="10">
        <v>80</v>
      </c>
      <c r="AZ21" s="12">
        <v>485439.99999996996</v>
      </c>
      <c r="BA21" s="10">
        <f t="shared" si="11"/>
        <v>22</v>
      </c>
      <c r="BB21" s="12">
        <f t="shared" si="12"/>
        <v>113135.23809521995</v>
      </c>
      <c r="BC21" s="11">
        <f t="shared" si="13"/>
        <v>0.30387803131071506</v>
      </c>
      <c r="BE21" s="14"/>
      <c r="BF21" s="13" t="s">
        <v>8</v>
      </c>
      <c r="BG21" s="10">
        <v>106</v>
      </c>
      <c r="BH21" s="12">
        <v>684929.52380950004</v>
      </c>
      <c r="BI21" s="10">
        <f t="shared" si="14"/>
        <v>26</v>
      </c>
      <c r="BJ21" s="12">
        <f t="shared" si="15"/>
        <v>199489.52380953007</v>
      </c>
      <c r="BK21" s="11">
        <f t="shared" si="16"/>
        <v>0.41094578899460782</v>
      </c>
      <c r="BM21" s="14"/>
      <c r="BN21" s="13" t="s">
        <v>8</v>
      </c>
      <c r="BO21" s="10">
        <v>69</v>
      </c>
      <c r="BP21" s="12">
        <v>467438.09523807</v>
      </c>
      <c r="BQ21" s="10">
        <f t="shared" si="17"/>
        <v>-37</v>
      </c>
      <c r="BR21" s="12">
        <f t="shared" si="18"/>
        <v>-217491.42857143003</v>
      </c>
      <c r="BS21" s="11">
        <f t="shared" si="19"/>
        <v>-0.31753840506358594</v>
      </c>
      <c r="BU21" s="14"/>
      <c r="BV21" s="13" t="s">
        <v>8</v>
      </c>
      <c r="BW21" s="10">
        <v>60</v>
      </c>
      <c r="BX21" s="12">
        <v>438952.38095237</v>
      </c>
      <c r="BY21" s="10">
        <f t="shared" si="20"/>
        <v>-9</v>
      </c>
      <c r="BZ21" s="12">
        <f t="shared" si="21"/>
        <v>-28485.7142857</v>
      </c>
      <c r="CA21" s="11">
        <f t="shared" si="22"/>
        <v>-6.0940078645477097E-2</v>
      </c>
      <c r="CC21" s="14"/>
      <c r="CD21" s="13"/>
      <c r="CF21" s="12"/>
      <c r="CH21" s="12"/>
      <c r="CI21" s="11"/>
      <c r="CK21" s="14"/>
      <c r="CL21" s="13"/>
      <c r="CN21" s="12"/>
      <c r="CP21" s="12"/>
      <c r="CQ21" s="11"/>
      <c r="CS21" s="14"/>
      <c r="CT21" s="13"/>
      <c r="CV21" s="12"/>
      <c r="CX21" s="12"/>
      <c r="CY21" s="11"/>
    </row>
    <row r="22" spans="1:103" s="10" customFormat="1" ht="20" customHeight="1">
      <c r="A22" s="14"/>
      <c r="B22" s="13" t="s">
        <v>7</v>
      </c>
      <c r="C22" s="10">
        <v>36</v>
      </c>
      <c r="D22" s="12">
        <v>399428.57142854005</v>
      </c>
      <c r="F22" s="12"/>
      <c r="G22" s="11"/>
      <c r="I22" s="14"/>
      <c r="J22" s="13" t="s">
        <v>7</v>
      </c>
      <c r="K22" s="10">
        <v>28</v>
      </c>
      <c r="L22" s="12">
        <v>322095.23809517</v>
      </c>
      <c r="M22" s="10">
        <f t="shared" si="0"/>
        <v>-8</v>
      </c>
      <c r="N22" s="12">
        <f t="shared" si="0"/>
        <v>-77333.333333370043</v>
      </c>
      <c r="O22" s="11">
        <f t="shared" si="1"/>
        <v>-0.19360991893191445</v>
      </c>
      <c r="Q22" s="14"/>
      <c r="R22" s="13" t="s">
        <v>7</v>
      </c>
      <c r="S22" s="10">
        <v>31</v>
      </c>
      <c r="T22" s="12">
        <v>375619.04761899001</v>
      </c>
      <c r="U22" s="10">
        <f t="shared" si="2"/>
        <v>3</v>
      </c>
      <c r="V22" s="12">
        <f t="shared" si="3"/>
        <v>53523.809523820004</v>
      </c>
      <c r="W22" s="11">
        <f t="shared" si="4"/>
        <v>0.16617386162041065</v>
      </c>
      <c r="Y22" s="14"/>
      <c r="Z22" s="13" t="s">
        <v>7</v>
      </c>
      <c r="AA22" s="10">
        <v>40</v>
      </c>
      <c r="AB22" s="12">
        <v>497619.04761896003</v>
      </c>
      <c r="AC22" s="10">
        <f t="shared" si="5"/>
        <v>9</v>
      </c>
      <c r="AD22" s="12">
        <f t="shared" si="5"/>
        <v>121999.99999997002</v>
      </c>
      <c r="AE22" s="11">
        <f t="shared" si="6"/>
        <v>0.32479716024337774</v>
      </c>
      <c r="AG22" s="14"/>
      <c r="AH22" s="13" t="s">
        <v>7</v>
      </c>
      <c r="AI22" s="13">
        <v>33</v>
      </c>
      <c r="AJ22" s="10">
        <v>425428.57142851001</v>
      </c>
      <c r="AK22" s="10">
        <f t="shared" si="7"/>
        <v>-7</v>
      </c>
      <c r="AL22" s="12">
        <f t="shared" si="7"/>
        <v>-72190.476190450019</v>
      </c>
      <c r="AM22" s="11">
        <f t="shared" si="8"/>
        <v>-0.14507177033490118</v>
      </c>
      <c r="AO22" s="14"/>
      <c r="AP22" s="13" t="s">
        <v>7</v>
      </c>
      <c r="AQ22" s="10">
        <v>23</v>
      </c>
      <c r="AR22" s="12">
        <v>246380.95238090996</v>
      </c>
      <c r="AS22" s="10">
        <f t="shared" si="9"/>
        <v>-10</v>
      </c>
      <c r="AT22" s="12">
        <f t="shared" si="9"/>
        <v>-179047.61904760005</v>
      </c>
      <c r="AU22" s="11">
        <f t="shared" si="10"/>
        <v>-0.42086411461832818</v>
      </c>
      <c r="AW22" s="14"/>
      <c r="AX22" s="13" t="s">
        <v>7</v>
      </c>
      <c r="AY22" s="10">
        <v>44</v>
      </c>
      <c r="AZ22" s="12">
        <v>545809.52380943997</v>
      </c>
      <c r="BA22" s="10">
        <f t="shared" si="11"/>
        <v>21</v>
      </c>
      <c r="BB22" s="12">
        <f t="shared" si="12"/>
        <v>299428.57142853003</v>
      </c>
      <c r="BC22" s="11">
        <f t="shared" si="13"/>
        <v>1.2153073057596082</v>
      </c>
      <c r="BE22" s="14"/>
      <c r="BF22" s="13" t="s">
        <v>7</v>
      </c>
      <c r="BG22" s="10">
        <v>52</v>
      </c>
      <c r="BH22" s="12">
        <v>633142.85714277998</v>
      </c>
      <c r="BI22" s="10">
        <f t="shared" si="14"/>
        <v>8</v>
      </c>
      <c r="BJ22" s="12">
        <f t="shared" si="15"/>
        <v>87333.333333340008</v>
      </c>
      <c r="BK22" s="11">
        <f t="shared" si="16"/>
        <v>0.16000697958475152</v>
      </c>
      <c r="BM22" s="14"/>
      <c r="BN22" s="13" t="s">
        <v>7</v>
      </c>
      <c r="BO22" s="10">
        <v>52</v>
      </c>
      <c r="BP22" s="12">
        <v>727428.57142847998</v>
      </c>
      <c r="BQ22" s="10">
        <f t="shared" si="17"/>
        <v>0</v>
      </c>
      <c r="BR22" s="12">
        <f t="shared" si="18"/>
        <v>94285.7142857</v>
      </c>
      <c r="BS22" s="11">
        <f t="shared" si="19"/>
        <v>0.14891696750902086</v>
      </c>
      <c r="BU22" s="14"/>
      <c r="BV22" s="13" t="s">
        <v>7</v>
      </c>
      <c r="BW22" s="10">
        <v>38</v>
      </c>
      <c r="BX22" s="12">
        <v>432095.23809518002</v>
      </c>
      <c r="BY22" s="10">
        <f t="shared" si="20"/>
        <v>-14</v>
      </c>
      <c r="BZ22" s="12">
        <f t="shared" si="21"/>
        <v>-295333.33333329996</v>
      </c>
      <c r="CA22" s="11">
        <f t="shared" si="22"/>
        <v>-0.40599633411888447</v>
      </c>
      <c r="CC22" s="14"/>
      <c r="CD22" s="13"/>
      <c r="CF22" s="12"/>
      <c r="CH22" s="12"/>
      <c r="CI22" s="11"/>
      <c r="CK22" s="14"/>
      <c r="CL22" s="13"/>
      <c r="CN22" s="12"/>
      <c r="CP22" s="12"/>
      <c r="CQ22" s="11"/>
      <c r="CS22" s="14"/>
      <c r="CT22" s="13"/>
      <c r="CV22" s="12"/>
      <c r="CX22" s="12"/>
      <c r="CY22" s="11"/>
    </row>
    <row r="23" spans="1:103" s="10" customFormat="1" ht="20" customHeight="1">
      <c r="A23" s="14"/>
      <c r="B23" s="13" t="s">
        <v>6</v>
      </c>
      <c r="C23" s="10">
        <v>4</v>
      </c>
      <c r="D23" s="12">
        <v>23960</v>
      </c>
      <c r="F23" s="12"/>
      <c r="G23" s="11"/>
      <c r="I23" s="14"/>
      <c r="J23" s="13" t="s">
        <v>6</v>
      </c>
      <c r="K23" s="10">
        <v>4</v>
      </c>
      <c r="L23" s="12">
        <v>17428.571428559997</v>
      </c>
      <c r="M23" s="10">
        <f t="shared" si="0"/>
        <v>0</v>
      </c>
      <c r="N23" s="12">
        <f t="shared" si="0"/>
        <v>-6531.428571440003</v>
      </c>
      <c r="O23" s="11">
        <f t="shared" si="1"/>
        <v>-0.27259718578631065</v>
      </c>
      <c r="Q23" s="14"/>
      <c r="R23" s="13" t="s">
        <v>6</v>
      </c>
      <c r="S23" s="10">
        <v>2</v>
      </c>
      <c r="T23" s="12">
        <v>17714.285714279999</v>
      </c>
      <c r="U23" s="10">
        <f t="shared" si="2"/>
        <v>-2</v>
      </c>
      <c r="V23" s="12">
        <f t="shared" si="3"/>
        <v>285.7142857200015</v>
      </c>
      <c r="W23" s="11">
        <f t="shared" si="4"/>
        <v>1.6393442623289529E-2</v>
      </c>
      <c r="Y23" s="14"/>
      <c r="Z23" s="13" t="s">
        <v>6</v>
      </c>
      <c r="AA23" s="10">
        <v>2</v>
      </c>
      <c r="AB23" s="12">
        <v>5714.2857142800003</v>
      </c>
      <c r="AC23" s="10">
        <f t="shared" si="5"/>
        <v>0</v>
      </c>
      <c r="AD23" s="12">
        <f t="shared" si="5"/>
        <v>-11999.999999999998</v>
      </c>
      <c r="AE23" s="11">
        <f t="shared" si="6"/>
        <v>-0.67741935483892812</v>
      </c>
      <c r="AG23" s="14"/>
      <c r="AH23" s="13" t="s">
        <v>6</v>
      </c>
      <c r="AI23" s="13">
        <v>1</v>
      </c>
      <c r="AJ23" s="10">
        <v>5237.1428571400002</v>
      </c>
      <c r="AK23" s="10">
        <f t="shared" si="7"/>
        <v>-1</v>
      </c>
      <c r="AL23" s="12">
        <f t="shared" si="7"/>
        <v>-477.14285714000016</v>
      </c>
      <c r="AM23" s="11">
        <f t="shared" si="8"/>
        <v>-8.3499999999583518E-2</v>
      </c>
      <c r="AO23" s="14"/>
      <c r="AP23" s="13" t="s">
        <v>6</v>
      </c>
      <c r="AQ23" s="10">
        <v>2</v>
      </c>
      <c r="AR23" s="12">
        <v>5714.2857142800003</v>
      </c>
      <c r="AS23" s="10">
        <f t="shared" si="9"/>
        <v>1</v>
      </c>
      <c r="AT23" s="12">
        <f t="shared" si="9"/>
        <v>477.14285714000016</v>
      </c>
      <c r="AU23" s="11">
        <f t="shared" si="10"/>
        <v>9.1107474085701662E-2</v>
      </c>
      <c r="AW23" s="14"/>
      <c r="AX23" s="13" t="s">
        <v>6</v>
      </c>
      <c r="AY23" s="10">
        <v>4</v>
      </c>
      <c r="AZ23" s="12">
        <v>13808.571428560001</v>
      </c>
      <c r="BA23" s="10">
        <f t="shared" si="11"/>
        <v>2</v>
      </c>
      <c r="BB23" s="12">
        <f t="shared" si="12"/>
        <v>8094.2857142800003</v>
      </c>
      <c r="BC23" s="11">
        <f t="shared" si="13"/>
        <v>1.4165000000004164</v>
      </c>
      <c r="BE23" s="14"/>
      <c r="BF23" s="13" t="s">
        <v>6</v>
      </c>
      <c r="BH23" s="12"/>
      <c r="BI23" s="10">
        <f t="shared" si="14"/>
        <v>-4</v>
      </c>
      <c r="BJ23" s="12">
        <f t="shared" si="15"/>
        <v>-13808.571428560001</v>
      </c>
      <c r="BK23" s="11">
        <f t="shared" si="16"/>
        <v>-1</v>
      </c>
      <c r="BM23" s="14"/>
      <c r="BN23" s="13" t="s">
        <v>6</v>
      </c>
      <c r="BO23" s="10">
        <v>1</v>
      </c>
      <c r="BP23" s="12">
        <v>8857.1428571399993</v>
      </c>
      <c r="BQ23" s="10">
        <f t="shared" si="17"/>
        <v>1</v>
      </c>
      <c r="BR23" s="12">
        <f t="shared" si="18"/>
        <v>8857.1428571399993</v>
      </c>
      <c r="BS23" s="11" t="e">
        <f t="shared" si="19"/>
        <v>#DIV/0!</v>
      </c>
      <c r="BU23" s="14"/>
      <c r="BV23" s="13" t="s">
        <v>6</v>
      </c>
      <c r="BX23" s="12"/>
      <c r="BY23" s="10">
        <f t="shared" si="20"/>
        <v>-1</v>
      </c>
      <c r="BZ23" s="12">
        <f t="shared" si="21"/>
        <v>-8857.1428571399993</v>
      </c>
      <c r="CA23" s="11">
        <f t="shared" si="22"/>
        <v>-1</v>
      </c>
      <c r="CC23" s="14"/>
      <c r="CD23" s="13"/>
      <c r="CF23" s="12"/>
      <c r="CH23" s="12"/>
      <c r="CI23" s="11"/>
      <c r="CK23" s="14"/>
      <c r="CL23" s="13"/>
      <c r="CN23" s="12"/>
      <c r="CP23" s="12"/>
      <c r="CQ23" s="11"/>
      <c r="CS23" s="14"/>
      <c r="CT23" s="13"/>
      <c r="CV23" s="12"/>
      <c r="CX23" s="12"/>
      <c r="CY23" s="11"/>
    </row>
    <row r="24" spans="1:103" s="10" customFormat="1" ht="20" customHeight="1">
      <c r="A24" s="14"/>
      <c r="B24" s="13" t="s">
        <v>5</v>
      </c>
      <c r="C24" s="10">
        <v>4</v>
      </c>
      <c r="D24" s="12">
        <v>23960</v>
      </c>
      <c r="F24" s="12"/>
      <c r="G24" s="11"/>
      <c r="I24" s="14"/>
      <c r="J24" s="13" t="s">
        <v>5</v>
      </c>
      <c r="K24" s="10">
        <v>7</v>
      </c>
      <c r="L24" s="12">
        <v>39630</v>
      </c>
      <c r="M24" s="10">
        <f t="shared" si="0"/>
        <v>3</v>
      </c>
      <c r="N24" s="12">
        <f t="shared" si="0"/>
        <v>15670</v>
      </c>
      <c r="O24" s="11">
        <f t="shared" si="1"/>
        <v>0.65400667779632726</v>
      </c>
      <c r="Q24" s="14"/>
      <c r="R24" s="13" t="s">
        <v>5</v>
      </c>
      <c r="S24" s="10">
        <v>11</v>
      </c>
      <c r="T24" s="12">
        <v>66990</v>
      </c>
      <c r="U24" s="10">
        <f t="shared" si="2"/>
        <v>4</v>
      </c>
      <c r="V24" s="12">
        <f t="shared" si="3"/>
        <v>27360</v>
      </c>
      <c r="W24" s="11">
        <f t="shared" si="4"/>
        <v>0.69038607115821349</v>
      </c>
      <c r="Y24" s="14"/>
      <c r="Z24" s="13" t="s">
        <v>5</v>
      </c>
      <c r="AA24" s="10">
        <v>9</v>
      </c>
      <c r="AB24" s="12">
        <v>50710</v>
      </c>
      <c r="AC24" s="10">
        <f t="shared" si="5"/>
        <v>-2</v>
      </c>
      <c r="AD24" s="12">
        <f t="shared" si="5"/>
        <v>-16280</v>
      </c>
      <c r="AE24" s="11">
        <f t="shared" si="6"/>
        <v>-0.24302134646962234</v>
      </c>
      <c r="AG24" s="14"/>
      <c r="AH24" s="13" t="s">
        <v>5</v>
      </c>
      <c r="AI24" s="13">
        <v>8</v>
      </c>
      <c r="AJ24" s="10">
        <v>46120</v>
      </c>
      <c r="AK24" s="10">
        <f t="shared" si="7"/>
        <v>-1</v>
      </c>
      <c r="AL24" s="12">
        <f t="shared" si="7"/>
        <v>-4590</v>
      </c>
      <c r="AM24" s="11">
        <f t="shared" si="8"/>
        <v>-9.0514691382370338E-2</v>
      </c>
      <c r="AO24" s="14"/>
      <c r="AP24" s="13" t="s">
        <v>5</v>
      </c>
      <c r="AQ24" s="10">
        <v>15</v>
      </c>
      <c r="AR24" s="12">
        <v>82750</v>
      </c>
      <c r="AS24" s="10">
        <f t="shared" si="9"/>
        <v>7</v>
      </c>
      <c r="AT24" s="12">
        <f t="shared" si="9"/>
        <v>36630</v>
      </c>
      <c r="AU24" s="11">
        <f t="shared" si="10"/>
        <v>0.79423243712055502</v>
      </c>
      <c r="AW24" s="14"/>
      <c r="AX24" s="13" t="s">
        <v>5</v>
      </c>
      <c r="AY24" s="10">
        <v>16</v>
      </c>
      <c r="AZ24" s="12">
        <v>77540</v>
      </c>
      <c r="BA24" s="10">
        <f t="shared" si="11"/>
        <v>1</v>
      </c>
      <c r="BB24" s="12">
        <f t="shared" si="12"/>
        <v>-5210</v>
      </c>
      <c r="BC24" s="11">
        <f t="shared" si="13"/>
        <v>-6.2960725075528703E-2</v>
      </c>
      <c r="BE24" s="14"/>
      <c r="BF24" s="13" t="s">
        <v>5</v>
      </c>
      <c r="BG24" s="10">
        <v>15</v>
      </c>
      <c r="BH24" s="12">
        <v>79350</v>
      </c>
      <c r="BI24" s="10">
        <f t="shared" si="14"/>
        <v>-1</v>
      </c>
      <c r="BJ24" s="12">
        <f t="shared" si="15"/>
        <v>1810</v>
      </c>
      <c r="BK24" s="11">
        <f t="shared" si="16"/>
        <v>2.3342790817642508E-2</v>
      </c>
      <c r="BM24" s="14"/>
      <c r="BN24" s="13" t="s">
        <v>5</v>
      </c>
      <c r="BO24" s="10">
        <v>10</v>
      </c>
      <c r="BP24" s="12">
        <v>54800</v>
      </c>
      <c r="BQ24" s="10">
        <f t="shared" si="17"/>
        <v>-5</v>
      </c>
      <c r="BR24" s="12">
        <f t="shared" si="18"/>
        <v>-24550</v>
      </c>
      <c r="BS24" s="11">
        <f t="shared" si="19"/>
        <v>-0.30938878386893509</v>
      </c>
      <c r="BU24" s="14"/>
      <c r="BV24" s="13" t="s">
        <v>5</v>
      </c>
      <c r="BW24" s="10">
        <v>8</v>
      </c>
      <c r="BX24" s="12">
        <v>45620</v>
      </c>
      <c r="BY24" s="10">
        <f t="shared" si="20"/>
        <v>-2</v>
      </c>
      <c r="BZ24" s="12">
        <f t="shared" si="21"/>
        <v>-9180</v>
      </c>
      <c r="CA24" s="11">
        <f t="shared" si="22"/>
        <v>-0.16751824817518249</v>
      </c>
      <c r="CC24" s="14"/>
      <c r="CD24" s="13"/>
      <c r="CF24" s="12"/>
      <c r="CH24" s="12"/>
      <c r="CI24" s="11"/>
      <c r="CK24" s="14"/>
      <c r="CL24" s="13"/>
      <c r="CN24" s="12"/>
      <c r="CP24" s="12"/>
      <c r="CQ24" s="11"/>
      <c r="CS24" s="14"/>
      <c r="CT24" s="13"/>
      <c r="CV24" s="12"/>
      <c r="CX24" s="12"/>
      <c r="CY24" s="11"/>
    </row>
    <row r="25" spans="1:103" s="10" customFormat="1" ht="20" customHeight="1">
      <c r="A25" s="14"/>
      <c r="B25" s="13" t="s">
        <v>4</v>
      </c>
      <c r="C25" s="10">
        <v>9</v>
      </c>
      <c r="D25" s="12">
        <v>370480.95238092996</v>
      </c>
      <c r="F25" s="12"/>
      <c r="G25" s="11"/>
      <c r="I25" s="14"/>
      <c r="J25" s="13" t="s">
        <v>4</v>
      </c>
      <c r="K25" s="10">
        <v>8</v>
      </c>
      <c r="L25" s="12">
        <v>297433.33333332004</v>
      </c>
      <c r="M25" s="10">
        <f t="shared" si="0"/>
        <v>-1</v>
      </c>
      <c r="N25" s="12">
        <f t="shared" si="0"/>
        <v>-73047.619047609915</v>
      </c>
      <c r="O25" s="11">
        <f t="shared" si="1"/>
        <v>-0.19716970218890517</v>
      </c>
      <c r="Q25" s="14"/>
      <c r="R25" s="13" t="s">
        <v>4</v>
      </c>
      <c r="S25" s="10">
        <v>7</v>
      </c>
      <c r="T25" s="12">
        <v>304961.90476186998</v>
      </c>
      <c r="U25" s="10">
        <f t="shared" si="2"/>
        <v>-1</v>
      </c>
      <c r="V25" s="12">
        <f t="shared" si="3"/>
        <v>7528.5714285499416</v>
      </c>
      <c r="W25" s="11">
        <f t="shared" si="4"/>
        <v>2.5311794559734209E-2</v>
      </c>
      <c r="Y25" s="14"/>
      <c r="Z25" s="13" t="s">
        <v>4</v>
      </c>
      <c r="AA25" s="10">
        <v>8</v>
      </c>
      <c r="AB25" s="12">
        <v>274819.04761903</v>
      </c>
      <c r="AC25" s="10">
        <f t="shared" si="5"/>
        <v>1</v>
      </c>
      <c r="AD25" s="12">
        <f t="shared" si="5"/>
        <v>-30142.857142839988</v>
      </c>
      <c r="AE25" s="11">
        <f t="shared" si="6"/>
        <v>-9.884138534082508E-2</v>
      </c>
      <c r="AG25" s="14"/>
      <c r="AH25" s="13" t="s">
        <v>4</v>
      </c>
      <c r="AI25" s="13">
        <v>7</v>
      </c>
      <c r="AJ25" s="10">
        <v>256342.85714284002</v>
      </c>
      <c r="AK25" s="10">
        <f t="shared" si="7"/>
        <v>-1</v>
      </c>
      <c r="AL25" s="12">
        <f t="shared" si="7"/>
        <v>-18476.190476189979</v>
      </c>
      <c r="AM25" s="11">
        <f t="shared" si="8"/>
        <v>-6.7230385361799011E-2</v>
      </c>
      <c r="AO25" s="14"/>
      <c r="AP25" s="13" t="s">
        <v>4</v>
      </c>
      <c r="AQ25" s="10">
        <v>10</v>
      </c>
      <c r="AR25" s="12">
        <v>348252.38095233997</v>
      </c>
      <c r="AS25" s="10">
        <f t="shared" si="9"/>
        <v>3</v>
      </c>
      <c r="AT25" s="12">
        <f t="shared" si="9"/>
        <v>91909.523809499951</v>
      </c>
      <c r="AU25" s="11">
        <f t="shared" si="10"/>
        <v>0.35854138802192526</v>
      </c>
      <c r="AW25" s="14"/>
      <c r="AX25" s="13" t="s">
        <v>4</v>
      </c>
      <c r="AY25" s="10">
        <v>3</v>
      </c>
      <c r="AZ25" s="12">
        <v>110666.66666665999</v>
      </c>
      <c r="BA25" s="10">
        <f t="shared" si="11"/>
        <v>-7</v>
      </c>
      <c r="BB25" s="12">
        <f t="shared" si="12"/>
        <v>-237585.71428567998</v>
      </c>
      <c r="BC25" s="11">
        <f t="shared" si="13"/>
        <v>-0.68222279955695331</v>
      </c>
      <c r="BE25" s="14"/>
      <c r="BF25" s="13" t="s">
        <v>4</v>
      </c>
      <c r="BG25" s="10">
        <v>9</v>
      </c>
      <c r="BH25" s="12">
        <v>334095.23809520999</v>
      </c>
      <c r="BI25" s="10">
        <f t="shared" si="14"/>
        <v>6</v>
      </c>
      <c r="BJ25" s="12">
        <f t="shared" si="15"/>
        <v>223428.57142855</v>
      </c>
      <c r="BK25" s="11">
        <f t="shared" si="16"/>
        <v>2.0189328743544892</v>
      </c>
      <c r="BM25" s="14"/>
      <c r="BN25" s="13" t="s">
        <v>4</v>
      </c>
      <c r="BO25" s="10">
        <v>7</v>
      </c>
      <c r="BP25" s="12">
        <v>309623.80952378002</v>
      </c>
      <c r="BQ25" s="10">
        <f t="shared" si="17"/>
        <v>-2</v>
      </c>
      <c r="BR25" s="12">
        <f t="shared" si="18"/>
        <v>-24471.428571429977</v>
      </c>
      <c r="BS25" s="11">
        <f t="shared" si="19"/>
        <v>-7.3246864310158602E-2</v>
      </c>
      <c r="BU25" s="14"/>
      <c r="BV25" s="13" t="s">
        <v>4</v>
      </c>
      <c r="BW25" s="10">
        <v>5</v>
      </c>
      <c r="BX25" s="12">
        <v>183142.85714283001</v>
      </c>
      <c r="BY25" s="10">
        <f t="shared" si="20"/>
        <v>-2</v>
      </c>
      <c r="BZ25" s="12">
        <f t="shared" si="21"/>
        <v>-126480.95238095001</v>
      </c>
      <c r="CA25" s="11">
        <f t="shared" si="22"/>
        <v>-0.40849879269777506</v>
      </c>
      <c r="CC25" s="14"/>
      <c r="CD25" s="13"/>
      <c r="CF25" s="12"/>
      <c r="CH25" s="12"/>
      <c r="CI25" s="11"/>
      <c r="CK25" s="14"/>
      <c r="CL25" s="13"/>
      <c r="CN25" s="12"/>
      <c r="CP25" s="12"/>
      <c r="CQ25" s="11"/>
      <c r="CS25" s="14"/>
      <c r="CT25" s="13"/>
      <c r="CV25" s="12"/>
      <c r="CX25" s="12"/>
      <c r="CY25" s="11"/>
    </row>
    <row r="26" spans="1:103" s="10" customFormat="1" ht="20" customHeight="1">
      <c r="A26" s="14"/>
      <c r="B26" s="13" t="s">
        <v>3</v>
      </c>
      <c r="C26" s="10">
        <v>32</v>
      </c>
      <c r="D26" s="12">
        <v>597523.80952372006</v>
      </c>
      <c r="F26" s="12"/>
      <c r="G26" s="11"/>
      <c r="I26" s="14"/>
      <c r="J26" s="13" t="s">
        <v>3</v>
      </c>
      <c r="K26" s="10">
        <v>25</v>
      </c>
      <c r="L26" s="12">
        <v>563333.33333327004</v>
      </c>
      <c r="M26" s="10">
        <f t="shared" si="0"/>
        <v>-7</v>
      </c>
      <c r="N26" s="12">
        <f t="shared" si="0"/>
        <v>-34190.476190450019</v>
      </c>
      <c r="O26" s="11">
        <f t="shared" si="1"/>
        <v>-5.7220274147239236E-2</v>
      </c>
      <c r="Q26" s="14"/>
      <c r="R26" s="13" t="s">
        <v>3</v>
      </c>
      <c r="S26" s="10">
        <v>33</v>
      </c>
      <c r="T26" s="12">
        <v>644857.14285706007</v>
      </c>
      <c r="U26" s="10">
        <f t="shared" si="2"/>
        <v>8</v>
      </c>
      <c r="V26" s="12">
        <f t="shared" si="3"/>
        <v>81523.809523790027</v>
      </c>
      <c r="W26" s="11">
        <f t="shared" si="4"/>
        <v>0.1447168216398802</v>
      </c>
      <c r="Y26" s="14"/>
      <c r="Z26" s="13" t="s">
        <v>3</v>
      </c>
      <c r="AA26" s="10">
        <v>35</v>
      </c>
      <c r="AB26" s="12">
        <v>637333.33333325014</v>
      </c>
      <c r="AC26" s="10">
        <f t="shared" si="5"/>
        <v>2</v>
      </c>
      <c r="AD26" s="12">
        <f t="shared" si="5"/>
        <v>-7523.809523809934</v>
      </c>
      <c r="AE26" s="11">
        <f t="shared" si="6"/>
        <v>-1.1667405110030196E-2</v>
      </c>
      <c r="AG26" s="14"/>
      <c r="AH26" s="13" t="s">
        <v>3</v>
      </c>
      <c r="AI26" s="13">
        <v>38</v>
      </c>
      <c r="AJ26" s="10">
        <v>697619.04761896003</v>
      </c>
      <c r="AK26" s="10">
        <f t="shared" si="7"/>
        <v>3</v>
      </c>
      <c r="AL26" s="12">
        <f t="shared" si="7"/>
        <v>60285.714285709895</v>
      </c>
      <c r="AM26" s="11">
        <f t="shared" si="8"/>
        <v>9.4590555887632474E-2</v>
      </c>
      <c r="AO26" s="14"/>
      <c r="AP26" s="13" t="s">
        <v>3</v>
      </c>
      <c r="AQ26" s="10">
        <v>38</v>
      </c>
      <c r="AR26" s="12">
        <v>633523.80952373997</v>
      </c>
      <c r="AS26" s="10">
        <f t="shared" si="9"/>
        <v>0</v>
      </c>
      <c r="AT26" s="12">
        <f t="shared" si="9"/>
        <v>-64095.238095220062</v>
      </c>
      <c r="AU26" s="11">
        <f t="shared" si="10"/>
        <v>-9.1877133105787739E-2</v>
      </c>
      <c r="AW26" s="14"/>
      <c r="AX26" s="13" t="s">
        <v>3</v>
      </c>
      <c r="AY26" s="10">
        <v>39</v>
      </c>
      <c r="AZ26" s="12">
        <v>701999.99999992002</v>
      </c>
      <c r="BA26" s="10">
        <f t="shared" si="11"/>
        <v>1</v>
      </c>
      <c r="BB26" s="12">
        <f t="shared" si="12"/>
        <v>68476.190476180054</v>
      </c>
      <c r="BC26" s="11">
        <f t="shared" si="13"/>
        <v>0.10808779314491423</v>
      </c>
      <c r="BE26" s="14"/>
      <c r="BF26" s="13" t="s">
        <v>3</v>
      </c>
      <c r="BG26" s="10">
        <v>45</v>
      </c>
      <c r="BH26" s="12">
        <v>819904.76190468017</v>
      </c>
      <c r="BI26" s="10">
        <f t="shared" si="14"/>
        <v>6</v>
      </c>
      <c r="BJ26" s="12">
        <f t="shared" si="15"/>
        <v>117904.76190476015</v>
      </c>
      <c r="BK26" s="11">
        <f t="shared" si="16"/>
        <v>0.16795550128885126</v>
      </c>
      <c r="BM26" s="14"/>
      <c r="BN26" s="13" t="s">
        <v>3</v>
      </c>
      <c r="BO26" s="10">
        <v>41</v>
      </c>
      <c r="BP26" s="12">
        <v>694666.66666659992</v>
      </c>
      <c r="BQ26" s="10">
        <f t="shared" si="17"/>
        <v>-4</v>
      </c>
      <c r="BR26" s="12">
        <f t="shared" si="18"/>
        <v>-125238.09523808025</v>
      </c>
      <c r="BS26" s="11">
        <f t="shared" si="19"/>
        <v>-0.15274712510163477</v>
      </c>
      <c r="BU26" s="14"/>
      <c r="BV26" s="13" t="s">
        <v>3</v>
      </c>
      <c r="BW26" s="10">
        <v>24</v>
      </c>
      <c r="BX26" s="12">
        <v>391142.85714281001</v>
      </c>
      <c r="BY26" s="10">
        <f t="shared" si="20"/>
        <v>-17</v>
      </c>
      <c r="BZ26" s="12">
        <f t="shared" si="21"/>
        <v>-303523.80952378991</v>
      </c>
      <c r="CA26" s="11">
        <f t="shared" si="22"/>
        <v>-0.43693446668496028</v>
      </c>
      <c r="CC26" s="14"/>
      <c r="CD26" s="13"/>
      <c r="CF26" s="12"/>
      <c r="CH26" s="12"/>
      <c r="CI26" s="11"/>
      <c r="CK26" s="14"/>
      <c r="CL26" s="13"/>
      <c r="CN26" s="12"/>
      <c r="CP26" s="12"/>
      <c r="CQ26" s="11"/>
      <c r="CS26" s="14"/>
      <c r="CT26" s="13"/>
      <c r="CV26" s="12"/>
      <c r="CX26" s="12"/>
      <c r="CY26" s="11"/>
    </row>
    <row r="27" spans="1:103" s="10" customFormat="1" ht="20" customHeight="1">
      <c r="A27" s="14"/>
      <c r="B27" s="13" t="s">
        <v>2</v>
      </c>
      <c r="C27" s="10">
        <v>92</v>
      </c>
      <c r="D27" s="12">
        <v>3407904.76190471</v>
      </c>
      <c r="F27" s="12"/>
      <c r="G27" s="11"/>
      <c r="I27" s="14"/>
      <c r="J27" s="13" t="s">
        <v>2</v>
      </c>
      <c r="K27" s="10">
        <v>84</v>
      </c>
      <c r="L27" s="12">
        <v>3088464.7619047002</v>
      </c>
      <c r="M27" s="10">
        <f t="shared" si="0"/>
        <v>-8</v>
      </c>
      <c r="N27" s="12">
        <f t="shared" si="0"/>
        <v>-319440.00000000978</v>
      </c>
      <c r="O27" s="11">
        <f t="shared" si="1"/>
        <v>-9.3735013833388864E-2</v>
      </c>
      <c r="Q27" s="14"/>
      <c r="R27" s="13" t="s">
        <v>2</v>
      </c>
      <c r="S27" s="10">
        <v>88</v>
      </c>
      <c r="T27" s="12">
        <v>3283047.6190475402</v>
      </c>
      <c r="U27" s="10">
        <f t="shared" si="2"/>
        <v>4</v>
      </c>
      <c r="V27" s="12">
        <f t="shared" si="3"/>
        <v>194582.85714284005</v>
      </c>
      <c r="W27" s="11">
        <f t="shared" si="4"/>
        <v>6.3003100939651974E-2</v>
      </c>
      <c r="Y27" s="14"/>
      <c r="Z27" s="13" t="s">
        <v>2</v>
      </c>
      <c r="AA27" s="10">
        <v>77</v>
      </c>
      <c r="AB27" s="12">
        <v>3000285.71428564</v>
      </c>
      <c r="AC27" s="10">
        <f t="shared" si="5"/>
        <v>-11</v>
      </c>
      <c r="AD27" s="12">
        <f t="shared" si="5"/>
        <v>-282761.90476190019</v>
      </c>
      <c r="AE27" s="11">
        <f t="shared" si="6"/>
        <v>-8.6127871896032243E-2</v>
      </c>
      <c r="AG27" s="14"/>
      <c r="AH27" s="13" t="s">
        <v>2</v>
      </c>
      <c r="AI27" s="13">
        <v>97</v>
      </c>
      <c r="AJ27" s="10">
        <v>3679333.3333332399</v>
      </c>
      <c r="AK27" s="10">
        <f t="shared" si="7"/>
        <v>20</v>
      </c>
      <c r="AL27" s="12">
        <f t="shared" si="7"/>
        <v>679047.61904759984</v>
      </c>
      <c r="AM27" s="11">
        <f t="shared" si="8"/>
        <v>0.22632765133479271</v>
      </c>
      <c r="AO27" s="14"/>
      <c r="AP27" s="13" t="s">
        <v>2</v>
      </c>
      <c r="AQ27" s="10">
        <v>97</v>
      </c>
      <c r="AR27" s="12">
        <v>3634022.85714278</v>
      </c>
      <c r="AS27" s="10">
        <f t="shared" si="9"/>
        <v>0</v>
      </c>
      <c r="AT27" s="12">
        <f t="shared" si="9"/>
        <v>-45310.476190459915</v>
      </c>
      <c r="AU27" s="11">
        <f t="shared" si="10"/>
        <v>-1.2314860352544229E-2</v>
      </c>
      <c r="AW27" s="14"/>
      <c r="AX27" s="13" t="s">
        <v>2</v>
      </c>
      <c r="AY27" s="10">
        <v>138</v>
      </c>
      <c r="AZ27" s="12">
        <v>4970796.1904760804</v>
      </c>
      <c r="BA27" s="10">
        <f t="shared" si="11"/>
        <v>41</v>
      </c>
      <c r="BB27" s="12">
        <f t="shared" si="12"/>
        <v>1336773.3333333004</v>
      </c>
      <c r="BC27" s="11">
        <f t="shared" si="13"/>
        <v>0.36784945661688195</v>
      </c>
      <c r="BE27" s="14"/>
      <c r="BF27" s="13" t="s">
        <v>2</v>
      </c>
      <c r="BG27" s="10">
        <v>91</v>
      </c>
      <c r="BH27" s="12">
        <v>3004521.9047618601</v>
      </c>
      <c r="BI27" s="10">
        <f t="shared" si="14"/>
        <v>-47</v>
      </c>
      <c r="BJ27" s="12">
        <f t="shared" si="15"/>
        <v>-1966274.2857142203</v>
      </c>
      <c r="BK27" s="11">
        <f t="shared" si="16"/>
        <v>-0.39556525964221828</v>
      </c>
      <c r="BM27" s="14"/>
      <c r="BN27" s="13" t="s">
        <v>2</v>
      </c>
      <c r="BO27" s="10">
        <v>48</v>
      </c>
      <c r="BP27" s="12">
        <v>1501568.5714285299</v>
      </c>
      <c r="BQ27" s="10">
        <f t="shared" si="17"/>
        <v>-43</v>
      </c>
      <c r="BR27" s="12">
        <f t="shared" si="18"/>
        <v>-1502953.3333333302</v>
      </c>
      <c r="BS27" s="11">
        <f t="shared" si="19"/>
        <v>-0.50023044629872815</v>
      </c>
      <c r="BU27" s="14"/>
      <c r="BV27" s="13" t="s">
        <v>2</v>
      </c>
      <c r="BW27" s="10">
        <v>19</v>
      </c>
      <c r="BX27" s="12">
        <v>661047.61904760008</v>
      </c>
      <c r="BY27" s="10">
        <f t="shared" si="20"/>
        <v>-29</v>
      </c>
      <c r="BZ27" s="12">
        <f t="shared" si="21"/>
        <v>-840520.95238092984</v>
      </c>
      <c r="CA27" s="11">
        <f t="shared" si="22"/>
        <v>-0.55976195051904498</v>
      </c>
      <c r="CC27" s="14"/>
      <c r="CD27" s="13"/>
      <c r="CF27" s="12"/>
      <c r="CH27" s="12"/>
      <c r="CI27" s="11"/>
      <c r="CK27" s="14"/>
      <c r="CL27" s="13"/>
      <c r="CN27" s="12"/>
      <c r="CP27" s="12"/>
      <c r="CQ27" s="11"/>
      <c r="CS27" s="14"/>
      <c r="CT27" s="13"/>
      <c r="CV27" s="12"/>
      <c r="CX27" s="12"/>
      <c r="CY27" s="11"/>
    </row>
    <row r="28" spans="1:103" s="1" customFormat="1" ht="20" customHeight="1">
      <c r="A28" s="9" t="s">
        <v>13</v>
      </c>
      <c r="B28" s="9"/>
      <c r="C28" s="8">
        <v>569</v>
      </c>
      <c r="D28" s="7">
        <v>5472379.9999989299</v>
      </c>
      <c r="E28" s="27"/>
      <c r="F28" s="28"/>
      <c r="G28" s="29"/>
      <c r="I28" s="9" t="s">
        <v>13</v>
      </c>
      <c r="J28" s="9"/>
      <c r="K28" s="8">
        <v>571</v>
      </c>
      <c r="L28" s="7">
        <v>5146531.9047610201</v>
      </c>
      <c r="M28" s="27">
        <f t="shared" si="0"/>
        <v>2</v>
      </c>
      <c r="N28" s="28">
        <f t="shared" si="0"/>
        <v>-325848.09523790982</v>
      </c>
      <c r="O28" s="29">
        <f t="shared" si="1"/>
        <v>-5.9544128009745949E-2</v>
      </c>
      <c r="Q28" s="9" t="s">
        <v>13</v>
      </c>
      <c r="R28" s="9"/>
      <c r="S28" s="8">
        <v>596</v>
      </c>
      <c r="T28" s="7">
        <v>5450533.8095227601</v>
      </c>
      <c r="U28" s="27">
        <f t="shared" si="2"/>
        <v>25</v>
      </c>
      <c r="V28" s="28">
        <f t="shared" si="3"/>
        <v>304001.90476174001</v>
      </c>
      <c r="W28" s="29">
        <f t="shared" si="4"/>
        <v>5.9069274297223341E-2</v>
      </c>
      <c r="Y28" s="9" t="s">
        <v>13</v>
      </c>
      <c r="Z28" s="9"/>
      <c r="AA28" s="8">
        <v>614</v>
      </c>
      <c r="AB28" s="7">
        <v>5286459.5238083899</v>
      </c>
      <c r="AC28" s="27">
        <f t="shared" si="5"/>
        <v>18</v>
      </c>
      <c r="AD28" s="28">
        <f t="shared" si="5"/>
        <v>-164074.2857143702</v>
      </c>
      <c r="AE28" s="29">
        <f t="shared" si="6"/>
        <v>-3.0102425092329861E-2</v>
      </c>
      <c r="AG28" s="9" t="s">
        <v>13</v>
      </c>
      <c r="AH28" s="9"/>
      <c r="AI28" s="9">
        <v>603</v>
      </c>
      <c r="AJ28" s="8">
        <v>5733093.3333321996</v>
      </c>
      <c r="AK28" s="27">
        <f t="shared" si="7"/>
        <v>-11</v>
      </c>
      <c r="AL28" s="28">
        <f t="shared" si="7"/>
        <v>446633.8095238097</v>
      </c>
      <c r="AM28" s="29">
        <f t="shared" si="8"/>
        <v>8.4486376470362654E-2</v>
      </c>
      <c r="AO28" s="9" t="s">
        <v>13</v>
      </c>
      <c r="AP28" s="9"/>
      <c r="AQ28" s="8">
        <v>673</v>
      </c>
      <c r="AR28" s="7">
        <v>5772079.5238083098</v>
      </c>
      <c r="AS28" s="27">
        <f t="shared" si="9"/>
        <v>70</v>
      </c>
      <c r="AT28" s="28">
        <f t="shared" si="9"/>
        <v>38986.190476110205</v>
      </c>
      <c r="AU28" s="29">
        <f t="shared" si="10"/>
        <v>6.8002016031109289E-3</v>
      </c>
      <c r="AW28" s="9" t="s">
        <v>13</v>
      </c>
      <c r="AX28" s="9"/>
      <c r="AY28" s="8">
        <v>860</v>
      </c>
      <c r="AZ28" s="7">
        <v>7460401.9047603402</v>
      </c>
      <c r="BA28" s="27">
        <f t="shared" si="11"/>
        <v>187</v>
      </c>
      <c r="BB28" s="28">
        <f t="shared" si="12"/>
        <v>1688322.3809520304</v>
      </c>
      <c r="BC28" s="29">
        <f t="shared" si="13"/>
        <v>0.29249811510533502</v>
      </c>
      <c r="BE28" s="9" t="s">
        <v>13</v>
      </c>
      <c r="BF28" s="9"/>
      <c r="BG28" s="8">
        <v>931</v>
      </c>
      <c r="BH28" s="7">
        <v>6147686.19047473</v>
      </c>
      <c r="BI28" s="27">
        <f t="shared" si="14"/>
        <v>71</v>
      </c>
      <c r="BJ28" s="28">
        <f t="shared" si="15"/>
        <v>-1312715.7142856102</v>
      </c>
      <c r="BK28" s="29">
        <f t="shared" si="16"/>
        <v>-0.17595777426521639</v>
      </c>
      <c r="BM28" s="9" t="s">
        <v>13</v>
      </c>
      <c r="BN28" s="9"/>
      <c r="BO28" s="8">
        <v>662</v>
      </c>
      <c r="BP28" s="7">
        <v>4203060.9523798693</v>
      </c>
      <c r="BQ28" s="27">
        <f t="shared" si="17"/>
        <v>-269</v>
      </c>
      <c r="BR28" s="28">
        <f t="shared" si="18"/>
        <v>-1944625.2380948607</v>
      </c>
      <c r="BS28" s="29">
        <f t="shared" si="19"/>
        <v>-0.3163182338597369</v>
      </c>
      <c r="BU28" s="9" t="s">
        <v>13</v>
      </c>
      <c r="BV28" s="9"/>
      <c r="BW28" s="8">
        <v>485</v>
      </c>
      <c r="BX28" s="7">
        <v>2475666.6666658204</v>
      </c>
      <c r="BY28" s="27">
        <f t="shared" si="20"/>
        <v>-177</v>
      </c>
      <c r="BZ28" s="28">
        <f t="shared" si="21"/>
        <v>-1727394.2857140489</v>
      </c>
      <c r="CA28" s="29">
        <f t="shared" si="22"/>
        <v>-0.41098482874390835</v>
      </c>
      <c r="CC28" s="9"/>
      <c r="CD28" s="9"/>
      <c r="CE28" s="8"/>
      <c r="CF28" s="7"/>
      <c r="CG28" s="27"/>
      <c r="CH28" s="28"/>
      <c r="CI28" s="29"/>
      <c r="CK28" s="9"/>
      <c r="CL28" s="9"/>
      <c r="CM28" s="8"/>
      <c r="CN28" s="7"/>
      <c r="CO28" s="27"/>
      <c r="CP28" s="28"/>
      <c r="CQ28" s="29"/>
      <c r="CS28" s="9"/>
      <c r="CT28" s="9"/>
      <c r="CU28" s="8"/>
      <c r="CV28" s="7"/>
      <c r="CW28" s="27"/>
      <c r="CX28" s="28"/>
      <c r="CY28" s="29"/>
    </row>
    <row r="29" spans="1:103" s="1" customFormat="1" ht="20" customHeight="1">
      <c r="A29" s="14">
        <v>77</v>
      </c>
      <c r="B29" s="32" t="s">
        <v>20</v>
      </c>
      <c r="C29" s="1">
        <v>4376</v>
      </c>
      <c r="D29" s="35"/>
      <c r="E29" s="10"/>
      <c r="F29" s="12"/>
      <c r="G29" s="36"/>
      <c r="I29" s="14">
        <v>77</v>
      </c>
      <c r="J29" s="32" t="s">
        <v>20</v>
      </c>
      <c r="K29" s="1">
        <v>2909</v>
      </c>
      <c r="L29" s="35"/>
      <c r="M29" s="10">
        <f t="shared" si="0"/>
        <v>-1467</v>
      </c>
      <c r="N29" s="12">
        <f t="shared" si="0"/>
        <v>0</v>
      </c>
      <c r="O29" s="11" t="e">
        <f t="shared" si="1"/>
        <v>#DIV/0!</v>
      </c>
      <c r="Q29" s="14">
        <v>77</v>
      </c>
      <c r="R29" s="32" t="s">
        <v>20</v>
      </c>
      <c r="S29" s="1">
        <v>3566</v>
      </c>
      <c r="T29" s="35"/>
      <c r="U29" s="10">
        <f t="shared" si="2"/>
        <v>657</v>
      </c>
      <c r="V29" s="12">
        <f t="shared" si="3"/>
        <v>0</v>
      </c>
      <c r="W29" s="11" t="e">
        <f t="shared" si="4"/>
        <v>#DIV/0!</v>
      </c>
      <c r="Y29" s="14">
        <v>77</v>
      </c>
      <c r="Z29" s="32" t="s">
        <v>20</v>
      </c>
      <c r="AA29" s="1">
        <v>3660</v>
      </c>
      <c r="AB29" s="35"/>
      <c r="AC29" s="10">
        <f t="shared" si="5"/>
        <v>94</v>
      </c>
      <c r="AD29" s="12">
        <f t="shared" si="5"/>
        <v>0</v>
      </c>
      <c r="AE29" s="11" t="e">
        <f t="shared" si="6"/>
        <v>#DIV/0!</v>
      </c>
      <c r="AG29" s="14">
        <v>77</v>
      </c>
      <c r="AH29" s="32" t="s">
        <v>20</v>
      </c>
      <c r="AI29" s="32">
        <v>3926</v>
      </c>
      <c r="AK29" s="10">
        <f t="shared" si="7"/>
        <v>266</v>
      </c>
      <c r="AL29" s="12">
        <f t="shared" si="7"/>
        <v>0</v>
      </c>
      <c r="AM29" s="11" t="e">
        <f t="shared" si="8"/>
        <v>#DIV/0!</v>
      </c>
      <c r="AO29" s="14">
        <v>77</v>
      </c>
      <c r="AP29" s="32" t="s">
        <v>20</v>
      </c>
      <c r="AQ29" s="1">
        <v>3925</v>
      </c>
      <c r="AR29" s="35"/>
      <c r="AS29" s="10">
        <f t="shared" si="9"/>
        <v>-1</v>
      </c>
      <c r="AT29" s="12">
        <f t="shared" si="9"/>
        <v>0</v>
      </c>
      <c r="AU29" s="11" t="e">
        <f t="shared" si="10"/>
        <v>#DIV/0!</v>
      </c>
      <c r="AW29" s="14">
        <v>77</v>
      </c>
      <c r="AX29" s="32" t="s">
        <v>20</v>
      </c>
      <c r="AY29" s="1">
        <v>4423</v>
      </c>
      <c r="AZ29" s="35"/>
      <c r="BA29" s="10">
        <f t="shared" si="11"/>
        <v>498</v>
      </c>
      <c r="BB29" s="12">
        <f t="shared" si="12"/>
        <v>0</v>
      </c>
      <c r="BC29" s="11" t="e">
        <f t="shared" si="13"/>
        <v>#DIV/0!</v>
      </c>
      <c r="BE29" s="14">
        <v>77</v>
      </c>
      <c r="BF29" s="32" t="s">
        <v>20</v>
      </c>
      <c r="BG29" s="1">
        <v>11695</v>
      </c>
      <c r="BH29" s="35"/>
      <c r="BI29" s="10">
        <f t="shared" si="14"/>
        <v>7272</v>
      </c>
      <c r="BJ29" s="12">
        <f t="shared" si="15"/>
        <v>0</v>
      </c>
      <c r="BK29" s="11" t="e">
        <f t="shared" si="16"/>
        <v>#DIV/0!</v>
      </c>
      <c r="BM29" s="14">
        <v>77</v>
      </c>
      <c r="BN29" s="32" t="s">
        <v>20</v>
      </c>
      <c r="BO29" s="1">
        <v>4683</v>
      </c>
      <c r="BP29" s="35"/>
      <c r="BQ29" s="10">
        <f t="shared" si="17"/>
        <v>-7012</v>
      </c>
      <c r="BR29" s="12">
        <f t="shared" si="18"/>
        <v>0</v>
      </c>
      <c r="BS29" s="11" t="e">
        <f t="shared" si="19"/>
        <v>#DIV/0!</v>
      </c>
      <c r="BU29" s="14">
        <v>77</v>
      </c>
      <c r="BV29" s="32" t="s">
        <v>20</v>
      </c>
      <c r="BW29" s="15">
        <v>2748</v>
      </c>
      <c r="BX29" s="33"/>
      <c r="BY29" s="10">
        <f t="shared" si="20"/>
        <v>-1935</v>
      </c>
      <c r="BZ29" s="12">
        <f t="shared" si="21"/>
        <v>0</v>
      </c>
      <c r="CA29" s="11" t="e">
        <f t="shared" si="22"/>
        <v>#DIV/0!</v>
      </c>
      <c r="CC29" s="14"/>
      <c r="CD29" s="32"/>
      <c r="CE29" s="15"/>
      <c r="CF29" s="33"/>
      <c r="CG29" s="10"/>
      <c r="CH29" s="12"/>
      <c r="CI29" s="11"/>
      <c r="CK29" s="14"/>
      <c r="CL29" s="32"/>
      <c r="CM29" s="15"/>
      <c r="CN29" s="33"/>
      <c r="CO29" s="10"/>
      <c r="CP29" s="12"/>
      <c r="CQ29" s="11"/>
      <c r="CS29" s="14"/>
      <c r="CT29" s="32"/>
      <c r="CU29" s="15"/>
      <c r="CV29" s="33"/>
      <c r="CW29" s="10"/>
      <c r="CX29" s="12"/>
      <c r="CY29" s="11"/>
    </row>
    <row r="30" spans="1:103" s="1" customFormat="1" ht="20" customHeight="1">
      <c r="A30" s="14"/>
      <c r="B30" s="32" t="s">
        <v>21</v>
      </c>
      <c r="C30" s="1">
        <v>7</v>
      </c>
      <c r="D30" s="35"/>
      <c r="E30" s="10"/>
      <c r="F30" s="12"/>
      <c r="G30" s="36"/>
      <c r="I30" s="14"/>
      <c r="J30" s="32" t="s">
        <v>21</v>
      </c>
      <c r="K30" s="1">
        <v>6</v>
      </c>
      <c r="L30" s="35"/>
      <c r="M30" s="10">
        <f t="shared" si="0"/>
        <v>-1</v>
      </c>
      <c r="N30" s="12">
        <f t="shared" si="0"/>
        <v>0</v>
      </c>
      <c r="O30" s="11" t="e">
        <f t="shared" si="1"/>
        <v>#DIV/0!</v>
      </c>
      <c r="Q30" s="14"/>
      <c r="R30" s="32" t="s">
        <v>21</v>
      </c>
      <c r="S30" s="1">
        <v>3</v>
      </c>
      <c r="T30" s="35"/>
      <c r="U30" s="10">
        <f t="shared" si="2"/>
        <v>-3</v>
      </c>
      <c r="V30" s="12">
        <f t="shared" si="3"/>
        <v>0</v>
      </c>
      <c r="W30" s="11" t="e">
        <f t="shared" si="4"/>
        <v>#DIV/0!</v>
      </c>
      <c r="Y30" s="14"/>
      <c r="Z30" s="32" t="s">
        <v>21</v>
      </c>
      <c r="AA30" s="1">
        <v>8</v>
      </c>
      <c r="AB30" s="35"/>
      <c r="AC30" s="10">
        <f t="shared" si="5"/>
        <v>5</v>
      </c>
      <c r="AD30" s="12">
        <f t="shared" si="5"/>
        <v>0</v>
      </c>
      <c r="AE30" s="11" t="e">
        <f t="shared" si="6"/>
        <v>#DIV/0!</v>
      </c>
      <c r="AG30" s="14"/>
      <c r="AH30" s="32" t="s">
        <v>21</v>
      </c>
      <c r="AI30" s="32">
        <v>4</v>
      </c>
      <c r="AK30" s="10">
        <f t="shared" si="7"/>
        <v>-4</v>
      </c>
      <c r="AL30" s="12">
        <f t="shared" si="7"/>
        <v>0</v>
      </c>
      <c r="AM30" s="11" t="e">
        <f t="shared" si="8"/>
        <v>#DIV/0!</v>
      </c>
      <c r="AO30" s="14"/>
      <c r="AP30" s="32" t="s">
        <v>21</v>
      </c>
      <c r="AQ30" s="1">
        <v>0</v>
      </c>
      <c r="AR30" s="35"/>
      <c r="AS30" s="10">
        <f t="shared" si="9"/>
        <v>-4</v>
      </c>
      <c r="AT30" s="12">
        <f t="shared" si="9"/>
        <v>0</v>
      </c>
      <c r="AU30" s="11" t="e">
        <f t="shared" si="10"/>
        <v>#DIV/0!</v>
      </c>
      <c r="AW30" s="14"/>
      <c r="AX30" s="32" t="s">
        <v>21</v>
      </c>
      <c r="AY30" s="1">
        <v>0</v>
      </c>
      <c r="AZ30" s="35"/>
      <c r="BA30" s="10">
        <f t="shared" si="11"/>
        <v>0</v>
      </c>
      <c r="BB30" s="12">
        <f t="shared" si="12"/>
        <v>0</v>
      </c>
      <c r="BC30" s="11" t="e">
        <f t="shared" si="13"/>
        <v>#DIV/0!</v>
      </c>
      <c r="BE30" s="14"/>
      <c r="BF30" s="32" t="s">
        <v>21</v>
      </c>
      <c r="BG30" s="1">
        <v>11</v>
      </c>
      <c r="BH30" s="35"/>
      <c r="BI30" s="10">
        <f t="shared" si="14"/>
        <v>11</v>
      </c>
      <c r="BJ30" s="12">
        <f t="shared" si="15"/>
        <v>0</v>
      </c>
      <c r="BK30" s="11" t="e">
        <f t="shared" si="16"/>
        <v>#DIV/0!</v>
      </c>
      <c r="BM30" s="14"/>
      <c r="BN30" s="32" t="s">
        <v>21</v>
      </c>
      <c r="BO30" s="1">
        <v>3</v>
      </c>
      <c r="BP30" s="35"/>
      <c r="BQ30" s="10">
        <f t="shared" si="17"/>
        <v>-8</v>
      </c>
      <c r="BR30" s="12">
        <f t="shared" si="18"/>
        <v>0</v>
      </c>
      <c r="BS30" s="11" t="e">
        <f t="shared" si="19"/>
        <v>#DIV/0!</v>
      </c>
      <c r="BU30" s="14"/>
      <c r="BV30" s="32" t="s">
        <v>21</v>
      </c>
      <c r="BW30" s="15">
        <v>1</v>
      </c>
      <c r="BX30" s="33"/>
      <c r="BY30" s="10">
        <f t="shared" si="20"/>
        <v>-2</v>
      </c>
      <c r="BZ30" s="12">
        <f t="shared" si="21"/>
        <v>0</v>
      </c>
      <c r="CA30" s="11" t="e">
        <f t="shared" si="22"/>
        <v>#DIV/0!</v>
      </c>
      <c r="CC30" s="14"/>
      <c r="CD30" s="32"/>
      <c r="CE30" s="15"/>
      <c r="CF30" s="33"/>
      <c r="CG30" s="10"/>
      <c r="CH30" s="12"/>
      <c r="CI30" s="11"/>
      <c r="CK30" s="14"/>
      <c r="CL30" s="32"/>
      <c r="CM30" s="15"/>
      <c r="CN30" s="33"/>
      <c r="CO30" s="10"/>
      <c r="CP30" s="12"/>
      <c r="CQ30" s="11"/>
      <c r="CS30" s="14"/>
      <c r="CT30" s="32"/>
      <c r="CU30" s="15"/>
      <c r="CV30" s="33"/>
      <c r="CW30" s="10"/>
      <c r="CX30" s="12"/>
      <c r="CY30" s="11"/>
    </row>
    <row r="31" spans="1:103" s="10" customFormat="1" ht="20" customHeight="1">
      <c r="A31" s="14"/>
      <c r="B31" s="13" t="s">
        <v>10</v>
      </c>
      <c r="C31" s="10">
        <v>143</v>
      </c>
      <c r="D31" s="12">
        <v>127509.52380896997</v>
      </c>
      <c r="F31" s="12"/>
      <c r="G31" s="11"/>
      <c r="I31" s="14"/>
      <c r="J31" s="13" t="s">
        <v>10</v>
      </c>
      <c r="K31" s="10">
        <v>101</v>
      </c>
      <c r="L31" s="12">
        <v>81296.190475789976</v>
      </c>
      <c r="M31" s="10">
        <f t="shared" si="0"/>
        <v>-42</v>
      </c>
      <c r="N31" s="12">
        <f t="shared" si="0"/>
        <v>-46213.333333179995</v>
      </c>
      <c r="O31" s="11">
        <f t="shared" si="1"/>
        <v>-0.36243044403816527</v>
      </c>
      <c r="Q31" s="14"/>
      <c r="R31" s="13" t="s">
        <v>10</v>
      </c>
      <c r="S31" s="10">
        <v>126</v>
      </c>
      <c r="T31" s="12">
        <v>110642.85714239995</v>
      </c>
      <c r="U31" s="10">
        <f t="shared" si="2"/>
        <v>25</v>
      </c>
      <c r="V31" s="12">
        <f t="shared" si="3"/>
        <v>29346.666666609977</v>
      </c>
      <c r="W31" s="11">
        <f t="shared" si="4"/>
        <v>0.36098452454976254</v>
      </c>
      <c r="Y31" s="14"/>
      <c r="Z31" s="13" t="s">
        <v>10</v>
      </c>
      <c r="AA31" s="10">
        <v>153</v>
      </c>
      <c r="AB31" s="12">
        <v>156716.19047567999</v>
      </c>
      <c r="AC31" s="10">
        <f t="shared" si="5"/>
        <v>27</v>
      </c>
      <c r="AD31" s="12">
        <f t="shared" si="5"/>
        <v>46073.333333280039</v>
      </c>
      <c r="AE31" s="11">
        <f t="shared" si="6"/>
        <v>0.41641489132897735</v>
      </c>
      <c r="AG31" s="14"/>
      <c r="AH31" s="13" t="s">
        <v>10</v>
      </c>
      <c r="AI31" s="13">
        <v>122</v>
      </c>
      <c r="AJ31" s="10">
        <v>126194.28571375999</v>
      </c>
      <c r="AK31" s="10">
        <f t="shared" si="7"/>
        <v>-31</v>
      </c>
      <c r="AL31" s="12">
        <f t="shared" si="7"/>
        <v>-30521.904761919999</v>
      </c>
      <c r="AM31" s="11">
        <f t="shared" si="8"/>
        <v>-0.19475910350600656</v>
      </c>
      <c r="AO31" s="14"/>
      <c r="AP31" s="13" t="s">
        <v>10</v>
      </c>
      <c r="AQ31" s="10">
        <v>109</v>
      </c>
      <c r="AR31" s="12">
        <v>106799.99999947002</v>
      </c>
      <c r="AS31" s="10">
        <f t="shared" si="9"/>
        <v>-13</v>
      </c>
      <c r="AT31" s="12">
        <f t="shared" si="9"/>
        <v>-19394.285714289974</v>
      </c>
      <c r="AU31" s="11">
        <f t="shared" si="10"/>
        <v>-0.15368592646327137</v>
      </c>
      <c r="AW31" s="14"/>
      <c r="AX31" s="13" t="s">
        <v>10</v>
      </c>
      <c r="AY31" s="10">
        <v>160</v>
      </c>
      <c r="AZ31" s="12">
        <v>140415.23809456994</v>
      </c>
      <c r="BA31" s="10">
        <f t="shared" si="11"/>
        <v>51</v>
      </c>
      <c r="BB31" s="12">
        <f t="shared" si="12"/>
        <v>33615.238095099921</v>
      </c>
      <c r="BC31" s="11">
        <f t="shared" si="13"/>
        <v>0.31474942036766601</v>
      </c>
      <c r="BE31" s="14"/>
      <c r="BF31" s="13" t="s">
        <v>10</v>
      </c>
      <c r="BG31" s="10">
        <v>311</v>
      </c>
      <c r="BH31" s="12">
        <v>289567.61904652009</v>
      </c>
      <c r="BI31" s="10">
        <f t="shared" si="14"/>
        <v>151</v>
      </c>
      <c r="BJ31" s="12">
        <f t="shared" si="15"/>
        <v>149152.38095195015</v>
      </c>
      <c r="BK31" s="11">
        <f t="shared" si="16"/>
        <v>1.0622236088899106</v>
      </c>
      <c r="BM31" s="14"/>
      <c r="BN31" s="13" t="s">
        <v>10</v>
      </c>
      <c r="BO31" s="10">
        <v>86</v>
      </c>
      <c r="BP31" s="12">
        <v>89586.666666300007</v>
      </c>
      <c r="BQ31" s="10">
        <f t="shared" si="17"/>
        <v>-225</v>
      </c>
      <c r="BR31" s="12">
        <f t="shared" si="18"/>
        <v>-199980.95238022009</v>
      </c>
      <c r="BS31" s="11">
        <f t="shared" si="19"/>
        <v>-0.69061918262377398</v>
      </c>
      <c r="BU31" s="14"/>
      <c r="BV31" s="13" t="s">
        <v>10</v>
      </c>
      <c r="BW31" s="10">
        <v>101</v>
      </c>
      <c r="BX31" s="12">
        <v>103318.09523764004</v>
      </c>
      <c r="BY31" s="10">
        <f t="shared" si="20"/>
        <v>15</v>
      </c>
      <c r="BZ31" s="12">
        <f t="shared" si="21"/>
        <v>13731.428571340031</v>
      </c>
      <c r="CA31" s="11">
        <f t="shared" si="22"/>
        <v>0.15327535985335874</v>
      </c>
      <c r="CC31" s="14"/>
      <c r="CD31" s="13"/>
      <c r="CF31" s="12"/>
      <c r="CH31" s="12"/>
      <c r="CI31" s="11"/>
      <c r="CK31" s="14"/>
      <c r="CL31" s="13"/>
      <c r="CN31" s="12"/>
      <c r="CP31" s="12"/>
      <c r="CQ31" s="11"/>
      <c r="CS31" s="14"/>
      <c r="CT31" s="13"/>
      <c r="CV31" s="12"/>
      <c r="CX31" s="12"/>
      <c r="CY31" s="11"/>
    </row>
    <row r="32" spans="1:103" s="10" customFormat="1" ht="20" customHeight="1">
      <c r="A32" s="14"/>
      <c r="B32" s="13" t="s">
        <v>9</v>
      </c>
      <c r="C32" s="10">
        <v>96</v>
      </c>
      <c r="D32" s="12">
        <v>109599.04761894998</v>
      </c>
      <c r="F32" s="12"/>
      <c r="G32" s="11"/>
      <c r="I32" s="14"/>
      <c r="J32" s="13" t="s">
        <v>9</v>
      </c>
      <c r="K32" s="10">
        <v>58</v>
      </c>
      <c r="L32" s="12">
        <v>55186.666666570003</v>
      </c>
      <c r="M32" s="10">
        <f t="shared" si="0"/>
        <v>-38</v>
      </c>
      <c r="N32" s="12">
        <f t="shared" si="0"/>
        <v>-54412.380952379972</v>
      </c>
      <c r="O32" s="11">
        <f t="shared" si="1"/>
        <v>-0.49646764396675214</v>
      </c>
      <c r="Q32" s="14"/>
      <c r="R32" s="13" t="s">
        <v>9</v>
      </c>
      <c r="S32" s="10">
        <v>94</v>
      </c>
      <c r="T32" s="12">
        <v>89540.952380849994</v>
      </c>
      <c r="U32" s="10">
        <f t="shared" si="2"/>
        <v>36</v>
      </c>
      <c r="V32" s="12">
        <f t="shared" si="3"/>
        <v>34354.285714279991</v>
      </c>
      <c r="W32" s="11">
        <f t="shared" si="4"/>
        <v>0.6225106133306384</v>
      </c>
      <c r="Y32" s="14"/>
      <c r="Z32" s="13" t="s">
        <v>9</v>
      </c>
      <c r="AA32" s="10">
        <v>78</v>
      </c>
      <c r="AB32" s="12">
        <v>85080.952380859992</v>
      </c>
      <c r="AC32" s="10">
        <f t="shared" si="5"/>
        <v>-16</v>
      </c>
      <c r="AD32" s="12">
        <f t="shared" si="5"/>
        <v>-4459.9999999900028</v>
      </c>
      <c r="AE32" s="11">
        <f t="shared" si="6"/>
        <v>-4.9809610925512754E-2</v>
      </c>
      <c r="AG32" s="14"/>
      <c r="AH32" s="13" t="s">
        <v>9</v>
      </c>
      <c r="AI32" s="13">
        <v>96</v>
      </c>
      <c r="AJ32" s="10">
        <v>110429.52380939998</v>
      </c>
      <c r="AK32" s="10">
        <f t="shared" si="7"/>
        <v>18</v>
      </c>
      <c r="AL32" s="12">
        <f t="shared" si="7"/>
        <v>25348.571428539988</v>
      </c>
      <c r="AM32" s="11">
        <f t="shared" si="8"/>
        <v>0.29793474002346104</v>
      </c>
      <c r="AO32" s="14"/>
      <c r="AP32" s="13" t="s">
        <v>9</v>
      </c>
      <c r="AQ32" s="10">
        <v>75</v>
      </c>
      <c r="AR32" s="12">
        <v>78083.809523689997</v>
      </c>
      <c r="AS32" s="10">
        <f t="shared" si="9"/>
        <v>-21</v>
      </c>
      <c r="AT32" s="12">
        <f t="shared" si="9"/>
        <v>-32345.714285709983</v>
      </c>
      <c r="AU32" s="11">
        <f t="shared" si="10"/>
        <v>-0.29290821122744576</v>
      </c>
      <c r="AW32" s="14"/>
      <c r="AX32" s="13" t="s">
        <v>9</v>
      </c>
      <c r="AY32" s="10">
        <v>109</v>
      </c>
      <c r="AZ32" s="12">
        <v>99504.761904619998</v>
      </c>
      <c r="BA32" s="10">
        <f t="shared" si="11"/>
        <v>34</v>
      </c>
      <c r="BB32" s="12">
        <f t="shared" si="12"/>
        <v>21420.952380930001</v>
      </c>
      <c r="BC32" s="11">
        <f t="shared" si="13"/>
        <v>0.27433282919464957</v>
      </c>
      <c r="BE32" s="14"/>
      <c r="BF32" s="13" t="s">
        <v>9</v>
      </c>
      <c r="BG32" s="10">
        <v>210</v>
      </c>
      <c r="BH32" s="12">
        <v>208214.28571416999</v>
      </c>
      <c r="BI32" s="10">
        <f t="shared" si="14"/>
        <v>101</v>
      </c>
      <c r="BJ32" s="12">
        <f t="shared" si="15"/>
        <v>108709.52380955</v>
      </c>
      <c r="BK32" s="11">
        <f t="shared" si="16"/>
        <v>1.0925057427277018</v>
      </c>
      <c r="BM32" s="14"/>
      <c r="BN32" s="13" t="s">
        <v>9</v>
      </c>
      <c r="BO32" s="10">
        <v>127</v>
      </c>
      <c r="BP32" s="12">
        <v>111086.66666657002</v>
      </c>
      <c r="BQ32" s="10">
        <f t="shared" si="17"/>
        <v>-83</v>
      </c>
      <c r="BR32" s="12">
        <f t="shared" si="18"/>
        <v>-97127.619047599976</v>
      </c>
      <c r="BS32" s="11">
        <f t="shared" si="19"/>
        <v>-0.46647913093212878</v>
      </c>
      <c r="BU32" s="14"/>
      <c r="BV32" s="13" t="s">
        <v>9</v>
      </c>
      <c r="BW32" s="10">
        <v>77</v>
      </c>
      <c r="BX32" s="12">
        <v>83135.238095119988</v>
      </c>
      <c r="BY32" s="10">
        <f t="shared" si="20"/>
        <v>-50</v>
      </c>
      <c r="BZ32" s="12">
        <f t="shared" si="21"/>
        <v>-27951.428571450029</v>
      </c>
      <c r="CA32" s="11">
        <f t="shared" si="22"/>
        <v>-0.25161821315016214</v>
      </c>
      <c r="CC32" s="14"/>
      <c r="CD32" s="13"/>
      <c r="CF32" s="12"/>
      <c r="CH32" s="12"/>
      <c r="CI32" s="11"/>
      <c r="CK32" s="14"/>
      <c r="CL32" s="13"/>
      <c r="CN32" s="12"/>
      <c r="CP32" s="12"/>
      <c r="CQ32" s="11"/>
      <c r="CS32" s="14"/>
      <c r="CT32" s="13"/>
      <c r="CV32" s="12"/>
      <c r="CX32" s="12"/>
      <c r="CY32" s="11"/>
    </row>
    <row r="33" spans="1:103" s="10" customFormat="1" ht="20" customHeight="1">
      <c r="A33" s="14"/>
      <c r="B33" s="13" t="s">
        <v>8</v>
      </c>
      <c r="C33" s="10">
        <v>35</v>
      </c>
      <c r="D33" s="12">
        <v>218238.09523809</v>
      </c>
      <c r="F33" s="12"/>
      <c r="G33" s="11"/>
      <c r="I33" s="14"/>
      <c r="J33" s="13" t="s">
        <v>8</v>
      </c>
      <c r="K33" s="10">
        <v>24</v>
      </c>
      <c r="L33" s="12">
        <v>152748.57142856001</v>
      </c>
      <c r="M33" s="10">
        <f t="shared" si="0"/>
        <v>-11</v>
      </c>
      <c r="N33" s="12">
        <f t="shared" si="0"/>
        <v>-65489.523809529986</v>
      </c>
      <c r="O33" s="11">
        <f t="shared" si="1"/>
        <v>-0.30008291512113522</v>
      </c>
      <c r="Q33" s="14"/>
      <c r="R33" s="13" t="s">
        <v>8</v>
      </c>
      <c r="S33" s="10">
        <v>19</v>
      </c>
      <c r="T33" s="12">
        <v>120295.23809523002</v>
      </c>
      <c r="U33" s="10">
        <f t="shared" si="2"/>
        <v>-5</v>
      </c>
      <c r="V33" s="12">
        <f t="shared" si="3"/>
        <v>-32453.333333329996</v>
      </c>
      <c r="W33" s="11">
        <f t="shared" si="4"/>
        <v>-0.21246243437705936</v>
      </c>
      <c r="Y33" s="14"/>
      <c r="Z33" s="13" t="s">
        <v>8</v>
      </c>
      <c r="AA33" s="10">
        <v>32</v>
      </c>
      <c r="AB33" s="12">
        <v>227506.66666663997</v>
      </c>
      <c r="AC33" s="10">
        <f t="shared" si="5"/>
        <v>13</v>
      </c>
      <c r="AD33" s="12">
        <f t="shared" si="5"/>
        <v>107211.42857140995</v>
      </c>
      <c r="AE33" s="11">
        <f t="shared" si="6"/>
        <v>0.89123584830961933</v>
      </c>
      <c r="AG33" s="14"/>
      <c r="AH33" s="13" t="s">
        <v>8</v>
      </c>
      <c r="AI33" s="13">
        <v>32</v>
      </c>
      <c r="AJ33" s="10">
        <v>216553.33333330997</v>
      </c>
      <c r="AK33" s="10">
        <f t="shared" si="7"/>
        <v>0</v>
      </c>
      <c r="AL33" s="12">
        <f t="shared" si="7"/>
        <v>-10953.333333329996</v>
      </c>
      <c r="AM33" s="11">
        <f t="shared" si="8"/>
        <v>-4.8145109300817328E-2</v>
      </c>
      <c r="AO33" s="14"/>
      <c r="AP33" s="13" t="s">
        <v>8</v>
      </c>
      <c r="AQ33" s="10">
        <v>16</v>
      </c>
      <c r="AR33" s="12">
        <v>96323.809523789998</v>
      </c>
      <c r="AS33" s="10">
        <f t="shared" si="9"/>
        <v>-16</v>
      </c>
      <c r="AT33" s="12">
        <f t="shared" si="9"/>
        <v>-120229.52380951997</v>
      </c>
      <c r="AU33" s="11">
        <f t="shared" si="10"/>
        <v>-0.55519590467105695</v>
      </c>
      <c r="AW33" s="14"/>
      <c r="AX33" s="13" t="s">
        <v>8</v>
      </c>
      <c r="AY33" s="10">
        <v>39</v>
      </c>
      <c r="AZ33" s="12">
        <v>244401.90476188</v>
      </c>
      <c r="BA33" s="10">
        <f t="shared" si="11"/>
        <v>23</v>
      </c>
      <c r="BB33" s="12">
        <f t="shared" si="12"/>
        <v>148078.09523809</v>
      </c>
      <c r="BC33" s="11">
        <f t="shared" si="13"/>
        <v>1.5372948388375125</v>
      </c>
      <c r="BE33" s="14"/>
      <c r="BF33" s="13" t="s">
        <v>8</v>
      </c>
      <c r="BG33" s="10">
        <v>68</v>
      </c>
      <c r="BH33" s="12">
        <v>391448.57142856001</v>
      </c>
      <c r="BI33" s="10">
        <f t="shared" si="14"/>
        <v>29</v>
      </c>
      <c r="BJ33" s="12">
        <f t="shared" si="15"/>
        <v>147046.66666668002</v>
      </c>
      <c r="BK33" s="11">
        <f t="shared" si="16"/>
        <v>0.60165924979163776</v>
      </c>
      <c r="BM33" s="14"/>
      <c r="BN33" s="13" t="s">
        <v>8</v>
      </c>
      <c r="BO33" s="10">
        <v>17</v>
      </c>
      <c r="BP33" s="12">
        <v>101266.66666666001</v>
      </c>
      <c r="BQ33" s="10">
        <f t="shared" si="17"/>
        <v>-51</v>
      </c>
      <c r="BR33" s="12">
        <f t="shared" si="18"/>
        <v>-290181.90476190002</v>
      </c>
      <c r="BS33" s="11">
        <f t="shared" si="19"/>
        <v>-0.74130275582027172</v>
      </c>
      <c r="BU33" s="14"/>
      <c r="BV33" s="13" t="s">
        <v>8</v>
      </c>
      <c r="BW33" s="10">
        <v>30</v>
      </c>
      <c r="BX33" s="12">
        <v>209238.09523807</v>
      </c>
      <c r="BY33" s="10">
        <f t="shared" si="20"/>
        <v>13</v>
      </c>
      <c r="BZ33" s="12">
        <f t="shared" si="21"/>
        <v>107971.42857141</v>
      </c>
      <c r="CA33" s="11">
        <f t="shared" si="22"/>
        <v>1.0662089720679766</v>
      </c>
      <c r="CC33" s="14"/>
      <c r="CD33" s="13"/>
      <c r="CF33" s="12"/>
      <c r="CH33" s="12"/>
      <c r="CI33" s="11"/>
      <c r="CK33" s="14"/>
      <c r="CL33" s="13"/>
      <c r="CN33" s="12"/>
      <c r="CP33" s="12"/>
      <c r="CQ33" s="11"/>
      <c r="CS33" s="14"/>
      <c r="CT33" s="13"/>
      <c r="CV33" s="12"/>
      <c r="CX33" s="12"/>
      <c r="CY33" s="11"/>
    </row>
    <row r="34" spans="1:103" s="10" customFormat="1" ht="20" customHeight="1">
      <c r="A34" s="14"/>
      <c r="B34" s="13" t="s">
        <v>7</v>
      </c>
      <c r="C34" s="10">
        <v>10</v>
      </c>
      <c r="D34" s="12">
        <v>136190.47619043</v>
      </c>
      <c r="F34" s="12"/>
      <c r="G34" s="11"/>
      <c r="I34" s="14"/>
      <c r="J34" s="13" t="s">
        <v>7</v>
      </c>
      <c r="K34" s="10">
        <v>8</v>
      </c>
      <c r="L34" s="12">
        <v>83523.809523789998</v>
      </c>
      <c r="M34" s="10">
        <f t="shared" si="0"/>
        <v>-2</v>
      </c>
      <c r="N34" s="12">
        <f t="shared" si="0"/>
        <v>-52666.666666639998</v>
      </c>
      <c r="O34" s="11">
        <f t="shared" si="1"/>
        <v>-0.38671328671322208</v>
      </c>
      <c r="Q34" s="14"/>
      <c r="R34" s="13" t="s">
        <v>7</v>
      </c>
      <c r="S34" s="10">
        <v>12</v>
      </c>
      <c r="T34" s="12">
        <v>170761.90476186</v>
      </c>
      <c r="U34" s="10">
        <f t="shared" si="2"/>
        <v>4</v>
      </c>
      <c r="V34" s="12">
        <f t="shared" si="3"/>
        <v>87238.095238070004</v>
      </c>
      <c r="W34" s="11">
        <f t="shared" si="4"/>
        <v>1.0444697833522796</v>
      </c>
      <c r="Y34" s="14"/>
      <c r="Z34" s="13" t="s">
        <v>7</v>
      </c>
      <c r="AA34" s="10">
        <v>10</v>
      </c>
      <c r="AB34" s="12">
        <v>125714.28571426</v>
      </c>
      <c r="AC34" s="10">
        <f t="shared" si="5"/>
        <v>-2</v>
      </c>
      <c r="AD34" s="12">
        <f t="shared" si="5"/>
        <v>-45047.619047600005</v>
      </c>
      <c r="AE34" s="11">
        <f t="shared" si="6"/>
        <v>-0.26380368098155271</v>
      </c>
      <c r="AG34" s="14"/>
      <c r="AH34" s="13" t="s">
        <v>7</v>
      </c>
      <c r="AI34" s="13">
        <v>20</v>
      </c>
      <c r="AJ34" s="10">
        <v>271278.09523804998</v>
      </c>
      <c r="AK34" s="10">
        <f t="shared" si="7"/>
        <v>10</v>
      </c>
      <c r="AL34" s="12">
        <f t="shared" si="7"/>
        <v>145563.80952378997</v>
      </c>
      <c r="AM34" s="11">
        <f t="shared" si="8"/>
        <v>1.1578939393940206</v>
      </c>
      <c r="AO34" s="14"/>
      <c r="AP34" s="13" t="s">
        <v>7</v>
      </c>
      <c r="AQ34" s="10">
        <v>13</v>
      </c>
      <c r="AR34" s="12">
        <v>146380.95238090999</v>
      </c>
      <c r="AS34" s="10">
        <f t="shared" si="9"/>
        <v>-7</v>
      </c>
      <c r="AT34" s="12">
        <f t="shared" si="9"/>
        <v>-124897.14285713999</v>
      </c>
      <c r="AU34" s="11">
        <f t="shared" si="10"/>
        <v>-0.46040260916584935</v>
      </c>
      <c r="AW34" s="14"/>
      <c r="AX34" s="13" t="s">
        <v>7</v>
      </c>
      <c r="AY34" s="10">
        <v>34</v>
      </c>
      <c r="AZ34" s="12">
        <v>421046.66666659008</v>
      </c>
      <c r="BA34" s="10">
        <f t="shared" si="11"/>
        <v>21</v>
      </c>
      <c r="BB34" s="12">
        <f t="shared" si="12"/>
        <v>274665.71428568009</v>
      </c>
      <c r="BC34" s="11">
        <f t="shared" si="13"/>
        <v>1.8763760572547015</v>
      </c>
      <c r="BE34" s="14"/>
      <c r="BF34" s="13" t="s">
        <v>7</v>
      </c>
      <c r="BG34" s="10">
        <v>26</v>
      </c>
      <c r="BH34" s="12">
        <v>309902.85714282002</v>
      </c>
      <c r="BI34" s="10">
        <f t="shared" si="14"/>
        <v>-8</v>
      </c>
      <c r="BJ34" s="12">
        <f t="shared" si="15"/>
        <v>-111143.80952377006</v>
      </c>
      <c r="BK34" s="11">
        <f t="shared" si="16"/>
        <v>-0.26397028719807053</v>
      </c>
      <c r="BM34" s="14"/>
      <c r="BN34" s="13" t="s">
        <v>7</v>
      </c>
      <c r="BO34" s="10">
        <v>3</v>
      </c>
      <c r="BP34" s="12">
        <v>36857.142857130006</v>
      </c>
      <c r="BQ34" s="10">
        <f t="shared" si="17"/>
        <v>-23</v>
      </c>
      <c r="BR34" s="12">
        <f t="shared" si="18"/>
        <v>-273045.71428568999</v>
      </c>
      <c r="BS34" s="11">
        <f t="shared" si="19"/>
        <v>-0.88106872199585995</v>
      </c>
      <c r="BU34" s="14"/>
      <c r="BV34" s="13" t="s">
        <v>7</v>
      </c>
      <c r="BW34" s="10">
        <v>19</v>
      </c>
      <c r="BX34" s="12">
        <v>237714.28571423003</v>
      </c>
      <c r="BY34" s="10">
        <f t="shared" si="20"/>
        <v>16</v>
      </c>
      <c r="BZ34" s="12">
        <f t="shared" si="21"/>
        <v>200857.14285710003</v>
      </c>
      <c r="CA34" s="11">
        <f t="shared" si="22"/>
        <v>5.4496124031015132</v>
      </c>
      <c r="CC34" s="14"/>
      <c r="CD34" s="13"/>
      <c r="CF34" s="12"/>
      <c r="CH34" s="12"/>
      <c r="CI34" s="11"/>
      <c r="CK34" s="14"/>
      <c r="CL34" s="13"/>
      <c r="CN34" s="12"/>
      <c r="CP34" s="12"/>
      <c r="CQ34" s="11"/>
      <c r="CS34" s="14"/>
      <c r="CT34" s="13"/>
      <c r="CV34" s="12"/>
      <c r="CX34" s="12"/>
      <c r="CY34" s="11"/>
    </row>
    <row r="35" spans="1:103" s="10" customFormat="1" ht="20" customHeight="1">
      <c r="A35" s="14"/>
      <c r="B35" s="13" t="s">
        <v>6</v>
      </c>
      <c r="D35" s="12"/>
      <c r="F35" s="12"/>
      <c r="G35" s="11"/>
      <c r="I35" s="14"/>
      <c r="J35" s="13" t="s">
        <v>6</v>
      </c>
      <c r="K35" s="10">
        <v>3</v>
      </c>
      <c r="L35" s="12">
        <v>8371.4285714200014</v>
      </c>
      <c r="M35" s="10">
        <f t="shared" si="0"/>
        <v>3</v>
      </c>
      <c r="N35" s="12">
        <f t="shared" si="0"/>
        <v>8371.4285714200014</v>
      </c>
      <c r="O35" s="11" t="e">
        <f t="shared" si="1"/>
        <v>#DIV/0!</v>
      </c>
      <c r="Q35" s="14"/>
      <c r="R35" s="13" t="s">
        <v>6</v>
      </c>
      <c r="S35" s="10">
        <v>1</v>
      </c>
      <c r="T35" s="12">
        <v>8857.1428571399993</v>
      </c>
      <c r="U35" s="10">
        <f t="shared" si="2"/>
        <v>-2</v>
      </c>
      <c r="V35" s="12">
        <f t="shared" si="3"/>
        <v>485.71428571999786</v>
      </c>
      <c r="W35" s="11">
        <f t="shared" si="4"/>
        <v>5.8020477816441395E-2</v>
      </c>
      <c r="Y35" s="14"/>
      <c r="Z35" s="13" t="s">
        <v>6</v>
      </c>
      <c r="AA35" s="10">
        <v>2</v>
      </c>
      <c r="AB35" s="12">
        <v>5314.2857142800003</v>
      </c>
      <c r="AC35" s="10">
        <f t="shared" si="5"/>
        <v>1</v>
      </c>
      <c r="AD35" s="12">
        <f t="shared" si="5"/>
        <v>-3542.8571428599989</v>
      </c>
      <c r="AE35" s="11">
        <f t="shared" si="6"/>
        <v>-0.40000000000045155</v>
      </c>
      <c r="AG35" s="14"/>
      <c r="AH35" s="13" t="s">
        <v>6</v>
      </c>
      <c r="AI35" s="13">
        <v>3</v>
      </c>
      <c r="AJ35" s="10">
        <v>8371.4285714200014</v>
      </c>
      <c r="AK35" s="10">
        <f t="shared" si="7"/>
        <v>1</v>
      </c>
      <c r="AL35" s="12">
        <f t="shared" si="7"/>
        <v>3057.1428571400011</v>
      </c>
      <c r="AM35" s="11">
        <f t="shared" si="8"/>
        <v>0.57526881720438217</v>
      </c>
      <c r="AO35" s="14"/>
      <c r="AP35" s="13" t="s">
        <v>6</v>
      </c>
      <c r="AQ35" s="10">
        <v>0</v>
      </c>
      <c r="AR35" s="12">
        <v>0</v>
      </c>
      <c r="AS35" s="10">
        <f t="shared" si="9"/>
        <v>-3</v>
      </c>
      <c r="AT35" s="12">
        <f t="shared" si="9"/>
        <v>-8371.4285714200014</v>
      </c>
      <c r="AU35" s="11">
        <f t="shared" si="10"/>
        <v>-1</v>
      </c>
      <c r="AW35" s="14"/>
      <c r="AX35" s="13" t="s">
        <v>6</v>
      </c>
      <c r="AY35" s="10">
        <v>1</v>
      </c>
      <c r="AZ35" s="12">
        <v>2857.1428571400002</v>
      </c>
      <c r="BA35" s="10">
        <f t="shared" si="11"/>
        <v>1</v>
      </c>
      <c r="BB35" s="12">
        <f t="shared" si="12"/>
        <v>2857.1428571400002</v>
      </c>
      <c r="BC35" s="11" t="e">
        <f t="shared" si="13"/>
        <v>#DIV/0!</v>
      </c>
      <c r="BE35" s="14"/>
      <c r="BF35" s="13" t="s">
        <v>6</v>
      </c>
      <c r="BH35" s="12"/>
      <c r="BI35" s="10">
        <f t="shared" si="14"/>
        <v>-1</v>
      </c>
      <c r="BJ35" s="12">
        <f t="shared" si="15"/>
        <v>-2857.1428571400002</v>
      </c>
      <c r="BK35" s="11">
        <f t="shared" si="16"/>
        <v>-1</v>
      </c>
      <c r="BM35" s="14"/>
      <c r="BN35" s="13" t="s">
        <v>6</v>
      </c>
      <c r="BP35" s="12"/>
      <c r="BQ35" s="10">
        <f t="shared" si="17"/>
        <v>0</v>
      </c>
      <c r="BR35" s="12">
        <f t="shared" si="18"/>
        <v>0</v>
      </c>
      <c r="BS35" s="11" t="e">
        <f t="shared" si="19"/>
        <v>#DIV/0!</v>
      </c>
      <c r="BU35" s="14"/>
      <c r="BV35" s="13" t="s">
        <v>6</v>
      </c>
      <c r="BX35" s="12"/>
      <c r="BY35" s="10">
        <f t="shared" si="20"/>
        <v>0</v>
      </c>
      <c r="BZ35" s="12">
        <f t="shared" si="21"/>
        <v>0</v>
      </c>
      <c r="CA35" s="11" t="e">
        <f t="shared" si="22"/>
        <v>#DIV/0!</v>
      </c>
      <c r="CC35" s="14"/>
      <c r="CD35" s="13"/>
      <c r="CF35" s="12"/>
      <c r="CH35" s="12"/>
      <c r="CI35" s="11"/>
      <c r="CK35" s="14"/>
      <c r="CL35" s="13"/>
      <c r="CN35" s="12"/>
      <c r="CP35" s="12"/>
      <c r="CQ35" s="11"/>
      <c r="CS35" s="14"/>
      <c r="CT35" s="13"/>
      <c r="CV35" s="12"/>
      <c r="CX35" s="12"/>
      <c r="CY35" s="11"/>
    </row>
    <row r="36" spans="1:103" s="10" customFormat="1" ht="20" customHeight="1">
      <c r="A36" s="14"/>
      <c r="B36" s="13" t="s">
        <v>5</v>
      </c>
      <c r="D36" s="12"/>
      <c r="F36" s="12"/>
      <c r="G36" s="11"/>
      <c r="I36" s="14"/>
      <c r="J36" s="13" t="s">
        <v>5</v>
      </c>
      <c r="K36" s="10">
        <v>2</v>
      </c>
      <c r="L36" s="12">
        <v>12680</v>
      </c>
      <c r="M36" s="10">
        <f t="shared" si="0"/>
        <v>2</v>
      </c>
      <c r="N36" s="12">
        <f t="shared" si="0"/>
        <v>12680</v>
      </c>
      <c r="O36" s="11" t="e">
        <f t="shared" si="1"/>
        <v>#DIV/0!</v>
      </c>
      <c r="Q36" s="14"/>
      <c r="R36" s="13" t="s">
        <v>5</v>
      </c>
      <c r="S36" s="10">
        <v>2</v>
      </c>
      <c r="T36" s="12">
        <v>8080</v>
      </c>
      <c r="U36" s="10">
        <f t="shared" si="2"/>
        <v>0</v>
      </c>
      <c r="V36" s="12">
        <f t="shared" si="3"/>
        <v>-4600</v>
      </c>
      <c r="W36" s="11">
        <f t="shared" si="4"/>
        <v>-0.36277602523659308</v>
      </c>
      <c r="Y36" s="14"/>
      <c r="Z36" s="13" t="s">
        <v>5</v>
      </c>
      <c r="AA36" s="10">
        <v>1</v>
      </c>
      <c r="AB36" s="12">
        <v>2590</v>
      </c>
      <c r="AC36" s="10">
        <f t="shared" si="5"/>
        <v>-1</v>
      </c>
      <c r="AD36" s="12">
        <f t="shared" si="5"/>
        <v>-5490</v>
      </c>
      <c r="AE36" s="11">
        <f t="shared" si="6"/>
        <v>-0.6794554455445545</v>
      </c>
      <c r="AG36" s="14"/>
      <c r="AH36" s="13" t="s">
        <v>5</v>
      </c>
      <c r="AI36" s="13">
        <v>2</v>
      </c>
      <c r="AJ36" s="10">
        <v>7780</v>
      </c>
      <c r="AK36" s="10">
        <f t="shared" si="7"/>
        <v>1</v>
      </c>
      <c r="AL36" s="12">
        <f t="shared" si="7"/>
        <v>5190</v>
      </c>
      <c r="AM36" s="11">
        <f t="shared" si="8"/>
        <v>2.0038610038610041</v>
      </c>
      <c r="AO36" s="14"/>
      <c r="AP36" s="13" t="s">
        <v>5</v>
      </c>
      <c r="AQ36" s="10">
        <v>3</v>
      </c>
      <c r="AR36" s="12">
        <v>15370</v>
      </c>
      <c r="AS36" s="10">
        <f t="shared" si="9"/>
        <v>1</v>
      </c>
      <c r="AT36" s="12">
        <f t="shared" si="9"/>
        <v>7590</v>
      </c>
      <c r="AU36" s="11">
        <f t="shared" si="10"/>
        <v>0.97557840616966585</v>
      </c>
      <c r="AW36" s="14"/>
      <c r="AX36" s="13" t="s">
        <v>5</v>
      </c>
      <c r="AY36" s="10">
        <v>5</v>
      </c>
      <c r="AZ36" s="12">
        <v>19550</v>
      </c>
      <c r="BA36" s="10">
        <f t="shared" si="11"/>
        <v>2</v>
      </c>
      <c r="BB36" s="12">
        <f t="shared" si="12"/>
        <v>4180</v>
      </c>
      <c r="BC36" s="11">
        <f t="shared" si="13"/>
        <v>0.27195836044242028</v>
      </c>
      <c r="BE36" s="14"/>
      <c r="BF36" s="13" t="s">
        <v>5</v>
      </c>
      <c r="BG36" s="10">
        <v>4</v>
      </c>
      <c r="BH36" s="12">
        <v>17560</v>
      </c>
      <c r="BI36" s="10">
        <f t="shared" si="14"/>
        <v>-1</v>
      </c>
      <c r="BJ36" s="12">
        <f t="shared" si="15"/>
        <v>-1990</v>
      </c>
      <c r="BK36" s="11">
        <f t="shared" si="16"/>
        <v>-0.10179028132992328</v>
      </c>
      <c r="BM36" s="14"/>
      <c r="BN36" s="13" t="s">
        <v>5</v>
      </c>
      <c r="BP36" s="12"/>
      <c r="BQ36" s="10">
        <f t="shared" si="17"/>
        <v>-4</v>
      </c>
      <c r="BR36" s="12">
        <f t="shared" si="18"/>
        <v>-17560</v>
      </c>
      <c r="BS36" s="11">
        <f t="shared" si="19"/>
        <v>-1</v>
      </c>
      <c r="BU36" s="14"/>
      <c r="BV36" s="13" t="s">
        <v>5</v>
      </c>
      <c r="BW36" s="10">
        <v>1</v>
      </c>
      <c r="BX36" s="12">
        <v>8414.2857142800003</v>
      </c>
      <c r="BY36" s="10">
        <f t="shared" si="20"/>
        <v>1</v>
      </c>
      <c r="BZ36" s="12">
        <f t="shared" si="21"/>
        <v>8414.2857142800003</v>
      </c>
      <c r="CA36" s="11" t="e">
        <f t="shared" si="22"/>
        <v>#DIV/0!</v>
      </c>
      <c r="CC36" s="14"/>
      <c r="CD36" s="13"/>
      <c r="CF36" s="12"/>
      <c r="CH36" s="12"/>
      <c r="CI36" s="11"/>
      <c r="CK36" s="14"/>
      <c r="CL36" s="13"/>
      <c r="CN36" s="12"/>
      <c r="CP36" s="12"/>
      <c r="CQ36" s="11"/>
      <c r="CS36" s="14"/>
      <c r="CT36" s="13"/>
      <c r="CV36" s="12"/>
      <c r="CX36" s="12"/>
      <c r="CY36" s="11"/>
    </row>
    <row r="37" spans="1:103" s="10" customFormat="1" ht="20" customHeight="1">
      <c r="A37" s="14"/>
      <c r="B37" s="13" t="s">
        <v>4</v>
      </c>
      <c r="D37" s="12"/>
      <c r="F37" s="12"/>
      <c r="G37" s="11"/>
      <c r="I37" s="14"/>
      <c r="J37" s="13" t="s">
        <v>4</v>
      </c>
      <c r="K37" s="10">
        <v>1</v>
      </c>
      <c r="L37" s="12">
        <v>29140</v>
      </c>
      <c r="M37" s="10">
        <f t="shared" si="0"/>
        <v>1</v>
      </c>
      <c r="N37" s="12">
        <f t="shared" si="0"/>
        <v>29140</v>
      </c>
      <c r="O37" s="11" t="e">
        <f t="shared" si="1"/>
        <v>#DIV/0!</v>
      </c>
      <c r="Q37" s="14"/>
      <c r="R37" s="13" t="s">
        <v>4</v>
      </c>
      <c r="S37" s="10">
        <v>1</v>
      </c>
      <c r="T37" s="12">
        <v>31333.33333333</v>
      </c>
      <c r="U37" s="10">
        <f t="shared" si="2"/>
        <v>0</v>
      </c>
      <c r="V37" s="12">
        <f t="shared" si="3"/>
        <v>2193.3333333299997</v>
      </c>
      <c r="W37" s="11">
        <f t="shared" si="4"/>
        <v>7.5268817204186669E-2</v>
      </c>
      <c r="Y37" s="14"/>
      <c r="Z37" s="13" t="s">
        <v>4</v>
      </c>
      <c r="AA37" s="10">
        <v>2</v>
      </c>
      <c r="AB37" s="12">
        <v>161714.28571427002</v>
      </c>
      <c r="AC37" s="10">
        <f t="shared" si="5"/>
        <v>1</v>
      </c>
      <c r="AD37" s="12">
        <f t="shared" si="5"/>
        <v>130380.95238094003</v>
      </c>
      <c r="AE37" s="11">
        <f t="shared" si="6"/>
        <v>4.161094224924061</v>
      </c>
      <c r="AG37" s="14"/>
      <c r="AH37" s="13" t="s">
        <v>4</v>
      </c>
      <c r="AI37" s="13">
        <v>2</v>
      </c>
      <c r="AJ37" s="10">
        <v>56000</v>
      </c>
      <c r="AK37" s="10">
        <f t="shared" si="7"/>
        <v>0</v>
      </c>
      <c r="AL37" s="12">
        <f t="shared" si="7"/>
        <v>-105714.28571427002</v>
      </c>
      <c r="AM37" s="11">
        <f t="shared" si="8"/>
        <v>-0.65371024734978977</v>
      </c>
      <c r="AO37" s="14"/>
      <c r="AP37" s="13" t="s">
        <v>4</v>
      </c>
      <c r="AQ37" s="10">
        <v>2</v>
      </c>
      <c r="AR37" s="12">
        <v>46952.380952370004</v>
      </c>
      <c r="AS37" s="10">
        <f t="shared" si="9"/>
        <v>0</v>
      </c>
      <c r="AT37" s="12">
        <f t="shared" si="9"/>
        <v>-9047.6190476299962</v>
      </c>
      <c r="AU37" s="11">
        <f t="shared" si="10"/>
        <v>-0.16156462585053566</v>
      </c>
      <c r="AW37" s="14"/>
      <c r="AX37" s="13" t="s">
        <v>4</v>
      </c>
      <c r="AY37" s="10">
        <v>3</v>
      </c>
      <c r="AZ37" s="12">
        <v>85625.714285709997</v>
      </c>
      <c r="BA37" s="10">
        <f t="shared" si="11"/>
        <v>1</v>
      </c>
      <c r="BB37" s="12">
        <f t="shared" si="12"/>
        <v>38673.333333339993</v>
      </c>
      <c r="BC37" s="11">
        <f t="shared" si="13"/>
        <v>0.82367139959465441</v>
      </c>
      <c r="BE37" s="14"/>
      <c r="BF37" s="13" t="s">
        <v>4</v>
      </c>
      <c r="BG37" s="10">
        <v>3</v>
      </c>
      <c r="BH37" s="12">
        <v>102200</v>
      </c>
      <c r="BI37" s="10">
        <f t="shared" si="14"/>
        <v>0</v>
      </c>
      <c r="BJ37" s="12">
        <f t="shared" si="15"/>
        <v>16574.285714290003</v>
      </c>
      <c r="BK37" s="11">
        <f t="shared" si="16"/>
        <v>0.19356668557515405</v>
      </c>
      <c r="BM37" s="14"/>
      <c r="BN37" s="13" t="s">
        <v>4</v>
      </c>
      <c r="BO37" s="10">
        <v>0</v>
      </c>
      <c r="BP37" s="12">
        <v>0</v>
      </c>
      <c r="BQ37" s="10">
        <f t="shared" si="17"/>
        <v>-3</v>
      </c>
      <c r="BR37" s="12">
        <f t="shared" si="18"/>
        <v>-102200</v>
      </c>
      <c r="BS37" s="11">
        <f t="shared" si="19"/>
        <v>-1</v>
      </c>
      <c r="BU37" s="14"/>
      <c r="BV37" s="13" t="s">
        <v>4</v>
      </c>
      <c r="BW37" s="10">
        <v>1</v>
      </c>
      <c r="BX37" s="12">
        <v>26147.619047609998</v>
      </c>
      <c r="BY37" s="10">
        <f t="shared" ref="BY37:BY65" si="23">BW37-BO37</f>
        <v>1</v>
      </c>
      <c r="BZ37" s="12">
        <f t="shared" si="21"/>
        <v>26147.619047609998</v>
      </c>
      <c r="CA37" s="11" t="e">
        <f t="shared" si="22"/>
        <v>#DIV/0!</v>
      </c>
      <c r="CC37" s="14"/>
      <c r="CD37" s="13"/>
      <c r="CF37" s="12"/>
      <c r="CH37" s="12"/>
      <c r="CI37" s="11"/>
      <c r="CK37" s="14"/>
      <c r="CL37" s="13"/>
      <c r="CN37" s="12"/>
      <c r="CP37" s="12"/>
      <c r="CQ37" s="11"/>
      <c r="CS37" s="14"/>
      <c r="CT37" s="13"/>
      <c r="CV37" s="12"/>
      <c r="CX37" s="12"/>
      <c r="CY37" s="11"/>
    </row>
    <row r="38" spans="1:103" s="10" customFormat="1" ht="20" customHeight="1">
      <c r="A38" s="14"/>
      <c r="B38" s="13" t="s">
        <v>3</v>
      </c>
      <c r="C38" s="10">
        <v>16</v>
      </c>
      <c r="D38" s="12">
        <v>279714.28571424005</v>
      </c>
      <c r="F38" s="12"/>
      <c r="G38" s="11"/>
      <c r="I38" s="14"/>
      <c r="J38" s="13" t="s">
        <v>3</v>
      </c>
      <c r="K38" s="10">
        <v>8</v>
      </c>
      <c r="L38" s="12">
        <v>176857.14285711999</v>
      </c>
      <c r="M38" s="10">
        <f t="shared" si="0"/>
        <v>-8</v>
      </c>
      <c r="N38" s="12">
        <f t="shared" si="0"/>
        <v>-102857.14285712005</v>
      </c>
      <c r="O38" s="11">
        <f t="shared" si="1"/>
        <v>-0.36772216547495296</v>
      </c>
      <c r="Q38" s="14"/>
      <c r="R38" s="13" t="s">
        <v>3</v>
      </c>
      <c r="S38" s="10">
        <v>12</v>
      </c>
      <c r="T38" s="12">
        <v>188666.66666664</v>
      </c>
      <c r="U38" s="10">
        <f t="shared" si="2"/>
        <v>4</v>
      </c>
      <c r="V38" s="12">
        <f t="shared" si="3"/>
        <v>11809.523809520004</v>
      </c>
      <c r="W38" s="11">
        <f t="shared" si="4"/>
        <v>6.6774367259007039E-2</v>
      </c>
      <c r="Y38" s="14"/>
      <c r="Z38" s="13" t="s">
        <v>3</v>
      </c>
      <c r="AA38" s="10">
        <v>18</v>
      </c>
      <c r="AB38" s="12">
        <v>312095.23809518997</v>
      </c>
      <c r="AC38" s="10">
        <f t="shared" si="5"/>
        <v>6</v>
      </c>
      <c r="AD38" s="12">
        <f t="shared" si="5"/>
        <v>123428.57142854997</v>
      </c>
      <c r="AE38" s="11">
        <f t="shared" si="6"/>
        <v>0.65421504290760113</v>
      </c>
      <c r="AG38" s="14"/>
      <c r="AH38" s="13" t="s">
        <v>3</v>
      </c>
      <c r="AI38" s="13">
        <v>14</v>
      </c>
      <c r="AJ38" s="10">
        <v>311212.38095233997</v>
      </c>
      <c r="AK38" s="10">
        <f t="shared" si="7"/>
        <v>-4</v>
      </c>
      <c r="AL38" s="12">
        <f t="shared" si="7"/>
        <v>-882.85714284999995</v>
      </c>
      <c r="AM38" s="11">
        <f t="shared" si="8"/>
        <v>-2.828806835497842E-3</v>
      </c>
      <c r="AO38" s="14"/>
      <c r="AP38" s="13" t="s">
        <v>3</v>
      </c>
      <c r="AQ38" s="10">
        <v>10</v>
      </c>
      <c r="AR38" s="12">
        <v>126952.38095235999</v>
      </c>
      <c r="AS38" s="10">
        <f t="shared" si="9"/>
        <v>-4</v>
      </c>
      <c r="AT38" s="12">
        <f t="shared" si="9"/>
        <v>-184259.99999997998</v>
      </c>
      <c r="AU38" s="11">
        <f t="shared" si="10"/>
        <v>-0.5920715603798492</v>
      </c>
      <c r="AW38" s="14"/>
      <c r="AX38" s="13" t="s">
        <v>3</v>
      </c>
      <c r="AY38" s="10">
        <v>16</v>
      </c>
      <c r="AZ38" s="12">
        <v>286380.95238090999</v>
      </c>
      <c r="BA38" s="10">
        <f t="shared" si="11"/>
        <v>6</v>
      </c>
      <c r="BB38" s="12">
        <f t="shared" si="12"/>
        <v>159428.57142855</v>
      </c>
      <c r="BC38" s="11">
        <f t="shared" si="13"/>
        <v>1.2558139534884107</v>
      </c>
      <c r="BE38" s="14"/>
      <c r="BF38" s="13" t="s">
        <v>3</v>
      </c>
      <c r="BG38" s="10">
        <v>29</v>
      </c>
      <c r="BH38" s="12">
        <v>468285.71428567002</v>
      </c>
      <c r="BI38" s="10">
        <f t="shared" si="14"/>
        <v>13</v>
      </c>
      <c r="BJ38" s="12">
        <f t="shared" si="15"/>
        <v>181904.76190476003</v>
      </c>
      <c r="BK38" s="11">
        <f t="shared" si="16"/>
        <v>0.63518456933829837</v>
      </c>
      <c r="BM38" s="14"/>
      <c r="BN38" s="13" t="s">
        <v>3</v>
      </c>
      <c r="BO38" s="10">
        <v>10</v>
      </c>
      <c r="BP38" s="12">
        <v>161238.09523807</v>
      </c>
      <c r="BQ38" s="10">
        <f t="shared" si="17"/>
        <v>-19</v>
      </c>
      <c r="BR38" s="12">
        <f t="shared" si="18"/>
        <v>-307047.61904760002</v>
      </c>
      <c r="BS38" s="11">
        <f t="shared" si="19"/>
        <v>-0.65568436038236833</v>
      </c>
      <c r="BU38" s="14"/>
      <c r="BV38" s="13" t="s">
        <v>3</v>
      </c>
      <c r="BW38" s="10">
        <v>9</v>
      </c>
      <c r="BX38" s="12">
        <v>154190.47619044999</v>
      </c>
      <c r="BY38" s="10">
        <f t="shared" si="23"/>
        <v>-1</v>
      </c>
      <c r="BZ38" s="12">
        <f t="shared" si="21"/>
        <v>-7047.6190476200136</v>
      </c>
      <c r="CA38" s="11">
        <f t="shared" si="22"/>
        <v>-4.3709391612534981E-2</v>
      </c>
      <c r="CC38" s="14"/>
      <c r="CD38" s="13"/>
      <c r="CF38" s="12"/>
      <c r="CH38" s="12"/>
      <c r="CI38" s="11"/>
      <c r="CK38" s="14"/>
      <c r="CL38" s="13"/>
      <c r="CN38" s="12"/>
      <c r="CP38" s="12"/>
      <c r="CQ38" s="11"/>
      <c r="CS38" s="14"/>
      <c r="CT38" s="13"/>
      <c r="CV38" s="12"/>
      <c r="CX38" s="12"/>
      <c r="CY38" s="11"/>
    </row>
    <row r="39" spans="1:103" s="10" customFormat="1" ht="20" customHeight="1">
      <c r="A39" s="14"/>
      <c r="B39" s="13" t="s">
        <v>2</v>
      </c>
      <c r="C39" s="10">
        <v>43</v>
      </c>
      <c r="D39" s="12">
        <v>1504868.5714285199</v>
      </c>
      <c r="F39" s="12"/>
      <c r="G39" s="11"/>
      <c r="I39" s="14"/>
      <c r="J39" s="13" t="s">
        <v>2</v>
      </c>
      <c r="K39" s="10">
        <v>34</v>
      </c>
      <c r="L39" s="12">
        <v>1257714.28571423</v>
      </c>
      <c r="M39" s="10">
        <f t="shared" si="0"/>
        <v>-9</v>
      </c>
      <c r="N39" s="12">
        <f t="shared" si="0"/>
        <v>-247154.28571428987</v>
      </c>
      <c r="O39" s="11">
        <f t="shared" si="1"/>
        <v>-0.16423645918771154</v>
      </c>
      <c r="Q39" s="14"/>
      <c r="R39" s="13" t="s">
        <v>2</v>
      </c>
      <c r="S39" s="10">
        <v>37</v>
      </c>
      <c r="T39" s="12">
        <v>1433619.0476190101</v>
      </c>
      <c r="U39" s="10">
        <f t="shared" si="2"/>
        <v>3</v>
      </c>
      <c r="V39" s="12">
        <f t="shared" si="3"/>
        <v>175904.76190478005</v>
      </c>
      <c r="W39" s="11">
        <f t="shared" si="4"/>
        <v>0.1398606693927209</v>
      </c>
      <c r="Y39" s="14"/>
      <c r="Z39" s="13" t="s">
        <v>2</v>
      </c>
      <c r="AA39" s="10">
        <v>30</v>
      </c>
      <c r="AB39" s="12">
        <v>1149523.8095237801</v>
      </c>
      <c r="AC39" s="10">
        <f t="shared" si="5"/>
        <v>-7</v>
      </c>
      <c r="AD39" s="12">
        <f t="shared" si="5"/>
        <v>-284095.23809522996</v>
      </c>
      <c r="AE39" s="11">
        <f t="shared" si="6"/>
        <v>-0.19816647844283483</v>
      </c>
      <c r="AG39" s="14"/>
      <c r="AH39" s="13" t="s">
        <v>2</v>
      </c>
      <c r="AI39" s="13">
        <v>30</v>
      </c>
      <c r="AJ39" s="10">
        <v>1074098.09523806</v>
      </c>
      <c r="AK39" s="10">
        <f t="shared" si="7"/>
        <v>0</v>
      </c>
      <c r="AL39" s="12">
        <f t="shared" si="7"/>
        <v>-75425.71428572014</v>
      </c>
      <c r="AM39" s="11">
        <f t="shared" si="8"/>
        <v>-6.5614747307380428E-2</v>
      </c>
      <c r="AO39" s="14"/>
      <c r="AP39" s="13" t="s">
        <v>2</v>
      </c>
      <c r="AQ39" s="10">
        <v>29</v>
      </c>
      <c r="AR39" s="12">
        <v>1064857.1428571199</v>
      </c>
      <c r="AS39" s="10">
        <f t="shared" si="9"/>
        <v>-1</v>
      </c>
      <c r="AT39" s="12">
        <f t="shared" si="9"/>
        <v>-9240.9523809400853</v>
      </c>
      <c r="AU39" s="11">
        <f t="shared" si="10"/>
        <v>-8.6034529079878387E-3</v>
      </c>
      <c r="AW39" s="14"/>
      <c r="AX39" s="13" t="s">
        <v>2</v>
      </c>
      <c r="AY39" s="10">
        <v>39</v>
      </c>
      <c r="AZ39" s="12">
        <v>1444380.9523809</v>
      </c>
      <c r="BA39" s="10">
        <f t="shared" si="11"/>
        <v>10</v>
      </c>
      <c r="BB39" s="12">
        <f t="shared" si="12"/>
        <v>379523.80952378013</v>
      </c>
      <c r="BC39" s="11">
        <f t="shared" si="13"/>
        <v>0.35640819246934774</v>
      </c>
      <c r="BE39" s="14"/>
      <c r="BF39" s="13" t="s">
        <v>2</v>
      </c>
      <c r="BG39" s="10">
        <v>58</v>
      </c>
      <c r="BH39" s="12">
        <v>1982881.9047618499</v>
      </c>
      <c r="BI39" s="10">
        <f t="shared" si="14"/>
        <v>19</v>
      </c>
      <c r="BJ39" s="12">
        <f t="shared" si="15"/>
        <v>538500.95238094986</v>
      </c>
      <c r="BK39" s="11">
        <f t="shared" si="16"/>
        <v>0.37282473954900291</v>
      </c>
      <c r="BM39" s="14"/>
      <c r="BN39" s="13" t="s">
        <v>2</v>
      </c>
      <c r="BO39" s="10">
        <v>7</v>
      </c>
      <c r="BP39" s="12">
        <v>260285.7142857</v>
      </c>
      <c r="BQ39" s="10">
        <f t="shared" si="17"/>
        <v>-51</v>
      </c>
      <c r="BR39" s="12">
        <f t="shared" si="18"/>
        <v>-1722596.1904761498</v>
      </c>
      <c r="BS39" s="11">
        <f t="shared" si="19"/>
        <v>-0.86873362772607421</v>
      </c>
      <c r="BU39" s="14"/>
      <c r="BV39" s="13" t="s">
        <v>2</v>
      </c>
      <c r="BW39" s="10">
        <v>11</v>
      </c>
      <c r="BX39" s="12">
        <v>379739.04761903</v>
      </c>
      <c r="BY39" s="10">
        <f t="shared" si="23"/>
        <v>4</v>
      </c>
      <c r="BZ39" s="12">
        <f t="shared" si="21"/>
        <v>119453.33333333</v>
      </c>
      <c r="CA39" s="11">
        <f t="shared" si="22"/>
        <v>0.45893157702160037</v>
      </c>
      <c r="CC39" s="14"/>
      <c r="CD39" s="13"/>
      <c r="CF39" s="12"/>
      <c r="CH39" s="12"/>
      <c r="CI39" s="11"/>
      <c r="CK39" s="14"/>
      <c r="CL39" s="13"/>
      <c r="CN39" s="12"/>
      <c r="CP39" s="12"/>
      <c r="CQ39" s="11"/>
      <c r="CS39" s="14"/>
      <c r="CT39" s="13"/>
      <c r="CV39" s="12"/>
      <c r="CX39" s="12"/>
      <c r="CY39" s="11"/>
    </row>
    <row r="40" spans="1:103" s="1" customFormat="1" ht="20" customHeight="1">
      <c r="A40" s="9" t="s">
        <v>12</v>
      </c>
      <c r="B40" s="9"/>
      <c r="C40" s="8">
        <v>343</v>
      </c>
      <c r="D40" s="7">
        <v>2376119.9999992</v>
      </c>
      <c r="E40" s="27"/>
      <c r="F40" s="28"/>
      <c r="G40" s="29"/>
      <c r="I40" s="9" t="s">
        <v>12</v>
      </c>
      <c r="J40" s="9"/>
      <c r="K40" s="8">
        <v>239</v>
      </c>
      <c r="L40" s="7">
        <v>1857518.09523748</v>
      </c>
      <c r="M40" s="27">
        <f t="shared" si="0"/>
        <v>-104</v>
      </c>
      <c r="N40" s="28">
        <f t="shared" si="0"/>
        <v>-518601.90476171998</v>
      </c>
      <c r="O40" s="29">
        <f t="shared" si="1"/>
        <v>-0.21825577191467374</v>
      </c>
      <c r="Q40" s="9" t="s">
        <v>12</v>
      </c>
      <c r="R40" s="9"/>
      <c r="S40" s="8">
        <v>304</v>
      </c>
      <c r="T40" s="7">
        <v>2161797.1428564601</v>
      </c>
      <c r="U40" s="27">
        <f t="shared" si="2"/>
        <v>65</v>
      </c>
      <c r="V40" s="28">
        <f t="shared" si="3"/>
        <v>304279.04761898005</v>
      </c>
      <c r="W40" s="29">
        <f t="shared" si="4"/>
        <v>0.16380946618992617</v>
      </c>
      <c r="Y40" s="9" t="s">
        <v>12</v>
      </c>
      <c r="Z40" s="9"/>
      <c r="AA40" s="8">
        <v>326</v>
      </c>
      <c r="AB40" s="7">
        <v>2226255.7142849602</v>
      </c>
      <c r="AC40" s="27">
        <f t="shared" si="5"/>
        <v>22</v>
      </c>
      <c r="AD40" s="28">
        <f t="shared" si="5"/>
        <v>64458.571428500116</v>
      </c>
      <c r="AE40" s="29">
        <f t="shared" si="6"/>
        <v>2.9817123055000755E-2</v>
      </c>
      <c r="AG40" s="9" t="s">
        <v>12</v>
      </c>
      <c r="AH40" s="9"/>
      <c r="AI40" s="9">
        <v>321</v>
      </c>
      <c r="AJ40" s="8">
        <v>2181917.1428563399</v>
      </c>
      <c r="AK40" s="27">
        <f t="shared" si="7"/>
        <v>-5</v>
      </c>
      <c r="AL40" s="28">
        <f t="shared" si="7"/>
        <v>-44338.571428620256</v>
      </c>
      <c r="AM40" s="29">
        <f t="shared" si="8"/>
        <v>-1.9916207803136909E-2</v>
      </c>
      <c r="AO40" s="9" t="s">
        <v>12</v>
      </c>
      <c r="AP40" s="9"/>
      <c r="AQ40" s="8">
        <v>257</v>
      </c>
      <c r="AR40" s="7">
        <v>1681720.47618971</v>
      </c>
      <c r="AS40" s="27">
        <f t="shared" si="9"/>
        <v>-64</v>
      </c>
      <c r="AT40" s="28">
        <f t="shared" si="9"/>
        <v>-500196.66666662996</v>
      </c>
      <c r="AU40" s="29">
        <f t="shared" si="10"/>
        <v>-0.22924640759356438</v>
      </c>
      <c r="AW40" s="9" t="s">
        <v>12</v>
      </c>
      <c r="AX40" s="9"/>
      <c r="AY40" s="8">
        <v>406</v>
      </c>
      <c r="AZ40" s="7">
        <v>2744163.3333323202</v>
      </c>
      <c r="BA40" s="27">
        <f t="shared" si="11"/>
        <v>149</v>
      </c>
      <c r="BB40" s="28">
        <f t="shared" si="12"/>
        <v>1062442.8571426102</v>
      </c>
      <c r="BC40" s="29">
        <f t="shared" si="13"/>
        <v>0.63175948214045485</v>
      </c>
      <c r="BE40" s="9" t="s">
        <v>12</v>
      </c>
      <c r="BF40" s="9"/>
      <c r="BG40" s="8">
        <v>709</v>
      </c>
      <c r="BH40" s="7">
        <v>3770060.9523795899</v>
      </c>
      <c r="BI40" s="27">
        <f t="shared" si="14"/>
        <v>303</v>
      </c>
      <c r="BJ40" s="28">
        <f t="shared" si="15"/>
        <v>1025897.6190472697</v>
      </c>
      <c r="BK40" s="29">
        <f t="shared" si="16"/>
        <v>0.37384714189059998</v>
      </c>
      <c r="BM40" s="9" t="s">
        <v>12</v>
      </c>
      <c r="BN40" s="9"/>
      <c r="BO40" s="8">
        <v>250</v>
      </c>
      <c r="BP40" s="7">
        <v>760320.95238043007</v>
      </c>
      <c r="BQ40" s="27">
        <f t="shared" si="17"/>
        <v>-459</v>
      </c>
      <c r="BR40" s="28">
        <f t="shared" si="18"/>
        <v>-3009739.9999991599</v>
      </c>
      <c r="BS40" s="29">
        <f t="shared" si="19"/>
        <v>-0.79832661540908778</v>
      </c>
      <c r="BU40" s="9" t="s">
        <v>12</v>
      </c>
      <c r="BV40" s="9"/>
      <c r="BW40" s="8">
        <v>249</v>
      </c>
      <c r="BX40" s="7">
        <v>1201897.14285643</v>
      </c>
      <c r="BY40" s="27">
        <f t="shared" si="23"/>
        <v>-1</v>
      </c>
      <c r="BZ40" s="28">
        <f t="shared" si="21"/>
        <v>441576.19047599996</v>
      </c>
      <c r="CA40" s="29">
        <f t="shared" si="22"/>
        <v>0.5807760381895346</v>
      </c>
      <c r="CC40" s="9"/>
      <c r="CD40" s="9"/>
      <c r="CE40" s="8"/>
      <c r="CF40" s="7"/>
      <c r="CG40" s="27"/>
      <c r="CH40" s="28"/>
      <c r="CI40" s="29"/>
      <c r="CK40" s="9"/>
      <c r="CL40" s="9"/>
      <c r="CM40" s="8"/>
      <c r="CN40" s="7"/>
      <c r="CO40" s="27"/>
      <c r="CP40" s="28"/>
      <c r="CQ40" s="29"/>
      <c r="CS40" s="9"/>
      <c r="CT40" s="9"/>
      <c r="CU40" s="8"/>
      <c r="CV40" s="7"/>
      <c r="CW40" s="27"/>
      <c r="CX40" s="28"/>
      <c r="CY40" s="29"/>
    </row>
    <row r="41" spans="1:103" s="1" customFormat="1" ht="20" customHeight="1">
      <c r="A41" s="14">
        <v>81</v>
      </c>
      <c r="B41" s="32" t="s">
        <v>20</v>
      </c>
      <c r="C41" s="1">
        <v>1556</v>
      </c>
      <c r="D41" s="35"/>
      <c r="E41" s="10"/>
      <c r="F41" s="12"/>
      <c r="G41" s="36"/>
      <c r="I41" s="14">
        <v>81</v>
      </c>
      <c r="J41" s="32" t="s">
        <v>20</v>
      </c>
      <c r="K41" s="1">
        <v>1349</v>
      </c>
      <c r="L41" s="35"/>
      <c r="M41" s="10">
        <f t="shared" si="0"/>
        <v>-207</v>
      </c>
      <c r="N41" s="12">
        <f t="shared" si="0"/>
        <v>0</v>
      </c>
      <c r="O41" s="11" t="e">
        <f t="shared" si="1"/>
        <v>#DIV/0!</v>
      </c>
      <c r="Q41" s="14">
        <v>81</v>
      </c>
      <c r="R41" s="32" t="s">
        <v>20</v>
      </c>
      <c r="S41" s="1">
        <v>1505</v>
      </c>
      <c r="T41" s="35"/>
      <c r="U41" s="10">
        <f t="shared" si="2"/>
        <v>156</v>
      </c>
      <c r="V41" s="12">
        <f t="shared" si="3"/>
        <v>0</v>
      </c>
      <c r="W41" s="11" t="e">
        <f t="shared" si="4"/>
        <v>#DIV/0!</v>
      </c>
      <c r="Y41" s="14">
        <v>81</v>
      </c>
      <c r="Z41" s="32" t="s">
        <v>20</v>
      </c>
      <c r="AA41" s="1">
        <v>1265</v>
      </c>
      <c r="AB41" s="35"/>
      <c r="AC41" s="10">
        <f t="shared" si="5"/>
        <v>-240</v>
      </c>
      <c r="AD41" s="12">
        <f t="shared" si="5"/>
        <v>0</v>
      </c>
      <c r="AE41" s="11" t="e">
        <f t="shared" si="6"/>
        <v>#DIV/0!</v>
      </c>
      <c r="AG41" s="14">
        <v>81</v>
      </c>
      <c r="AH41" s="32" t="s">
        <v>20</v>
      </c>
      <c r="AI41" s="32">
        <v>1427</v>
      </c>
      <c r="AK41" s="10">
        <f t="shared" si="7"/>
        <v>162</v>
      </c>
      <c r="AL41" s="12">
        <f t="shared" si="7"/>
        <v>0</v>
      </c>
      <c r="AM41" s="11" t="e">
        <f t="shared" si="8"/>
        <v>#DIV/0!</v>
      </c>
      <c r="AO41" s="14">
        <v>81</v>
      </c>
      <c r="AP41" s="32" t="s">
        <v>20</v>
      </c>
      <c r="AQ41" s="1">
        <v>1300</v>
      </c>
      <c r="AR41" s="35"/>
      <c r="AS41" s="10">
        <f t="shared" si="9"/>
        <v>-127</v>
      </c>
      <c r="AT41" s="12">
        <f t="shared" si="9"/>
        <v>0</v>
      </c>
      <c r="AU41" s="11" t="e">
        <f t="shared" si="10"/>
        <v>#DIV/0!</v>
      </c>
      <c r="AW41" s="14">
        <v>81</v>
      </c>
      <c r="AX41" s="32" t="s">
        <v>20</v>
      </c>
      <c r="AY41" s="1">
        <v>1673</v>
      </c>
      <c r="AZ41" s="35"/>
      <c r="BA41" s="10">
        <f t="shared" si="11"/>
        <v>373</v>
      </c>
      <c r="BB41" s="12">
        <f t="shared" si="12"/>
        <v>0</v>
      </c>
      <c r="BC41" s="11" t="e">
        <f t="shared" si="13"/>
        <v>#DIV/0!</v>
      </c>
      <c r="BE41" s="14">
        <v>81</v>
      </c>
      <c r="BF41" s="32" t="s">
        <v>20</v>
      </c>
      <c r="BG41" s="1">
        <v>3619</v>
      </c>
      <c r="BH41" s="35"/>
      <c r="BI41" s="10">
        <f t="shared" si="14"/>
        <v>1946</v>
      </c>
      <c r="BJ41" s="12">
        <f t="shared" si="15"/>
        <v>0</v>
      </c>
      <c r="BK41" s="11" t="e">
        <f t="shared" si="16"/>
        <v>#DIV/0!</v>
      </c>
      <c r="BM41" s="14">
        <v>81</v>
      </c>
      <c r="BN41" s="32" t="s">
        <v>20</v>
      </c>
      <c r="BO41" s="1">
        <v>1597</v>
      </c>
      <c r="BP41" s="35"/>
      <c r="BQ41" s="10">
        <f t="shared" si="17"/>
        <v>-2022</v>
      </c>
      <c r="BR41" s="12">
        <f t="shared" si="18"/>
        <v>0</v>
      </c>
      <c r="BS41" s="11" t="e">
        <f t="shared" si="19"/>
        <v>#DIV/0!</v>
      </c>
      <c r="BU41" s="14">
        <v>81</v>
      </c>
      <c r="BV41" s="32" t="s">
        <v>20</v>
      </c>
      <c r="BW41" s="15">
        <v>1054</v>
      </c>
      <c r="BX41" s="33"/>
      <c r="BY41" s="10">
        <f t="shared" si="23"/>
        <v>-543</v>
      </c>
      <c r="BZ41" s="12">
        <f t="shared" si="21"/>
        <v>0</v>
      </c>
      <c r="CA41" s="11" t="e">
        <f t="shared" si="22"/>
        <v>#DIV/0!</v>
      </c>
      <c r="CC41" s="14"/>
      <c r="CD41" s="32"/>
      <c r="CE41" s="15"/>
      <c r="CF41" s="33"/>
      <c r="CG41" s="10"/>
      <c r="CH41" s="12"/>
      <c r="CI41" s="11"/>
      <c r="CK41" s="14"/>
      <c r="CL41" s="32"/>
      <c r="CM41" s="15"/>
      <c r="CN41" s="33"/>
      <c r="CO41" s="10"/>
      <c r="CP41" s="12"/>
      <c r="CQ41" s="11"/>
      <c r="CS41" s="14"/>
      <c r="CT41" s="32"/>
      <c r="CU41" s="15"/>
      <c r="CV41" s="33"/>
      <c r="CW41" s="10"/>
      <c r="CX41" s="12"/>
      <c r="CY41" s="11"/>
    </row>
    <row r="42" spans="1:103" s="1" customFormat="1" ht="20" customHeight="1">
      <c r="A42" s="14"/>
      <c r="B42" s="32" t="s">
        <v>21</v>
      </c>
      <c r="C42" s="1">
        <v>2</v>
      </c>
      <c r="D42" s="35"/>
      <c r="E42" s="10"/>
      <c r="F42" s="12"/>
      <c r="G42" s="36"/>
      <c r="I42" s="14"/>
      <c r="J42" s="32" t="s">
        <v>21</v>
      </c>
      <c r="K42" s="1">
        <v>9</v>
      </c>
      <c r="L42" s="35"/>
      <c r="M42" s="10">
        <f t="shared" si="0"/>
        <v>7</v>
      </c>
      <c r="N42" s="12">
        <f t="shared" si="0"/>
        <v>0</v>
      </c>
      <c r="O42" s="11" t="e">
        <f t="shared" si="1"/>
        <v>#DIV/0!</v>
      </c>
      <c r="Q42" s="14"/>
      <c r="R42" s="32" t="s">
        <v>21</v>
      </c>
      <c r="S42" s="1">
        <v>8</v>
      </c>
      <c r="T42" s="35"/>
      <c r="U42" s="10">
        <f t="shared" si="2"/>
        <v>-1</v>
      </c>
      <c r="V42" s="12">
        <f t="shared" si="3"/>
        <v>0</v>
      </c>
      <c r="W42" s="11" t="e">
        <f t="shared" si="4"/>
        <v>#DIV/0!</v>
      </c>
      <c r="Y42" s="14"/>
      <c r="Z42" s="32" t="s">
        <v>21</v>
      </c>
      <c r="AA42" s="1">
        <v>4</v>
      </c>
      <c r="AB42" s="35"/>
      <c r="AC42" s="10">
        <f t="shared" si="5"/>
        <v>-4</v>
      </c>
      <c r="AD42" s="12">
        <f t="shared" si="5"/>
        <v>0</v>
      </c>
      <c r="AE42" s="11" t="e">
        <f t="shared" si="6"/>
        <v>#DIV/0!</v>
      </c>
      <c r="AG42" s="14"/>
      <c r="AH42" s="32" t="s">
        <v>21</v>
      </c>
      <c r="AI42" s="32">
        <v>6</v>
      </c>
      <c r="AK42" s="10">
        <f t="shared" si="7"/>
        <v>2</v>
      </c>
      <c r="AL42" s="12">
        <f t="shared" si="7"/>
        <v>0</v>
      </c>
      <c r="AM42" s="11" t="e">
        <f t="shared" si="8"/>
        <v>#DIV/0!</v>
      </c>
      <c r="AO42" s="14"/>
      <c r="AP42" s="32" t="s">
        <v>21</v>
      </c>
      <c r="AQ42" s="1">
        <v>9</v>
      </c>
      <c r="AR42" s="35"/>
      <c r="AS42" s="10">
        <f t="shared" si="9"/>
        <v>3</v>
      </c>
      <c r="AT42" s="12">
        <f t="shared" si="9"/>
        <v>0</v>
      </c>
      <c r="AU42" s="11" t="e">
        <f t="shared" si="10"/>
        <v>#DIV/0!</v>
      </c>
      <c r="AW42" s="14"/>
      <c r="AX42" s="32" t="s">
        <v>21</v>
      </c>
      <c r="AY42" s="1">
        <v>7</v>
      </c>
      <c r="AZ42" s="35"/>
      <c r="BA42" s="10">
        <f t="shared" si="11"/>
        <v>-2</v>
      </c>
      <c r="BB42" s="12">
        <f t="shared" si="12"/>
        <v>0</v>
      </c>
      <c r="BC42" s="11" t="e">
        <f t="shared" si="13"/>
        <v>#DIV/0!</v>
      </c>
      <c r="BE42" s="14"/>
      <c r="BF42" s="32" t="s">
        <v>21</v>
      </c>
      <c r="BG42" s="1">
        <v>10</v>
      </c>
      <c r="BH42" s="35"/>
      <c r="BI42" s="10">
        <f t="shared" si="14"/>
        <v>3</v>
      </c>
      <c r="BJ42" s="12">
        <f t="shared" si="15"/>
        <v>0</v>
      </c>
      <c r="BK42" s="11" t="e">
        <f t="shared" si="16"/>
        <v>#DIV/0!</v>
      </c>
      <c r="BM42" s="14"/>
      <c r="BN42" s="32" t="s">
        <v>21</v>
      </c>
      <c r="BO42" s="1">
        <v>9</v>
      </c>
      <c r="BP42" s="35"/>
      <c r="BQ42" s="10">
        <f t="shared" si="17"/>
        <v>-1</v>
      </c>
      <c r="BR42" s="12">
        <f t="shared" si="18"/>
        <v>0</v>
      </c>
      <c r="BS42" s="11" t="e">
        <f t="shared" si="19"/>
        <v>#DIV/0!</v>
      </c>
      <c r="BU42" s="14"/>
      <c r="BV42" s="32" t="s">
        <v>21</v>
      </c>
      <c r="BW42" s="15">
        <v>5</v>
      </c>
      <c r="BX42" s="33"/>
      <c r="BY42" s="10">
        <f t="shared" si="23"/>
        <v>-4</v>
      </c>
      <c r="BZ42" s="12">
        <f t="shared" si="21"/>
        <v>0</v>
      </c>
      <c r="CA42" s="11" t="e">
        <f t="shared" si="22"/>
        <v>#DIV/0!</v>
      </c>
      <c r="CC42" s="14"/>
      <c r="CD42" s="32"/>
      <c r="CE42" s="15"/>
      <c r="CF42" s="33"/>
      <c r="CG42" s="10"/>
      <c r="CH42" s="12"/>
      <c r="CI42" s="11"/>
      <c r="CK42" s="14"/>
      <c r="CL42" s="32"/>
      <c r="CM42" s="15"/>
      <c r="CN42" s="33"/>
      <c r="CO42" s="10"/>
      <c r="CP42" s="12"/>
      <c r="CQ42" s="11"/>
      <c r="CS42" s="14"/>
      <c r="CT42" s="32"/>
      <c r="CU42" s="15"/>
      <c r="CV42" s="33"/>
      <c r="CW42" s="10"/>
      <c r="CX42" s="12"/>
      <c r="CY42" s="11"/>
    </row>
    <row r="43" spans="1:103" s="10" customFormat="1" ht="20" customHeight="1">
      <c r="A43" s="14"/>
      <c r="B43" s="13" t="s">
        <v>10</v>
      </c>
      <c r="C43" s="10">
        <v>98</v>
      </c>
      <c r="D43" s="12">
        <v>82625.714285369992</v>
      </c>
      <c r="F43" s="12"/>
      <c r="G43" s="11"/>
      <c r="I43" s="14"/>
      <c r="J43" s="13" t="s">
        <v>10</v>
      </c>
      <c r="K43" s="10">
        <v>104</v>
      </c>
      <c r="L43" s="12">
        <v>91625.714285300026</v>
      </c>
      <c r="M43" s="10">
        <f t="shared" si="0"/>
        <v>6</v>
      </c>
      <c r="N43" s="12">
        <f t="shared" si="0"/>
        <v>8999.9999999300344</v>
      </c>
      <c r="O43" s="11">
        <f t="shared" si="1"/>
        <v>0.10892492824747183</v>
      </c>
      <c r="Q43" s="14"/>
      <c r="R43" s="13" t="s">
        <v>10</v>
      </c>
      <c r="S43" s="10">
        <v>111</v>
      </c>
      <c r="T43" s="12">
        <v>102842.85714249001</v>
      </c>
      <c r="U43" s="10">
        <f t="shared" si="2"/>
        <v>7</v>
      </c>
      <c r="V43" s="12">
        <f t="shared" si="3"/>
        <v>11217.142857189989</v>
      </c>
      <c r="W43" s="11">
        <f t="shared" si="4"/>
        <v>0.12242352427684824</v>
      </c>
      <c r="Y43" s="14"/>
      <c r="Z43" s="13" t="s">
        <v>10</v>
      </c>
      <c r="AA43" s="10">
        <v>100</v>
      </c>
      <c r="AB43" s="12">
        <v>91869.523809129969</v>
      </c>
      <c r="AC43" s="10">
        <f t="shared" si="5"/>
        <v>-11</v>
      </c>
      <c r="AD43" s="12">
        <f t="shared" si="5"/>
        <v>-10973.333333360046</v>
      </c>
      <c r="AE43" s="11">
        <f t="shared" si="6"/>
        <v>-0.10670000463091336</v>
      </c>
      <c r="AG43" s="14"/>
      <c r="AH43" s="13" t="s">
        <v>10</v>
      </c>
      <c r="AI43" s="13">
        <v>121</v>
      </c>
      <c r="AJ43" s="10">
        <v>111367.61904711997</v>
      </c>
      <c r="AK43" s="10">
        <f t="shared" si="7"/>
        <v>21</v>
      </c>
      <c r="AL43" s="12">
        <f t="shared" si="7"/>
        <v>19498.095237989997</v>
      </c>
      <c r="AM43" s="11">
        <f t="shared" si="8"/>
        <v>0.21223681618835474</v>
      </c>
      <c r="AO43" s="14"/>
      <c r="AP43" s="13" t="s">
        <v>10</v>
      </c>
      <c r="AQ43" s="10">
        <v>126</v>
      </c>
      <c r="AR43" s="12">
        <v>118409.52380913998</v>
      </c>
      <c r="AS43" s="10">
        <f t="shared" si="9"/>
        <v>5</v>
      </c>
      <c r="AT43" s="12">
        <f t="shared" si="9"/>
        <v>7041.9047620200145</v>
      </c>
      <c r="AU43" s="11">
        <f t="shared" si="10"/>
        <v>6.3231169187881839E-2</v>
      </c>
      <c r="AW43" s="14"/>
      <c r="AX43" s="13" t="s">
        <v>10</v>
      </c>
      <c r="AY43" s="10">
        <v>225</v>
      </c>
      <c r="AZ43" s="12">
        <v>220703.80952305984</v>
      </c>
      <c r="BA43" s="10">
        <f t="shared" si="11"/>
        <v>99</v>
      </c>
      <c r="BB43" s="12">
        <f t="shared" si="12"/>
        <v>102294.28571391986</v>
      </c>
      <c r="BC43" s="11">
        <f t="shared" si="13"/>
        <v>0.86390251749347724</v>
      </c>
      <c r="BE43" s="14"/>
      <c r="BF43" s="13" t="s">
        <v>10</v>
      </c>
      <c r="BG43" s="10">
        <v>247</v>
      </c>
      <c r="BH43" s="12">
        <v>220738.09523733999</v>
      </c>
      <c r="BI43" s="10">
        <f t="shared" si="14"/>
        <v>22</v>
      </c>
      <c r="BJ43" s="12">
        <f t="shared" si="15"/>
        <v>34.285714280151296</v>
      </c>
      <c r="BK43" s="11">
        <f t="shared" si="16"/>
        <v>1.5534717934521659E-4</v>
      </c>
      <c r="BM43" s="14"/>
      <c r="BN43" s="13" t="s">
        <v>10</v>
      </c>
      <c r="BO43" s="10">
        <v>133</v>
      </c>
      <c r="BP43" s="12">
        <v>111602.85714242996</v>
      </c>
      <c r="BQ43" s="10">
        <f t="shared" si="17"/>
        <v>-114</v>
      </c>
      <c r="BR43" s="12">
        <f t="shared" si="18"/>
        <v>-109135.23809491003</v>
      </c>
      <c r="BS43" s="11">
        <f t="shared" si="19"/>
        <v>-0.4944105274513973</v>
      </c>
      <c r="BU43" s="14"/>
      <c r="BV43" s="13" t="s">
        <v>10</v>
      </c>
      <c r="BW43" s="10">
        <v>78</v>
      </c>
      <c r="BX43" s="12">
        <v>82412.380952079999</v>
      </c>
      <c r="BY43" s="10">
        <f t="shared" si="23"/>
        <v>-55</v>
      </c>
      <c r="BZ43" s="12">
        <f t="shared" si="21"/>
        <v>-29190.47619034996</v>
      </c>
      <c r="CA43" s="11">
        <f t="shared" si="22"/>
        <v>-0.26155671044421785</v>
      </c>
      <c r="CC43" s="14"/>
      <c r="CD43" s="13"/>
      <c r="CF43" s="12"/>
      <c r="CH43" s="12"/>
      <c r="CI43" s="11"/>
      <c r="CK43" s="14"/>
      <c r="CL43" s="13"/>
      <c r="CN43" s="12"/>
      <c r="CP43" s="12"/>
      <c r="CQ43" s="11"/>
      <c r="CS43" s="14"/>
      <c r="CT43" s="13"/>
      <c r="CV43" s="12"/>
      <c r="CX43" s="12"/>
      <c r="CY43" s="11"/>
    </row>
    <row r="44" spans="1:103" s="10" customFormat="1" ht="20" customHeight="1">
      <c r="A44" s="14"/>
      <c r="B44" s="13" t="s">
        <v>9</v>
      </c>
      <c r="C44" s="10">
        <v>61</v>
      </c>
      <c r="D44" s="12">
        <v>66535.238095139983</v>
      </c>
      <c r="F44" s="12"/>
      <c r="G44" s="11"/>
      <c r="I44" s="14"/>
      <c r="J44" s="13" t="s">
        <v>9</v>
      </c>
      <c r="K44" s="10">
        <v>83</v>
      </c>
      <c r="L44" s="12">
        <v>94194.285714169979</v>
      </c>
      <c r="M44" s="10">
        <f t="shared" si="0"/>
        <v>22</v>
      </c>
      <c r="N44" s="12">
        <f t="shared" si="0"/>
        <v>27659.047619029996</v>
      </c>
      <c r="O44" s="11">
        <f t="shared" si="1"/>
        <v>0.41570524748825288</v>
      </c>
      <c r="Q44" s="14"/>
      <c r="R44" s="13" t="s">
        <v>9</v>
      </c>
      <c r="S44" s="10">
        <v>73</v>
      </c>
      <c r="T44" s="12">
        <v>69238.09523798</v>
      </c>
      <c r="U44" s="10">
        <f t="shared" si="2"/>
        <v>-10</v>
      </c>
      <c r="V44" s="12">
        <f t="shared" si="3"/>
        <v>-24956.190476189979</v>
      </c>
      <c r="W44" s="11">
        <f t="shared" si="4"/>
        <v>-0.26494378387154893</v>
      </c>
      <c r="Y44" s="14"/>
      <c r="Z44" s="13" t="s">
        <v>9</v>
      </c>
      <c r="AA44" s="10">
        <v>69</v>
      </c>
      <c r="AB44" s="12">
        <v>61968.57142848002</v>
      </c>
      <c r="AC44" s="10">
        <f t="shared" si="5"/>
        <v>-4</v>
      </c>
      <c r="AD44" s="12">
        <f t="shared" si="5"/>
        <v>-7269.5238094999804</v>
      </c>
      <c r="AE44" s="11">
        <f t="shared" si="6"/>
        <v>-0.10499312242073842</v>
      </c>
      <c r="AG44" s="14"/>
      <c r="AH44" s="13" t="s">
        <v>9</v>
      </c>
      <c r="AI44" s="13">
        <v>95</v>
      </c>
      <c r="AJ44" s="10">
        <v>93963.809523709991</v>
      </c>
      <c r="AK44" s="10">
        <f t="shared" si="7"/>
        <v>26</v>
      </c>
      <c r="AL44" s="12">
        <f t="shared" si="7"/>
        <v>31995.238095229972</v>
      </c>
      <c r="AM44" s="11">
        <f t="shared" si="8"/>
        <v>0.51631395331029595</v>
      </c>
      <c r="AO44" s="14"/>
      <c r="AP44" s="13" t="s">
        <v>9</v>
      </c>
      <c r="AQ44" s="10">
        <v>84</v>
      </c>
      <c r="AR44" s="12">
        <v>107801.9047618</v>
      </c>
      <c r="AS44" s="10">
        <f t="shared" si="9"/>
        <v>-11</v>
      </c>
      <c r="AT44" s="12">
        <f t="shared" si="9"/>
        <v>13838.095238090013</v>
      </c>
      <c r="AU44" s="11">
        <f t="shared" si="10"/>
        <v>0.1472704790092427</v>
      </c>
      <c r="AW44" s="14"/>
      <c r="AX44" s="13" t="s">
        <v>9</v>
      </c>
      <c r="AY44" s="10">
        <v>114</v>
      </c>
      <c r="AZ44" s="12">
        <v>130898.09523798001</v>
      </c>
      <c r="BA44" s="10">
        <f t="shared" si="11"/>
        <v>30</v>
      </c>
      <c r="BB44" s="12">
        <f t="shared" si="12"/>
        <v>23096.190476180011</v>
      </c>
      <c r="BC44" s="11">
        <f t="shared" si="13"/>
        <v>0.21424658986511924</v>
      </c>
      <c r="BE44" s="14"/>
      <c r="BF44" s="13" t="s">
        <v>9</v>
      </c>
      <c r="BG44" s="10">
        <v>167</v>
      </c>
      <c r="BH44" s="12">
        <v>158117.14285702998</v>
      </c>
      <c r="BI44" s="10">
        <f t="shared" si="14"/>
        <v>53</v>
      </c>
      <c r="BJ44" s="12">
        <f t="shared" si="15"/>
        <v>27219.047619049961</v>
      </c>
      <c r="BK44" s="11">
        <f t="shared" si="16"/>
        <v>0.2079407463459588</v>
      </c>
      <c r="BM44" s="14"/>
      <c r="BN44" s="13" t="s">
        <v>9</v>
      </c>
      <c r="BO44" s="10">
        <v>82</v>
      </c>
      <c r="BP44" s="12">
        <v>76159.047618940007</v>
      </c>
      <c r="BQ44" s="10">
        <f t="shared" si="17"/>
        <v>-85</v>
      </c>
      <c r="BR44" s="12">
        <f t="shared" si="18"/>
        <v>-81958.095238089969</v>
      </c>
      <c r="BS44" s="11">
        <f t="shared" si="19"/>
        <v>-0.51833782066373879</v>
      </c>
      <c r="BU44" s="14"/>
      <c r="BV44" s="13" t="s">
        <v>9</v>
      </c>
      <c r="BW44" s="10">
        <v>85</v>
      </c>
      <c r="BX44" s="12">
        <v>90152.380952249994</v>
      </c>
      <c r="BY44" s="10">
        <f t="shared" si="23"/>
        <v>3</v>
      </c>
      <c r="BZ44" s="12">
        <f t="shared" si="21"/>
        <v>13993.333333309987</v>
      </c>
      <c r="CA44" s="11">
        <f t="shared" si="22"/>
        <v>0.18373829204542183</v>
      </c>
      <c r="CC44" s="14"/>
      <c r="CD44" s="13"/>
      <c r="CF44" s="12"/>
      <c r="CH44" s="12"/>
      <c r="CI44" s="11"/>
      <c r="CK44" s="14"/>
      <c r="CL44" s="13"/>
      <c r="CN44" s="12"/>
      <c r="CP44" s="12"/>
      <c r="CQ44" s="11"/>
      <c r="CS44" s="14"/>
      <c r="CT44" s="13"/>
      <c r="CV44" s="12"/>
      <c r="CX44" s="12"/>
      <c r="CY44" s="11"/>
    </row>
    <row r="45" spans="1:103" s="10" customFormat="1" ht="20" customHeight="1">
      <c r="A45" s="14"/>
      <c r="B45" s="13" t="s">
        <v>8</v>
      </c>
      <c r="C45" s="10">
        <v>20</v>
      </c>
      <c r="D45" s="12">
        <v>130881.90476189999</v>
      </c>
      <c r="F45" s="12"/>
      <c r="G45" s="11"/>
      <c r="I45" s="14"/>
      <c r="J45" s="13" t="s">
        <v>8</v>
      </c>
      <c r="K45" s="10">
        <v>17</v>
      </c>
      <c r="L45" s="12">
        <v>102695.23809522</v>
      </c>
      <c r="M45" s="10">
        <f t="shared" si="0"/>
        <v>-3</v>
      </c>
      <c r="N45" s="12">
        <f t="shared" si="0"/>
        <v>-28186.666666679987</v>
      </c>
      <c r="O45" s="11">
        <f t="shared" si="1"/>
        <v>-0.2153595389519819</v>
      </c>
      <c r="Q45" s="14"/>
      <c r="R45" s="13" t="s">
        <v>8</v>
      </c>
      <c r="S45" s="10">
        <v>10</v>
      </c>
      <c r="T45" s="12">
        <v>75619.047619040008</v>
      </c>
      <c r="U45" s="10">
        <f t="shared" si="2"/>
        <v>-7</v>
      </c>
      <c r="V45" s="12">
        <f t="shared" si="3"/>
        <v>-27076.190476179996</v>
      </c>
      <c r="W45" s="11">
        <f t="shared" si="4"/>
        <v>-0.2636557544282111</v>
      </c>
      <c r="Y45" s="14"/>
      <c r="Z45" s="13" t="s">
        <v>8</v>
      </c>
      <c r="AA45" s="10">
        <v>16</v>
      </c>
      <c r="AB45" s="12">
        <v>104419.04761903</v>
      </c>
      <c r="AC45" s="10">
        <f t="shared" si="5"/>
        <v>6</v>
      </c>
      <c r="AD45" s="12">
        <f t="shared" si="5"/>
        <v>28799.999999989988</v>
      </c>
      <c r="AE45" s="11">
        <f t="shared" si="6"/>
        <v>0.38085642317370949</v>
      </c>
      <c r="AG45" s="14"/>
      <c r="AH45" s="13" t="s">
        <v>8</v>
      </c>
      <c r="AI45" s="13">
        <v>30</v>
      </c>
      <c r="AJ45" s="10">
        <v>192952.38095237</v>
      </c>
      <c r="AK45" s="10">
        <f t="shared" si="7"/>
        <v>14</v>
      </c>
      <c r="AL45" s="12">
        <f t="shared" si="7"/>
        <v>88533.333333340008</v>
      </c>
      <c r="AM45" s="11">
        <f t="shared" si="8"/>
        <v>0.84786574242997714</v>
      </c>
      <c r="AO45" s="14"/>
      <c r="AP45" s="13" t="s">
        <v>8</v>
      </c>
      <c r="AQ45" s="10">
        <v>18</v>
      </c>
      <c r="AR45" s="12">
        <v>98876.190476169999</v>
      </c>
      <c r="AS45" s="10">
        <f t="shared" si="9"/>
        <v>-12</v>
      </c>
      <c r="AT45" s="12">
        <f t="shared" si="9"/>
        <v>-94076.190476200005</v>
      </c>
      <c r="AU45" s="11">
        <f t="shared" si="10"/>
        <v>-0.48756169792702669</v>
      </c>
      <c r="AW45" s="14"/>
      <c r="AX45" s="13" t="s">
        <v>8</v>
      </c>
      <c r="AY45" s="10">
        <v>34</v>
      </c>
      <c r="AZ45" s="12">
        <v>220830.47619045997</v>
      </c>
      <c r="BA45" s="10">
        <f t="shared" si="11"/>
        <v>16</v>
      </c>
      <c r="BB45" s="12">
        <f t="shared" si="12"/>
        <v>121954.28571428997</v>
      </c>
      <c r="BC45" s="11">
        <f t="shared" si="13"/>
        <v>1.2334039684071565</v>
      </c>
      <c r="BE45" s="14"/>
      <c r="BF45" s="13" t="s">
        <v>8</v>
      </c>
      <c r="BG45" s="10">
        <v>56</v>
      </c>
      <c r="BH45" s="12">
        <v>353478.09523808002</v>
      </c>
      <c r="BI45" s="10">
        <f t="shared" si="14"/>
        <v>22</v>
      </c>
      <c r="BJ45" s="12">
        <f t="shared" si="15"/>
        <v>132647.61904762004</v>
      </c>
      <c r="BK45" s="11">
        <f t="shared" si="16"/>
        <v>0.60067623516427715</v>
      </c>
      <c r="BM45" s="14"/>
      <c r="BN45" s="13" t="s">
        <v>8</v>
      </c>
      <c r="BO45" s="10">
        <v>16</v>
      </c>
      <c r="BP45" s="12">
        <v>104990.47619047001</v>
      </c>
      <c r="BQ45" s="10">
        <f t="shared" si="17"/>
        <v>-40</v>
      </c>
      <c r="BR45" s="12">
        <f t="shared" si="18"/>
        <v>-248487.61904761</v>
      </c>
      <c r="BS45" s="11">
        <f t="shared" si="19"/>
        <v>-0.70297883346984991</v>
      </c>
      <c r="BU45" s="14"/>
      <c r="BV45" s="13" t="s">
        <v>8</v>
      </c>
      <c r="BW45" s="10">
        <v>14</v>
      </c>
      <c r="BX45" s="12">
        <v>92723.80952380001</v>
      </c>
      <c r="BY45" s="10">
        <f t="shared" si="23"/>
        <v>-2</v>
      </c>
      <c r="BZ45" s="12">
        <f t="shared" si="21"/>
        <v>-12266.666666670004</v>
      </c>
      <c r="CA45" s="11">
        <f t="shared" si="22"/>
        <v>-0.11683599419452342</v>
      </c>
      <c r="CC45" s="14"/>
      <c r="CD45" s="13"/>
      <c r="CF45" s="12"/>
      <c r="CH45" s="12"/>
      <c r="CI45" s="11"/>
      <c r="CK45" s="14"/>
      <c r="CL45" s="13"/>
      <c r="CN45" s="12"/>
      <c r="CP45" s="12"/>
      <c r="CQ45" s="11"/>
      <c r="CS45" s="14"/>
      <c r="CT45" s="13"/>
      <c r="CV45" s="12"/>
      <c r="CX45" s="12"/>
      <c r="CY45" s="11"/>
    </row>
    <row r="46" spans="1:103" s="10" customFormat="1" ht="20" customHeight="1">
      <c r="A46" s="14"/>
      <c r="B46" s="13" t="s">
        <v>7</v>
      </c>
      <c r="C46" s="10">
        <v>9</v>
      </c>
      <c r="D46" s="12">
        <v>109619.04761902001</v>
      </c>
      <c r="F46" s="12"/>
      <c r="G46" s="11"/>
      <c r="I46" s="14"/>
      <c r="J46" s="13" t="s">
        <v>7</v>
      </c>
      <c r="K46" s="10">
        <v>11</v>
      </c>
      <c r="L46" s="12">
        <v>129904.76190472</v>
      </c>
      <c r="M46" s="10">
        <f t="shared" si="0"/>
        <v>2</v>
      </c>
      <c r="N46" s="12">
        <f t="shared" si="0"/>
        <v>20285.714285699985</v>
      </c>
      <c r="O46" s="11">
        <f t="shared" si="1"/>
        <v>0.18505647263240962</v>
      </c>
      <c r="Q46" s="14"/>
      <c r="R46" s="13" t="s">
        <v>7</v>
      </c>
      <c r="S46" s="10">
        <v>15</v>
      </c>
      <c r="T46" s="12">
        <v>170952.38095232999</v>
      </c>
      <c r="U46" s="10">
        <f t="shared" si="2"/>
        <v>4</v>
      </c>
      <c r="V46" s="12">
        <f t="shared" si="3"/>
        <v>41047.619047609987</v>
      </c>
      <c r="W46" s="11">
        <f t="shared" si="4"/>
        <v>0.3159824046921143</v>
      </c>
      <c r="Y46" s="14"/>
      <c r="Z46" s="13" t="s">
        <v>7</v>
      </c>
      <c r="AA46" s="10">
        <v>12</v>
      </c>
      <c r="AB46" s="12">
        <v>145047.61904759001</v>
      </c>
      <c r="AC46" s="10">
        <f t="shared" si="5"/>
        <v>-3</v>
      </c>
      <c r="AD46" s="12">
        <f t="shared" si="5"/>
        <v>-25904.761904739978</v>
      </c>
      <c r="AE46" s="11">
        <f t="shared" si="6"/>
        <v>-0.15153203342610075</v>
      </c>
      <c r="AG46" s="14"/>
      <c r="AH46" s="13" t="s">
        <v>7</v>
      </c>
      <c r="AI46" s="13">
        <v>15</v>
      </c>
      <c r="AJ46" s="10">
        <v>200476.19047614001</v>
      </c>
      <c r="AK46" s="10">
        <f t="shared" si="7"/>
        <v>3</v>
      </c>
      <c r="AL46" s="12">
        <f t="shared" si="7"/>
        <v>55428.57142855</v>
      </c>
      <c r="AM46" s="11">
        <f t="shared" si="8"/>
        <v>0.38214051214700689</v>
      </c>
      <c r="AO46" s="14"/>
      <c r="AP46" s="13" t="s">
        <v>7</v>
      </c>
      <c r="AQ46" s="10">
        <v>10</v>
      </c>
      <c r="AR46" s="12">
        <v>109523.80952378</v>
      </c>
      <c r="AS46" s="10">
        <f t="shared" si="9"/>
        <v>-5</v>
      </c>
      <c r="AT46" s="12">
        <f t="shared" si="9"/>
        <v>-90952.380952360007</v>
      </c>
      <c r="AU46" s="11">
        <f t="shared" si="10"/>
        <v>-0.45368171021378645</v>
      </c>
      <c r="AW46" s="14"/>
      <c r="AX46" s="13" t="s">
        <v>7</v>
      </c>
      <c r="AY46" s="10">
        <v>24</v>
      </c>
      <c r="AZ46" s="12">
        <v>269142.8571428</v>
      </c>
      <c r="BA46" s="10">
        <f t="shared" si="11"/>
        <v>14</v>
      </c>
      <c r="BB46" s="12">
        <f t="shared" si="12"/>
        <v>159619.04761901998</v>
      </c>
      <c r="BC46" s="11">
        <f t="shared" si="13"/>
        <v>1.4573913043479667</v>
      </c>
      <c r="BE46" s="14"/>
      <c r="BF46" s="13" t="s">
        <v>7</v>
      </c>
      <c r="BG46" s="10">
        <v>38</v>
      </c>
      <c r="BH46" s="12">
        <v>475904.76190470997</v>
      </c>
      <c r="BI46" s="10">
        <f t="shared" si="14"/>
        <v>14</v>
      </c>
      <c r="BJ46" s="12">
        <f t="shared" si="15"/>
        <v>206761.90476190997</v>
      </c>
      <c r="BK46" s="11">
        <f t="shared" si="16"/>
        <v>0.76822363765057167</v>
      </c>
      <c r="BM46" s="14"/>
      <c r="BN46" s="13" t="s">
        <v>7</v>
      </c>
      <c r="BO46" s="10">
        <v>8</v>
      </c>
      <c r="BP46" s="12">
        <v>92571.4285714</v>
      </c>
      <c r="BQ46" s="10">
        <f t="shared" si="17"/>
        <v>-30</v>
      </c>
      <c r="BR46" s="12">
        <f t="shared" si="18"/>
        <v>-383333.33333330997</v>
      </c>
      <c r="BS46" s="11">
        <f t="shared" si="19"/>
        <v>-0.80548328997402319</v>
      </c>
      <c r="BU46" s="14"/>
      <c r="BV46" s="13" t="s">
        <v>7</v>
      </c>
      <c r="BW46" s="10">
        <v>10</v>
      </c>
      <c r="BX46" s="12">
        <v>111428.57142854</v>
      </c>
      <c r="BY46" s="10">
        <f t="shared" si="23"/>
        <v>2</v>
      </c>
      <c r="BZ46" s="12">
        <f t="shared" si="21"/>
        <v>18857.142857140003</v>
      </c>
      <c r="CA46" s="11">
        <f t="shared" si="22"/>
        <v>0.20370370370373575</v>
      </c>
      <c r="CC46" s="14"/>
      <c r="CD46" s="13"/>
      <c r="CF46" s="12"/>
      <c r="CH46" s="12"/>
      <c r="CI46" s="11"/>
      <c r="CK46" s="14"/>
      <c r="CL46" s="13"/>
      <c r="CN46" s="12"/>
      <c r="CP46" s="12"/>
      <c r="CQ46" s="11"/>
      <c r="CS46" s="14"/>
      <c r="CT46" s="13"/>
      <c r="CV46" s="12"/>
      <c r="CX46" s="12"/>
      <c r="CY46" s="11"/>
    </row>
    <row r="47" spans="1:103" s="10" customFormat="1" ht="20" customHeight="1">
      <c r="A47" s="14"/>
      <c r="B47" s="13" t="s">
        <v>6</v>
      </c>
      <c r="D47" s="12"/>
      <c r="F47" s="12"/>
      <c r="G47" s="11"/>
      <c r="I47" s="14"/>
      <c r="J47" s="13" t="s">
        <v>6</v>
      </c>
      <c r="L47" s="12"/>
      <c r="M47" s="10">
        <f t="shared" si="0"/>
        <v>0</v>
      </c>
      <c r="N47" s="12">
        <f t="shared" si="0"/>
        <v>0</v>
      </c>
      <c r="O47" s="11" t="e">
        <f t="shared" si="1"/>
        <v>#DIV/0!</v>
      </c>
      <c r="Q47" s="14"/>
      <c r="R47" s="13" t="s">
        <v>6</v>
      </c>
      <c r="S47" s="10">
        <v>1</v>
      </c>
      <c r="T47" s="12">
        <v>2657.1428571400002</v>
      </c>
      <c r="U47" s="10">
        <f t="shared" si="2"/>
        <v>1</v>
      </c>
      <c r="V47" s="12">
        <f t="shared" si="3"/>
        <v>2657.1428571400002</v>
      </c>
      <c r="W47" s="11" t="e">
        <f t="shared" si="4"/>
        <v>#DIV/0!</v>
      </c>
      <c r="Y47" s="14"/>
      <c r="Z47" s="13" t="s">
        <v>6</v>
      </c>
      <c r="AA47" s="10">
        <v>3</v>
      </c>
      <c r="AB47" s="12">
        <v>8571.4285714200014</v>
      </c>
      <c r="AC47" s="10">
        <f t="shared" si="5"/>
        <v>2</v>
      </c>
      <c r="AD47" s="12">
        <f t="shared" si="5"/>
        <v>5914.2857142800012</v>
      </c>
      <c r="AE47" s="11">
        <f t="shared" si="6"/>
        <v>2.2258064516131464</v>
      </c>
      <c r="AG47" s="14"/>
      <c r="AH47" s="13" t="s">
        <v>6</v>
      </c>
      <c r="AI47" s="13">
        <v>1</v>
      </c>
      <c r="AJ47" s="10">
        <v>8857.1428571399993</v>
      </c>
      <c r="AK47" s="10">
        <f t="shared" si="7"/>
        <v>-2</v>
      </c>
      <c r="AL47" s="12">
        <f t="shared" si="7"/>
        <v>285.71428571999786</v>
      </c>
      <c r="AM47" s="11">
        <f t="shared" si="8"/>
        <v>3.3333333334033079E-2</v>
      </c>
      <c r="AO47" s="14"/>
      <c r="AP47" s="13" t="s">
        <v>6</v>
      </c>
      <c r="AQ47" s="10">
        <v>0</v>
      </c>
      <c r="AR47" s="12">
        <v>0</v>
      </c>
      <c r="AS47" s="10">
        <f t="shared" si="9"/>
        <v>-1</v>
      </c>
      <c r="AT47" s="12">
        <f t="shared" si="9"/>
        <v>-8857.1428571399993</v>
      </c>
      <c r="AU47" s="11">
        <f t="shared" si="10"/>
        <v>-1</v>
      </c>
      <c r="AW47" s="14"/>
      <c r="AX47" s="13" t="s">
        <v>6</v>
      </c>
      <c r="AY47" s="10">
        <v>3</v>
      </c>
      <c r="AZ47" s="12">
        <v>26571.428571420001</v>
      </c>
      <c r="BA47" s="10">
        <f t="shared" si="11"/>
        <v>3</v>
      </c>
      <c r="BB47" s="12">
        <f t="shared" si="12"/>
        <v>26571.428571420001</v>
      </c>
      <c r="BC47" s="11" t="e">
        <f t="shared" si="13"/>
        <v>#DIV/0!</v>
      </c>
      <c r="BE47" s="14"/>
      <c r="BF47" s="13" t="s">
        <v>6</v>
      </c>
      <c r="BG47" s="10">
        <v>1</v>
      </c>
      <c r="BH47" s="12">
        <v>8857.1428571399993</v>
      </c>
      <c r="BI47" s="10">
        <f t="shared" si="14"/>
        <v>-2</v>
      </c>
      <c r="BJ47" s="12">
        <f t="shared" si="15"/>
        <v>-17714.285714280002</v>
      </c>
      <c r="BK47" s="11">
        <f t="shared" si="16"/>
        <v>-0.66666666666666674</v>
      </c>
      <c r="BM47" s="14"/>
      <c r="BN47" s="13" t="s">
        <v>6</v>
      </c>
      <c r="BP47" s="12"/>
      <c r="BQ47" s="10">
        <f t="shared" si="17"/>
        <v>-1</v>
      </c>
      <c r="BR47" s="12">
        <f t="shared" si="18"/>
        <v>-8857.1428571399993</v>
      </c>
      <c r="BS47" s="11">
        <f t="shared" si="19"/>
        <v>-1</v>
      </c>
      <c r="BU47" s="14"/>
      <c r="BV47" s="13" t="s">
        <v>6</v>
      </c>
      <c r="BX47" s="12"/>
      <c r="BY47" s="10">
        <f t="shared" si="23"/>
        <v>0</v>
      </c>
      <c r="BZ47" s="12">
        <f t="shared" si="21"/>
        <v>0</v>
      </c>
      <c r="CA47" s="11" t="e">
        <f t="shared" si="22"/>
        <v>#DIV/0!</v>
      </c>
      <c r="CC47" s="14"/>
      <c r="CD47" s="13"/>
      <c r="CF47" s="12"/>
      <c r="CH47" s="12"/>
      <c r="CI47" s="11"/>
      <c r="CK47" s="14"/>
      <c r="CL47" s="13"/>
      <c r="CN47" s="12"/>
      <c r="CP47" s="12"/>
      <c r="CQ47" s="11"/>
      <c r="CS47" s="14"/>
      <c r="CT47" s="13"/>
      <c r="CV47" s="12"/>
      <c r="CX47" s="12"/>
      <c r="CY47" s="11"/>
    </row>
    <row r="48" spans="1:103" s="10" customFormat="1" ht="20" customHeight="1">
      <c r="A48" s="14"/>
      <c r="B48" s="13" t="s">
        <v>5</v>
      </c>
      <c r="C48" s="10">
        <v>1</v>
      </c>
      <c r="D48" s="12">
        <v>6390</v>
      </c>
      <c r="F48" s="12"/>
      <c r="G48" s="11"/>
      <c r="I48" s="14"/>
      <c r="J48" s="13" t="s">
        <v>5</v>
      </c>
      <c r="K48" s="10">
        <v>1</v>
      </c>
      <c r="L48" s="12">
        <v>6390</v>
      </c>
      <c r="M48" s="10">
        <f t="shared" si="0"/>
        <v>0</v>
      </c>
      <c r="N48" s="12">
        <f t="shared" si="0"/>
        <v>0</v>
      </c>
      <c r="O48" s="11">
        <f t="shared" si="1"/>
        <v>0</v>
      </c>
      <c r="Q48" s="14"/>
      <c r="R48" s="13" t="s">
        <v>5</v>
      </c>
      <c r="S48" s="10">
        <v>2</v>
      </c>
      <c r="T48" s="12">
        <v>14580</v>
      </c>
      <c r="U48" s="10">
        <f t="shared" si="2"/>
        <v>1</v>
      </c>
      <c r="V48" s="12">
        <f t="shared" si="3"/>
        <v>8190</v>
      </c>
      <c r="W48" s="11">
        <f t="shared" si="4"/>
        <v>1.2816901408450705</v>
      </c>
      <c r="Y48" s="14"/>
      <c r="Z48" s="13" t="s">
        <v>5</v>
      </c>
      <c r="AA48" s="10">
        <v>5</v>
      </c>
      <c r="AB48" s="12">
        <v>18350</v>
      </c>
      <c r="AC48" s="10">
        <f t="shared" si="5"/>
        <v>3</v>
      </c>
      <c r="AD48" s="12">
        <f t="shared" si="5"/>
        <v>3770</v>
      </c>
      <c r="AE48" s="11">
        <f t="shared" si="6"/>
        <v>0.25857338820301784</v>
      </c>
      <c r="AG48" s="14"/>
      <c r="AH48" s="13" t="s">
        <v>5</v>
      </c>
      <c r="AI48" s="13">
        <v>5</v>
      </c>
      <c r="AJ48" s="10">
        <v>21850</v>
      </c>
      <c r="AK48" s="10">
        <f t="shared" si="7"/>
        <v>0</v>
      </c>
      <c r="AL48" s="12">
        <f t="shared" si="7"/>
        <v>3500</v>
      </c>
      <c r="AM48" s="11">
        <f t="shared" si="8"/>
        <v>0.1907356948228883</v>
      </c>
      <c r="AO48" s="14"/>
      <c r="AP48" s="13" t="s">
        <v>5</v>
      </c>
      <c r="AQ48" s="10">
        <v>1</v>
      </c>
      <c r="AR48" s="12">
        <v>7290</v>
      </c>
      <c r="AS48" s="10">
        <f t="shared" si="9"/>
        <v>-4</v>
      </c>
      <c r="AT48" s="12">
        <f t="shared" si="9"/>
        <v>-14560</v>
      </c>
      <c r="AU48" s="11">
        <f t="shared" si="10"/>
        <v>-0.66636155606407321</v>
      </c>
      <c r="AW48" s="14"/>
      <c r="AX48" s="13" t="s">
        <v>5</v>
      </c>
      <c r="AY48" s="10">
        <v>4</v>
      </c>
      <c r="AZ48" s="12">
        <v>20260</v>
      </c>
      <c r="BA48" s="10">
        <f t="shared" si="11"/>
        <v>3</v>
      </c>
      <c r="BB48" s="12">
        <f t="shared" si="12"/>
        <v>12970</v>
      </c>
      <c r="BC48" s="11">
        <f t="shared" si="13"/>
        <v>1.7791495198902607</v>
      </c>
      <c r="BE48" s="14"/>
      <c r="BF48" s="13" t="s">
        <v>5</v>
      </c>
      <c r="BG48" s="10">
        <v>2</v>
      </c>
      <c r="BH48" s="12">
        <v>8080</v>
      </c>
      <c r="BI48" s="10">
        <f t="shared" si="14"/>
        <v>-2</v>
      </c>
      <c r="BJ48" s="12">
        <f t="shared" si="15"/>
        <v>-12180</v>
      </c>
      <c r="BK48" s="11">
        <f t="shared" si="16"/>
        <v>-0.60118460019743336</v>
      </c>
      <c r="BM48" s="14"/>
      <c r="BN48" s="13" t="s">
        <v>5</v>
      </c>
      <c r="BO48" s="10">
        <v>2</v>
      </c>
      <c r="BP48" s="12">
        <v>9780</v>
      </c>
      <c r="BQ48" s="10">
        <f t="shared" si="17"/>
        <v>0</v>
      </c>
      <c r="BR48" s="12">
        <f t="shared" si="18"/>
        <v>1700</v>
      </c>
      <c r="BS48" s="11">
        <f t="shared" si="19"/>
        <v>0.21039603960396039</v>
      </c>
      <c r="BU48" s="14"/>
      <c r="BV48" s="13" t="s">
        <v>5</v>
      </c>
      <c r="BW48" s="10">
        <v>1</v>
      </c>
      <c r="BX48" s="12">
        <v>6290</v>
      </c>
      <c r="BY48" s="10">
        <f t="shared" si="23"/>
        <v>-1</v>
      </c>
      <c r="BZ48" s="12">
        <f t="shared" si="21"/>
        <v>-3490</v>
      </c>
      <c r="CA48" s="11">
        <f t="shared" si="22"/>
        <v>-0.35685071574642124</v>
      </c>
      <c r="CC48" s="14"/>
      <c r="CD48" s="13"/>
      <c r="CF48" s="12"/>
      <c r="CH48" s="12"/>
      <c r="CI48" s="11"/>
      <c r="CK48" s="14"/>
      <c r="CL48" s="13"/>
      <c r="CN48" s="12"/>
      <c r="CP48" s="12"/>
      <c r="CQ48" s="11"/>
      <c r="CS48" s="14"/>
      <c r="CT48" s="13"/>
      <c r="CV48" s="12"/>
      <c r="CX48" s="12"/>
      <c r="CY48" s="11"/>
    </row>
    <row r="49" spans="1:103" s="10" customFormat="1" ht="20" customHeight="1">
      <c r="A49" s="14"/>
      <c r="B49" s="13" t="s">
        <v>4</v>
      </c>
      <c r="C49" s="10">
        <v>3</v>
      </c>
      <c r="D49" s="12">
        <v>103999.99999999</v>
      </c>
      <c r="F49" s="12"/>
      <c r="G49" s="11"/>
      <c r="I49" s="14"/>
      <c r="J49" s="13" t="s">
        <v>4</v>
      </c>
      <c r="K49" s="10">
        <v>2</v>
      </c>
      <c r="L49" s="12">
        <v>95047.619047610002</v>
      </c>
      <c r="M49" s="10">
        <f t="shared" si="0"/>
        <v>-1</v>
      </c>
      <c r="N49" s="12">
        <f t="shared" si="0"/>
        <v>-8952.380952380001</v>
      </c>
      <c r="O49" s="11">
        <f t="shared" si="1"/>
        <v>-8.6080586080585206E-2</v>
      </c>
      <c r="Q49" s="14"/>
      <c r="R49" s="13" t="s">
        <v>4</v>
      </c>
      <c r="S49" s="10">
        <v>4</v>
      </c>
      <c r="T49" s="12">
        <v>145539.99999998999</v>
      </c>
      <c r="U49" s="10">
        <f t="shared" si="2"/>
        <v>2</v>
      </c>
      <c r="V49" s="12">
        <f t="shared" si="3"/>
        <v>50492.380952379986</v>
      </c>
      <c r="W49" s="11">
        <f t="shared" si="4"/>
        <v>0.53123246492990006</v>
      </c>
      <c r="Y49" s="14"/>
      <c r="Z49" s="13" t="s">
        <v>4</v>
      </c>
      <c r="AA49" s="10">
        <v>2</v>
      </c>
      <c r="AB49" s="12">
        <v>79333.333333329996</v>
      </c>
      <c r="AC49" s="10">
        <f t="shared" si="5"/>
        <v>-2</v>
      </c>
      <c r="AD49" s="12">
        <f t="shared" si="5"/>
        <v>-66206.666666659992</v>
      </c>
      <c r="AE49" s="11">
        <f t="shared" si="6"/>
        <v>-0.45490357748154836</v>
      </c>
      <c r="AG49" s="14"/>
      <c r="AH49" s="13" t="s">
        <v>4</v>
      </c>
      <c r="AI49" s="13">
        <v>2</v>
      </c>
      <c r="AJ49" s="10">
        <v>76000</v>
      </c>
      <c r="AK49" s="10">
        <f t="shared" si="7"/>
        <v>0</v>
      </c>
      <c r="AL49" s="12">
        <f t="shared" si="7"/>
        <v>-3333.3333333299961</v>
      </c>
      <c r="AM49" s="11">
        <f t="shared" si="8"/>
        <v>-4.2016806722648778E-2</v>
      </c>
      <c r="AO49" s="14"/>
      <c r="AP49" s="13" t="s">
        <v>4</v>
      </c>
      <c r="AQ49" s="10">
        <v>3</v>
      </c>
      <c r="AR49" s="12">
        <v>117073.33333333</v>
      </c>
      <c r="AS49" s="10">
        <f t="shared" si="9"/>
        <v>1</v>
      </c>
      <c r="AT49" s="12">
        <f t="shared" si="9"/>
        <v>41073.333333329996</v>
      </c>
      <c r="AU49" s="11">
        <f t="shared" si="10"/>
        <v>0.5404385964911842</v>
      </c>
      <c r="AW49" s="14"/>
      <c r="AX49" s="13" t="s">
        <v>4</v>
      </c>
      <c r="AY49" s="10">
        <v>1</v>
      </c>
      <c r="AZ49" s="12">
        <v>34666.666666659999</v>
      </c>
      <c r="BA49" s="10">
        <f t="shared" si="11"/>
        <v>-2</v>
      </c>
      <c r="BB49" s="12">
        <f t="shared" si="12"/>
        <v>-82406.666666670004</v>
      </c>
      <c r="BC49" s="11">
        <f t="shared" si="13"/>
        <v>-0.70388930015379836</v>
      </c>
      <c r="BE49" s="14"/>
      <c r="BF49" s="13" t="s">
        <v>4</v>
      </c>
      <c r="BG49" s="10">
        <v>4</v>
      </c>
      <c r="BH49" s="12">
        <v>163142.85714283999</v>
      </c>
      <c r="BI49" s="10">
        <f t="shared" si="14"/>
        <v>3</v>
      </c>
      <c r="BJ49" s="12">
        <f t="shared" si="15"/>
        <v>128476.19047618</v>
      </c>
      <c r="BK49" s="11">
        <f t="shared" si="16"/>
        <v>3.7060439560443665</v>
      </c>
      <c r="BM49" s="14"/>
      <c r="BN49" s="13" t="s">
        <v>4</v>
      </c>
      <c r="BO49" s="10">
        <v>3</v>
      </c>
      <c r="BP49" s="12">
        <v>105428.57142856001</v>
      </c>
      <c r="BQ49" s="10">
        <f t="shared" si="17"/>
        <v>-1</v>
      </c>
      <c r="BR49" s="12">
        <f t="shared" si="18"/>
        <v>-57714.285714279977</v>
      </c>
      <c r="BS49" s="11">
        <f t="shared" si="19"/>
        <v>-0.35376532399299676</v>
      </c>
      <c r="BU49" s="14"/>
      <c r="BV49" s="13" t="s">
        <v>4</v>
      </c>
      <c r="BW49" s="10">
        <v>2</v>
      </c>
      <c r="BX49" s="12">
        <v>52168.571428559997</v>
      </c>
      <c r="BY49" s="10">
        <f t="shared" si="23"/>
        <v>-1</v>
      </c>
      <c r="BZ49" s="12">
        <f t="shared" si="21"/>
        <v>-53260.000000000015</v>
      </c>
      <c r="CA49" s="11">
        <f t="shared" si="22"/>
        <v>-0.50517615176157249</v>
      </c>
      <c r="CC49" s="14"/>
      <c r="CD49" s="13"/>
      <c r="CF49" s="12"/>
      <c r="CH49" s="12"/>
      <c r="CI49" s="11"/>
      <c r="CK49" s="14"/>
      <c r="CL49" s="13"/>
      <c r="CN49" s="12"/>
      <c r="CP49" s="12"/>
      <c r="CQ49" s="11"/>
      <c r="CS49" s="14"/>
      <c r="CT49" s="13"/>
      <c r="CV49" s="12"/>
      <c r="CX49" s="12"/>
      <c r="CY49" s="11"/>
    </row>
    <row r="50" spans="1:103" s="10" customFormat="1" ht="20" customHeight="1">
      <c r="A50" s="14"/>
      <c r="B50" s="13" t="s">
        <v>3</v>
      </c>
      <c r="C50" s="10">
        <v>16</v>
      </c>
      <c r="D50" s="12">
        <v>298814.28571426001</v>
      </c>
      <c r="F50" s="12"/>
      <c r="G50" s="11"/>
      <c r="I50" s="14"/>
      <c r="J50" s="13" t="s">
        <v>3</v>
      </c>
      <c r="K50" s="10">
        <v>28</v>
      </c>
      <c r="L50" s="12">
        <v>388761.90476185997</v>
      </c>
      <c r="M50" s="10">
        <f t="shared" si="0"/>
        <v>12</v>
      </c>
      <c r="N50" s="12">
        <f t="shared" si="0"/>
        <v>89947.619047599961</v>
      </c>
      <c r="O50" s="11">
        <f t="shared" si="1"/>
        <v>0.30101512326492991</v>
      </c>
      <c r="Q50" s="14"/>
      <c r="R50" s="13" t="s">
        <v>3</v>
      </c>
      <c r="S50" s="10">
        <v>14</v>
      </c>
      <c r="T50" s="12">
        <v>243238.09523807</v>
      </c>
      <c r="U50" s="10">
        <f t="shared" si="2"/>
        <v>-14</v>
      </c>
      <c r="V50" s="12">
        <f t="shared" si="3"/>
        <v>-145523.80952378997</v>
      </c>
      <c r="W50" s="11">
        <f t="shared" si="4"/>
        <v>-0.37432631063203592</v>
      </c>
      <c r="Y50" s="14"/>
      <c r="Z50" s="13" t="s">
        <v>3</v>
      </c>
      <c r="AA50" s="10">
        <v>12</v>
      </c>
      <c r="AB50" s="12">
        <v>210380.95238090001</v>
      </c>
      <c r="AC50" s="10">
        <f t="shared" si="5"/>
        <v>-2</v>
      </c>
      <c r="AD50" s="12">
        <f t="shared" si="5"/>
        <v>-32857.142857169994</v>
      </c>
      <c r="AE50" s="11">
        <f t="shared" si="6"/>
        <v>-0.1350822239625375</v>
      </c>
      <c r="AG50" s="14"/>
      <c r="AH50" s="13" t="s">
        <v>3</v>
      </c>
      <c r="AI50" s="13">
        <v>18</v>
      </c>
      <c r="AJ50" s="10">
        <v>352190.47619044001</v>
      </c>
      <c r="AK50" s="10">
        <f t="shared" si="7"/>
        <v>6</v>
      </c>
      <c r="AL50" s="12">
        <f t="shared" si="7"/>
        <v>141809.52380954</v>
      </c>
      <c r="AM50" s="11">
        <f t="shared" si="8"/>
        <v>0.67406066093279338</v>
      </c>
      <c r="AO50" s="14"/>
      <c r="AP50" s="13" t="s">
        <v>3</v>
      </c>
      <c r="AQ50" s="10">
        <v>15</v>
      </c>
      <c r="AR50" s="12">
        <v>263619.04761900997</v>
      </c>
      <c r="AS50" s="10">
        <f t="shared" si="9"/>
        <v>-3</v>
      </c>
      <c r="AT50" s="12">
        <f t="shared" si="9"/>
        <v>-88571.428571430035</v>
      </c>
      <c r="AU50" s="11">
        <f t="shared" si="10"/>
        <v>-0.25148729042728796</v>
      </c>
      <c r="AW50" s="14"/>
      <c r="AX50" s="13" t="s">
        <v>3</v>
      </c>
      <c r="AY50" s="10">
        <v>18</v>
      </c>
      <c r="AZ50" s="12">
        <v>381333.33333328995</v>
      </c>
      <c r="BA50" s="10">
        <f t="shared" si="11"/>
        <v>3</v>
      </c>
      <c r="BB50" s="12">
        <f t="shared" si="12"/>
        <v>117714.28571427998</v>
      </c>
      <c r="BC50" s="11">
        <f t="shared" si="13"/>
        <v>0.44653179190755643</v>
      </c>
      <c r="BE50" s="14"/>
      <c r="BF50" s="13" t="s">
        <v>3</v>
      </c>
      <c r="BG50" s="10">
        <v>25</v>
      </c>
      <c r="BH50" s="12">
        <v>401333.33333329001</v>
      </c>
      <c r="BI50" s="10">
        <f t="shared" si="14"/>
        <v>7</v>
      </c>
      <c r="BJ50" s="12">
        <f t="shared" si="15"/>
        <v>20000.000000000058</v>
      </c>
      <c r="BK50" s="11">
        <f t="shared" si="16"/>
        <v>5.2447552447558568E-2</v>
      </c>
      <c r="BM50" s="14"/>
      <c r="BN50" s="13" t="s">
        <v>3</v>
      </c>
      <c r="BO50" s="10">
        <v>16</v>
      </c>
      <c r="BP50" s="12">
        <v>252666.66666663002</v>
      </c>
      <c r="BQ50" s="10">
        <f t="shared" si="17"/>
        <v>-9</v>
      </c>
      <c r="BR50" s="12">
        <f t="shared" si="18"/>
        <v>-148666.66666665999</v>
      </c>
      <c r="BS50" s="11">
        <f t="shared" si="19"/>
        <v>-0.370431893687731</v>
      </c>
      <c r="BU50" s="14"/>
      <c r="BV50" s="13" t="s">
        <v>3</v>
      </c>
      <c r="BW50" s="10">
        <v>10</v>
      </c>
      <c r="BX50" s="12">
        <v>166761.90476188</v>
      </c>
      <c r="BY50" s="10">
        <f t="shared" si="23"/>
        <v>-6</v>
      </c>
      <c r="BZ50" s="12">
        <f t="shared" si="21"/>
        <v>-85904.761904750019</v>
      </c>
      <c r="CA50" s="11">
        <f t="shared" si="22"/>
        <v>-0.33999246136449529</v>
      </c>
      <c r="CC50" s="14"/>
      <c r="CD50" s="13"/>
      <c r="CF50" s="12"/>
      <c r="CH50" s="12"/>
      <c r="CI50" s="11"/>
      <c r="CK50" s="14"/>
      <c r="CL50" s="13"/>
      <c r="CN50" s="12"/>
      <c r="CP50" s="12"/>
      <c r="CQ50" s="11"/>
      <c r="CS50" s="14"/>
      <c r="CT50" s="13"/>
      <c r="CV50" s="12"/>
      <c r="CX50" s="12"/>
      <c r="CY50" s="11"/>
    </row>
    <row r="51" spans="1:103" s="10" customFormat="1" ht="20" customHeight="1">
      <c r="A51" s="14"/>
      <c r="B51" s="13" t="s">
        <v>2</v>
      </c>
      <c r="C51" s="10">
        <v>34</v>
      </c>
      <c r="D51" s="12">
        <v>1193904.76190471</v>
      </c>
      <c r="F51" s="12"/>
      <c r="G51" s="11"/>
      <c r="I51" s="14"/>
      <c r="J51" s="13" t="s">
        <v>2</v>
      </c>
      <c r="K51" s="10">
        <v>33</v>
      </c>
      <c r="L51" s="12">
        <v>1211142.85714281</v>
      </c>
      <c r="M51" s="10">
        <f t="shared" si="0"/>
        <v>-1</v>
      </c>
      <c r="N51" s="12">
        <f t="shared" si="0"/>
        <v>17238.095238100039</v>
      </c>
      <c r="O51" s="11">
        <f t="shared" si="1"/>
        <v>1.4438417358013583E-2</v>
      </c>
      <c r="Q51" s="14"/>
      <c r="R51" s="13" t="s">
        <v>2</v>
      </c>
      <c r="S51" s="10">
        <v>32</v>
      </c>
      <c r="T51" s="12">
        <v>1259809.52380949</v>
      </c>
      <c r="U51" s="10">
        <f t="shared" si="2"/>
        <v>-1</v>
      </c>
      <c r="V51" s="12">
        <f t="shared" si="3"/>
        <v>48666.666666680016</v>
      </c>
      <c r="W51" s="11">
        <f t="shared" si="4"/>
        <v>4.0182432963761901E-2</v>
      </c>
      <c r="Y51" s="14"/>
      <c r="Z51" s="13" t="s">
        <v>2</v>
      </c>
      <c r="AA51" s="10">
        <v>23</v>
      </c>
      <c r="AB51" s="12">
        <v>832095.23809519992</v>
      </c>
      <c r="AC51" s="10">
        <f t="shared" si="5"/>
        <v>-9</v>
      </c>
      <c r="AD51" s="12">
        <f t="shared" si="5"/>
        <v>-427714.2857142901</v>
      </c>
      <c r="AE51" s="11">
        <f t="shared" si="6"/>
        <v>-0.33950710613850671</v>
      </c>
      <c r="AG51" s="14"/>
      <c r="AH51" s="13" t="s">
        <v>2</v>
      </c>
      <c r="AI51" s="13">
        <v>47</v>
      </c>
      <c r="AJ51" s="10">
        <v>1709809.5238094702</v>
      </c>
      <c r="AK51" s="10">
        <f t="shared" si="7"/>
        <v>24</v>
      </c>
      <c r="AL51" s="12">
        <f t="shared" si="7"/>
        <v>877714.28571427031</v>
      </c>
      <c r="AM51" s="11">
        <f t="shared" si="8"/>
        <v>1.0548243104040587</v>
      </c>
      <c r="AO51" s="14"/>
      <c r="AP51" s="13" t="s">
        <v>2</v>
      </c>
      <c r="AQ51" s="10">
        <v>27</v>
      </c>
      <c r="AR51" s="12">
        <v>964095.23809519992</v>
      </c>
      <c r="AS51" s="10">
        <f t="shared" si="9"/>
        <v>-20</v>
      </c>
      <c r="AT51" s="12">
        <f t="shared" si="9"/>
        <v>-745714.28571427031</v>
      </c>
      <c r="AU51" s="11">
        <f t="shared" si="10"/>
        <v>-0.4361388068846479</v>
      </c>
      <c r="AW51" s="14"/>
      <c r="AX51" s="13" t="s">
        <v>2</v>
      </c>
      <c r="AY51" s="10">
        <v>73</v>
      </c>
      <c r="AZ51" s="12">
        <v>2635909.5238094698</v>
      </c>
      <c r="BA51" s="10">
        <f t="shared" si="11"/>
        <v>46</v>
      </c>
      <c r="BB51" s="12">
        <f t="shared" si="12"/>
        <v>1671814.2857142698</v>
      </c>
      <c r="BC51" s="11">
        <f t="shared" si="13"/>
        <v>1.7340758668379461</v>
      </c>
      <c r="BE51" s="14"/>
      <c r="BF51" s="13" t="s">
        <v>2</v>
      </c>
      <c r="BG51" s="10">
        <v>52</v>
      </c>
      <c r="BH51" s="12">
        <v>1619809.5238094702</v>
      </c>
      <c r="BI51" s="10">
        <f t="shared" si="14"/>
        <v>-21</v>
      </c>
      <c r="BJ51" s="12">
        <f t="shared" si="15"/>
        <v>-1016099.9999999995</v>
      </c>
      <c r="BK51" s="11">
        <f t="shared" si="16"/>
        <v>-0.38548364077819758</v>
      </c>
      <c r="BM51" s="14"/>
      <c r="BN51" s="13" t="s">
        <v>2</v>
      </c>
      <c r="BO51" s="10">
        <v>24</v>
      </c>
      <c r="BP51" s="12">
        <v>751047.61904759996</v>
      </c>
      <c r="BQ51" s="10">
        <f t="shared" si="17"/>
        <v>-28</v>
      </c>
      <c r="BR51" s="12">
        <f t="shared" si="18"/>
        <v>-868761.90476187028</v>
      </c>
      <c r="BS51" s="11">
        <f t="shared" si="19"/>
        <v>-0.53633584195672268</v>
      </c>
      <c r="BU51" s="14"/>
      <c r="BV51" s="13" t="s">
        <v>2</v>
      </c>
      <c r="BW51" s="10">
        <v>12</v>
      </c>
      <c r="BX51" s="12">
        <v>370285.7142857</v>
      </c>
      <c r="BY51" s="10">
        <f t="shared" si="23"/>
        <v>-12</v>
      </c>
      <c r="BZ51" s="12">
        <f t="shared" si="21"/>
        <v>-380761.90476189996</v>
      </c>
      <c r="CA51" s="11">
        <f t="shared" si="22"/>
        <v>-0.50697438498605774</v>
      </c>
      <c r="CC51" s="14"/>
      <c r="CD51" s="13"/>
      <c r="CF51" s="12"/>
      <c r="CH51" s="12"/>
      <c r="CI51" s="11"/>
      <c r="CK51" s="14"/>
      <c r="CL51" s="13"/>
      <c r="CN51" s="12"/>
      <c r="CP51" s="12"/>
      <c r="CQ51" s="11"/>
      <c r="CS51" s="14"/>
      <c r="CT51" s="13"/>
      <c r="CV51" s="12"/>
      <c r="CX51" s="12"/>
      <c r="CY51" s="11"/>
    </row>
    <row r="52" spans="1:103" s="1" customFormat="1" ht="20" customHeight="1">
      <c r="A52" s="9" t="s">
        <v>11</v>
      </c>
      <c r="B52" s="9"/>
      <c r="C52" s="8">
        <v>243</v>
      </c>
      <c r="D52" s="7">
        <v>1992770.9523803899</v>
      </c>
      <c r="E52" s="27"/>
      <c r="F52" s="28"/>
      <c r="G52" s="29"/>
      <c r="I52" s="9" t="s">
        <v>11</v>
      </c>
      <c r="J52" s="9"/>
      <c r="K52" s="8">
        <v>279</v>
      </c>
      <c r="L52" s="7">
        <v>2119762.38095169</v>
      </c>
      <c r="M52" s="27">
        <f t="shared" si="0"/>
        <v>36</v>
      </c>
      <c r="N52" s="28">
        <f t="shared" si="0"/>
        <v>126991.42857130012</v>
      </c>
      <c r="O52" s="29">
        <f t="shared" si="1"/>
        <v>6.3726053623778117E-2</v>
      </c>
      <c r="Q52" s="9" t="s">
        <v>11</v>
      </c>
      <c r="R52" s="9"/>
      <c r="S52" s="8">
        <v>262</v>
      </c>
      <c r="T52" s="7">
        <v>2084477.1428565299</v>
      </c>
      <c r="U52" s="27">
        <f t="shared" si="2"/>
        <v>-17</v>
      </c>
      <c r="V52" s="28">
        <f t="shared" si="3"/>
        <v>-35285.238095160108</v>
      </c>
      <c r="W52" s="29">
        <f t="shared" si="4"/>
        <v>-1.6645845974169248E-2</v>
      </c>
      <c r="Y52" s="9" t="s">
        <v>11</v>
      </c>
      <c r="Z52" s="9"/>
      <c r="AA52" s="8">
        <v>242</v>
      </c>
      <c r="AB52" s="7">
        <v>1552035.7142850799</v>
      </c>
      <c r="AC52" s="27">
        <f t="shared" si="5"/>
        <v>-20</v>
      </c>
      <c r="AD52" s="28">
        <f t="shared" si="5"/>
        <v>-532441.42857145006</v>
      </c>
      <c r="AE52" s="29">
        <f t="shared" si="6"/>
        <v>-0.25543164644242722</v>
      </c>
      <c r="AG52" s="9" t="s">
        <v>11</v>
      </c>
      <c r="AH52" s="9"/>
      <c r="AI52" s="9">
        <v>334</v>
      </c>
      <c r="AJ52" s="8">
        <v>2767467.1428563902</v>
      </c>
      <c r="AK52" s="27">
        <f t="shared" si="7"/>
        <v>92</v>
      </c>
      <c r="AL52" s="28">
        <f t="shared" si="7"/>
        <v>1215431.4285713104</v>
      </c>
      <c r="AM52" s="29">
        <f t="shared" si="8"/>
        <v>0.78312078606462943</v>
      </c>
      <c r="AO52" s="9" t="s">
        <v>11</v>
      </c>
      <c r="AP52" s="9"/>
      <c r="AQ52" s="8">
        <v>284</v>
      </c>
      <c r="AR52" s="7">
        <v>1786689.0476184299</v>
      </c>
      <c r="AS52" s="27">
        <f t="shared" si="9"/>
        <v>-50</v>
      </c>
      <c r="AT52" s="28">
        <f t="shared" si="9"/>
        <v>-980778.09523796034</v>
      </c>
      <c r="AU52" s="29">
        <f t="shared" si="10"/>
        <v>-0.35439556988765847</v>
      </c>
      <c r="AW52" s="9" t="s">
        <v>11</v>
      </c>
      <c r="AX52" s="9"/>
      <c r="AY52" s="8">
        <v>496</v>
      </c>
      <c r="AZ52" s="7">
        <v>3940316.1904751398</v>
      </c>
      <c r="BA52" s="27">
        <f t="shared" si="11"/>
        <v>212</v>
      </c>
      <c r="BB52" s="28">
        <f t="shared" si="12"/>
        <v>2153627.1428567097</v>
      </c>
      <c r="BC52" s="29">
        <f t="shared" si="13"/>
        <v>1.2053732269346984</v>
      </c>
      <c r="BE52" s="9" t="s">
        <v>11</v>
      </c>
      <c r="BF52" s="9"/>
      <c r="BG52" s="8">
        <v>592</v>
      </c>
      <c r="BH52" s="7">
        <v>3409460.9523799</v>
      </c>
      <c r="BI52" s="27">
        <f t="shared" si="14"/>
        <v>96</v>
      </c>
      <c r="BJ52" s="28">
        <f t="shared" si="15"/>
        <v>-530855.23809523974</v>
      </c>
      <c r="BK52" s="29">
        <f t="shared" si="16"/>
        <v>-0.13472402021402932</v>
      </c>
      <c r="BM52" s="9" t="s">
        <v>11</v>
      </c>
      <c r="BN52" s="9"/>
      <c r="BO52" s="8">
        <v>284</v>
      </c>
      <c r="BP52" s="7">
        <v>1504246.66666603</v>
      </c>
      <c r="BQ52" s="27">
        <f t="shared" si="17"/>
        <v>-308</v>
      </c>
      <c r="BR52" s="28">
        <f t="shared" si="18"/>
        <v>-1905214.2857138701</v>
      </c>
      <c r="BS52" s="29">
        <f t="shared" si="19"/>
        <v>-0.55880220138141679</v>
      </c>
      <c r="BU52" s="9" t="s">
        <v>11</v>
      </c>
      <c r="BV52" s="9"/>
      <c r="BW52" s="8">
        <v>212</v>
      </c>
      <c r="BX52" s="7">
        <v>972223.33333280997</v>
      </c>
      <c r="BY52" s="27">
        <f t="shared" si="23"/>
        <v>-72</v>
      </c>
      <c r="BZ52" s="28">
        <f t="shared" si="21"/>
        <v>-532023.33333321998</v>
      </c>
      <c r="CA52" s="29">
        <f t="shared" si="22"/>
        <v>-0.35368091226180448</v>
      </c>
      <c r="CC52" s="9"/>
      <c r="CD52" s="9"/>
      <c r="CE52" s="8"/>
      <c r="CF52" s="7"/>
      <c r="CG52" s="27"/>
      <c r="CH52" s="28"/>
      <c r="CI52" s="29"/>
      <c r="CK52" s="9"/>
      <c r="CL52" s="9"/>
      <c r="CM52" s="8"/>
      <c r="CN52" s="7"/>
      <c r="CO52" s="27"/>
      <c r="CP52" s="28"/>
      <c r="CQ52" s="29"/>
      <c r="CS52" s="9"/>
      <c r="CT52" s="9"/>
      <c r="CU52" s="8"/>
      <c r="CV52" s="7"/>
      <c r="CW52" s="27"/>
      <c r="CX52" s="28"/>
      <c r="CY52" s="29"/>
    </row>
    <row r="53" spans="1:103" s="1" customFormat="1" ht="20" customHeight="1">
      <c r="A53" s="14">
        <v>84</v>
      </c>
      <c r="B53" s="32" t="s">
        <v>20</v>
      </c>
      <c r="D53" s="35"/>
      <c r="E53" s="10"/>
      <c r="F53" s="12"/>
      <c r="G53" s="36"/>
      <c r="I53" s="14">
        <v>84</v>
      </c>
      <c r="J53" s="32" t="s">
        <v>20</v>
      </c>
      <c r="L53" s="35"/>
      <c r="M53" s="10">
        <f t="shared" si="0"/>
        <v>0</v>
      </c>
      <c r="N53" s="12">
        <f t="shared" si="0"/>
        <v>0</v>
      </c>
      <c r="O53" s="11" t="e">
        <f t="shared" si="1"/>
        <v>#DIV/0!</v>
      </c>
      <c r="Q53" s="14">
        <v>84</v>
      </c>
      <c r="R53" s="32" t="s">
        <v>20</v>
      </c>
      <c r="T53" s="35"/>
      <c r="U53" s="10">
        <f t="shared" si="2"/>
        <v>0</v>
      </c>
      <c r="V53" s="12">
        <f t="shared" si="3"/>
        <v>0</v>
      </c>
      <c r="W53" s="11" t="e">
        <f t="shared" si="4"/>
        <v>#DIV/0!</v>
      </c>
      <c r="Y53" s="14">
        <v>84</v>
      </c>
      <c r="Z53" s="32" t="s">
        <v>20</v>
      </c>
      <c r="AB53" s="35"/>
      <c r="AC53" s="10">
        <f t="shared" si="5"/>
        <v>0</v>
      </c>
      <c r="AD53" s="12">
        <f t="shared" si="5"/>
        <v>0</v>
      </c>
      <c r="AE53" s="11" t="e">
        <f t="shared" si="6"/>
        <v>#DIV/0!</v>
      </c>
      <c r="AG53" s="14">
        <v>84</v>
      </c>
      <c r="AH53" s="32" t="s">
        <v>20</v>
      </c>
      <c r="AI53" s="32"/>
      <c r="AK53" s="10">
        <f t="shared" si="7"/>
        <v>0</v>
      </c>
      <c r="AL53" s="12">
        <f t="shared" si="7"/>
        <v>0</v>
      </c>
      <c r="AM53" s="11" t="e">
        <f t="shared" si="8"/>
        <v>#DIV/0!</v>
      </c>
      <c r="AO53" s="14">
        <v>84</v>
      </c>
      <c r="AP53" s="32" t="s">
        <v>20</v>
      </c>
      <c r="AR53" s="35"/>
      <c r="AS53" s="10">
        <f t="shared" si="9"/>
        <v>0</v>
      </c>
      <c r="AT53" s="12">
        <f t="shared" si="9"/>
        <v>0</v>
      </c>
      <c r="AU53" s="11" t="e">
        <f t="shared" si="10"/>
        <v>#DIV/0!</v>
      </c>
      <c r="AW53" s="14">
        <v>84</v>
      </c>
      <c r="AX53" s="32" t="s">
        <v>20</v>
      </c>
      <c r="AZ53" s="35"/>
      <c r="BA53" s="10">
        <f t="shared" si="11"/>
        <v>0</v>
      </c>
      <c r="BB53" s="12">
        <f t="shared" si="12"/>
        <v>0</v>
      </c>
      <c r="BC53" s="11" t="e">
        <f t="shared" si="13"/>
        <v>#DIV/0!</v>
      </c>
      <c r="BE53" s="14">
        <v>84</v>
      </c>
      <c r="BF53" s="32" t="s">
        <v>20</v>
      </c>
      <c r="BH53" s="35"/>
      <c r="BI53" s="10">
        <f t="shared" si="14"/>
        <v>0</v>
      </c>
      <c r="BJ53" s="12">
        <f t="shared" si="15"/>
        <v>0</v>
      </c>
      <c r="BK53" s="11" t="e">
        <f t="shared" si="16"/>
        <v>#DIV/0!</v>
      </c>
      <c r="BM53" s="14">
        <v>84</v>
      </c>
      <c r="BN53" s="32" t="s">
        <v>20</v>
      </c>
      <c r="BP53" s="35"/>
      <c r="BQ53" s="10">
        <f t="shared" si="17"/>
        <v>0</v>
      </c>
      <c r="BR53" s="12">
        <f t="shared" si="18"/>
        <v>0</v>
      </c>
      <c r="BS53" s="11" t="e">
        <f t="shared" si="19"/>
        <v>#DIV/0!</v>
      </c>
      <c r="BU53" s="14">
        <v>84</v>
      </c>
      <c r="BV53" s="32" t="s">
        <v>20</v>
      </c>
      <c r="BW53" s="15"/>
      <c r="BX53" s="33"/>
      <c r="BY53" s="10">
        <f t="shared" si="23"/>
        <v>0</v>
      </c>
      <c r="BZ53" s="12">
        <f t="shared" si="21"/>
        <v>0</v>
      </c>
      <c r="CA53" s="11" t="e">
        <f t="shared" si="22"/>
        <v>#DIV/0!</v>
      </c>
      <c r="CC53" s="14"/>
      <c r="CD53" s="32"/>
      <c r="CE53" s="15"/>
      <c r="CF53" s="33"/>
      <c r="CG53" s="10"/>
      <c r="CH53" s="12"/>
      <c r="CI53" s="11"/>
      <c r="CK53" s="14"/>
      <c r="CL53" s="32"/>
      <c r="CM53" s="15"/>
      <c r="CN53" s="33"/>
      <c r="CO53" s="10"/>
      <c r="CP53" s="12"/>
      <c r="CQ53" s="11"/>
      <c r="CS53" s="14"/>
      <c r="CT53" s="32"/>
      <c r="CU53" s="15"/>
      <c r="CV53" s="33"/>
      <c r="CW53" s="10"/>
      <c r="CX53" s="12"/>
      <c r="CY53" s="11"/>
    </row>
    <row r="54" spans="1:103" s="1" customFormat="1" ht="20" customHeight="1">
      <c r="A54" s="14"/>
      <c r="B54" s="32" t="s">
        <v>21</v>
      </c>
      <c r="C54" s="1">
        <v>9</v>
      </c>
      <c r="D54" s="35"/>
      <c r="E54" s="10"/>
      <c r="F54" s="12"/>
      <c r="G54" s="36"/>
      <c r="I54" s="14"/>
      <c r="J54" s="32" t="s">
        <v>21</v>
      </c>
      <c r="K54" s="1">
        <v>2</v>
      </c>
      <c r="L54" s="35"/>
      <c r="M54" s="10">
        <f t="shared" si="0"/>
        <v>-7</v>
      </c>
      <c r="N54" s="12">
        <f t="shared" si="0"/>
        <v>0</v>
      </c>
      <c r="O54" s="11" t="e">
        <f t="shared" si="1"/>
        <v>#DIV/0!</v>
      </c>
      <c r="Q54" s="14"/>
      <c r="R54" s="32" t="s">
        <v>21</v>
      </c>
      <c r="S54" s="1">
        <v>6</v>
      </c>
      <c r="T54" s="35"/>
      <c r="U54" s="10">
        <f t="shared" si="2"/>
        <v>4</v>
      </c>
      <c r="V54" s="12">
        <f t="shared" si="3"/>
        <v>0</v>
      </c>
      <c r="W54" s="11" t="e">
        <f t="shared" si="4"/>
        <v>#DIV/0!</v>
      </c>
      <c r="Y54" s="14"/>
      <c r="Z54" s="32" t="s">
        <v>21</v>
      </c>
      <c r="AA54" s="1">
        <v>2</v>
      </c>
      <c r="AB54" s="35"/>
      <c r="AC54" s="10">
        <f t="shared" si="5"/>
        <v>-4</v>
      </c>
      <c r="AD54" s="12">
        <f t="shared" si="5"/>
        <v>0</v>
      </c>
      <c r="AE54" s="11" t="e">
        <f t="shared" si="6"/>
        <v>#DIV/0!</v>
      </c>
      <c r="AG54" s="14"/>
      <c r="AH54" s="32" t="s">
        <v>21</v>
      </c>
      <c r="AI54" s="32">
        <v>5</v>
      </c>
      <c r="AK54" s="10">
        <f t="shared" si="7"/>
        <v>3</v>
      </c>
      <c r="AL54" s="12">
        <f t="shared" si="7"/>
        <v>0</v>
      </c>
      <c r="AM54" s="11" t="e">
        <f t="shared" si="8"/>
        <v>#DIV/0!</v>
      </c>
      <c r="AO54" s="14"/>
      <c r="AP54" s="32" t="s">
        <v>21</v>
      </c>
      <c r="AQ54" s="1">
        <v>8</v>
      </c>
      <c r="AR54" s="35"/>
      <c r="AS54" s="10">
        <f t="shared" si="9"/>
        <v>3</v>
      </c>
      <c r="AT54" s="12">
        <f t="shared" si="9"/>
        <v>0</v>
      </c>
      <c r="AU54" s="11" t="e">
        <f t="shared" si="10"/>
        <v>#DIV/0!</v>
      </c>
      <c r="AW54" s="14"/>
      <c r="AX54" s="32" t="s">
        <v>21</v>
      </c>
      <c r="AY54" s="1">
        <v>7</v>
      </c>
      <c r="AZ54" s="35"/>
      <c r="BA54" s="10">
        <f t="shared" si="11"/>
        <v>-1</v>
      </c>
      <c r="BB54" s="12">
        <f t="shared" si="12"/>
        <v>0</v>
      </c>
      <c r="BC54" s="11" t="e">
        <f t="shared" si="13"/>
        <v>#DIV/0!</v>
      </c>
      <c r="BE54" s="14"/>
      <c r="BF54" s="32" t="s">
        <v>21</v>
      </c>
      <c r="BG54" s="1">
        <v>8</v>
      </c>
      <c r="BH54" s="35"/>
      <c r="BI54" s="10">
        <f t="shared" si="14"/>
        <v>1</v>
      </c>
      <c r="BJ54" s="12">
        <f t="shared" si="15"/>
        <v>0</v>
      </c>
      <c r="BK54" s="11" t="e">
        <f t="shared" si="16"/>
        <v>#DIV/0!</v>
      </c>
      <c r="BM54" s="14"/>
      <c r="BN54" s="32" t="s">
        <v>21</v>
      </c>
      <c r="BO54" s="1">
        <v>3</v>
      </c>
      <c r="BP54" s="35"/>
      <c r="BQ54" s="10">
        <f t="shared" si="17"/>
        <v>-5</v>
      </c>
      <c r="BR54" s="12">
        <f t="shared" si="18"/>
        <v>0</v>
      </c>
      <c r="BS54" s="11" t="e">
        <f t="shared" si="19"/>
        <v>#DIV/0!</v>
      </c>
      <c r="BU54" s="14"/>
      <c r="BV54" s="32" t="s">
        <v>21</v>
      </c>
      <c r="BW54" s="15">
        <v>0</v>
      </c>
      <c r="BX54" s="33"/>
      <c r="BY54" s="10">
        <f t="shared" si="23"/>
        <v>-3</v>
      </c>
      <c r="BZ54" s="12">
        <f t="shared" si="21"/>
        <v>0</v>
      </c>
      <c r="CA54" s="11" t="e">
        <f t="shared" si="22"/>
        <v>#DIV/0!</v>
      </c>
      <c r="CC54" s="14"/>
      <c r="CD54" s="32"/>
      <c r="CE54" s="15"/>
      <c r="CF54" s="33"/>
      <c r="CG54" s="10"/>
      <c r="CH54" s="12"/>
      <c r="CI54" s="11"/>
      <c r="CK54" s="14"/>
      <c r="CL54" s="32"/>
      <c r="CM54" s="15"/>
      <c r="CN54" s="33"/>
      <c r="CO54" s="10"/>
      <c r="CP54" s="12"/>
      <c r="CQ54" s="11"/>
      <c r="CS54" s="14"/>
      <c r="CT54" s="32"/>
      <c r="CU54" s="15"/>
      <c r="CV54" s="33"/>
      <c r="CW54" s="10"/>
      <c r="CX54" s="12"/>
      <c r="CY54" s="11"/>
    </row>
    <row r="55" spans="1:103" s="10" customFormat="1" ht="20" customHeight="1">
      <c r="A55" s="14"/>
      <c r="B55" s="13" t="s">
        <v>10</v>
      </c>
      <c r="C55" s="10">
        <v>122</v>
      </c>
      <c r="D55" s="12">
        <v>103245.71428522997</v>
      </c>
      <c r="F55" s="12"/>
      <c r="G55" s="11"/>
      <c r="I55" s="14"/>
      <c r="J55" s="13" t="s">
        <v>10</v>
      </c>
      <c r="K55" s="10">
        <v>122</v>
      </c>
      <c r="L55" s="12">
        <v>126565.71428522994</v>
      </c>
      <c r="M55" s="10">
        <f t="shared" si="0"/>
        <v>0</v>
      </c>
      <c r="N55" s="12">
        <f t="shared" si="0"/>
        <v>23319.999999999971</v>
      </c>
      <c r="O55" s="11">
        <f t="shared" si="1"/>
        <v>0.2258689395627152</v>
      </c>
      <c r="Q55" s="14"/>
      <c r="R55" s="13" t="s">
        <v>10</v>
      </c>
      <c r="S55" s="10">
        <v>118</v>
      </c>
      <c r="T55" s="12">
        <v>106974.28571380995</v>
      </c>
      <c r="U55" s="10">
        <f t="shared" si="2"/>
        <v>-4</v>
      </c>
      <c r="V55" s="12">
        <f t="shared" si="3"/>
        <v>-19591.428571419994</v>
      </c>
      <c r="W55" s="11">
        <f t="shared" si="4"/>
        <v>-0.15479254142451665</v>
      </c>
      <c r="Y55" s="14"/>
      <c r="Z55" s="13" t="s">
        <v>10</v>
      </c>
      <c r="AA55" s="10">
        <v>166</v>
      </c>
      <c r="AB55" s="12">
        <v>154430.47618988011</v>
      </c>
      <c r="AC55" s="10">
        <f t="shared" si="5"/>
        <v>48</v>
      </c>
      <c r="AD55" s="12">
        <f t="shared" si="5"/>
        <v>47456.190476070158</v>
      </c>
      <c r="AE55" s="11">
        <f t="shared" si="6"/>
        <v>0.44362241037094163</v>
      </c>
      <c r="AG55" s="14"/>
      <c r="AH55" s="13" t="s">
        <v>10</v>
      </c>
      <c r="AI55" s="13">
        <v>209</v>
      </c>
      <c r="AJ55" s="10">
        <v>186364.76190395991</v>
      </c>
      <c r="AK55" s="10">
        <f t="shared" si="7"/>
        <v>43</v>
      </c>
      <c r="AL55" s="12">
        <f t="shared" si="7"/>
        <v>31934.285714079801</v>
      </c>
      <c r="AM55" s="11">
        <f t="shared" si="8"/>
        <v>0.20678745868020879</v>
      </c>
      <c r="AO55" s="14"/>
      <c r="AP55" s="13" t="s">
        <v>10</v>
      </c>
      <c r="AQ55" s="10">
        <v>183</v>
      </c>
      <c r="AR55" s="12">
        <v>174905.7142849899</v>
      </c>
      <c r="AS55" s="10">
        <f t="shared" si="9"/>
        <v>-26</v>
      </c>
      <c r="AT55" s="12">
        <f t="shared" si="9"/>
        <v>-11459.047618970013</v>
      </c>
      <c r="AU55" s="11">
        <f t="shared" si="10"/>
        <v>-6.1487201238586343E-2</v>
      </c>
      <c r="AW55" s="14"/>
      <c r="AX55" s="13" t="s">
        <v>10</v>
      </c>
      <c r="AY55" s="10">
        <v>176</v>
      </c>
      <c r="AZ55" s="12">
        <v>166853.33333266989</v>
      </c>
      <c r="BA55" s="10">
        <f t="shared" si="11"/>
        <v>-7</v>
      </c>
      <c r="BB55" s="12">
        <f t="shared" si="12"/>
        <v>-8052.3809523200034</v>
      </c>
      <c r="BC55" s="11">
        <f t="shared" si="13"/>
        <v>-4.6038409809753399E-2</v>
      </c>
      <c r="BE55" s="14"/>
      <c r="BF55" s="13" t="s">
        <v>10</v>
      </c>
      <c r="BG55" s="10">
        <v>287</v>
      </c>
      <c r="BH55" s="12">
        <v>257858.09523702989</v>
      </c>
      <c r="BI55" s="10">
        <f t="shared" si="14"/>
        <v>111</v>
      </c>
      <c r="BJ55" s="12">
        <f t="shared" si="15"/>
        <v>91004.761904359999</v>
      </c>
      <c r="BK55" s="11">
        <f t="shared" si="16"/>
        <v>0.54541770360029873</v>
      </c>
      <c r="BM55" s="14"/>
      <c r="BN55" s="13" t="s">
        <v>10</v>
      </c>
      <c r="BO55" s="10">
        <v>150</v>
      </c>
      <c r="BP55" s="12">
        <v>142848.57142798998</v>
      </c>
      <c r="BQ55" s="10">
        <f t="shared" si="17"/>
        <v>-137</v>
      </c>
      <c r="BR55" s="12">
        <f t="shared" si="18"/>
        <v>-115009.52380903991</v>
      </c>
      <c r="BS55" s="11">
        <f t="shared" si="19"/>
        <v>-0.44601866659768874</v>
      </c>
      <c r="BU55" s="14"/>
      <c r="BV55" s="13" t="s">
        <v>10</v>
      </c>
      <c r="BW55" s="10">
        <v>118</v>
      </c>
      <c r="BX55" s="12">
        <v>102147.61904713005</v>
      </c>
      <c r="BY55" s="10">
        <f t="shared" si="23"/>
        <v>-32</v>
      </c>
      <c r="BZ55" s="12">
        <f t="shared" si="21"/>
        <v>-40700.952380859933</v>
      </c>
      <c r="CA55" s="11">
        <f t="shared" si="22"/>
        <v>-0.28492376209290476</v>
      </c>
      <c r="CC55" s="14"/>
      <c r="CD55" s="13"/>
      <c r="CF55" s="12"/>
      <c r="CH55" s="12"/>
      <c r="CI55" s="11"/>
      <c r="CK55" s="14"/>
      <c r="CL55" s="13"/>
      <c r="CN55" s="12"/>
      <c r="CP55" s="12"/>
      <c r="CQ55" s="11"/>
      <c r="CS55" s="14"/>
      <c r="CT55" s="13"/>
      <c r="CV55" s="12"/>
      <c r="CX55" s="12"/>
      <c r="CY55" s="11"/>
    </row>
    <row r="56" spans="1:103" s="10" customFormat="1" ht="20" customHeight="1">
      <c r="A56" s="14"/>
      <c r="B56" s="13" t="s">
        <v>9</v>
      </c>
      <c r="C56" s="10">
        <v>95</v>
      </c>
      <c r="D56" s="12">
        <v>90697.142857040002</v>
      </c>
      <c r="F56" s="12"/>
      <c r="G56" s="11"/>
      <c r="I56" s="14"/>
      <c r="J56" s="13" t="s">
        <v>9</v>
      </c>
      <c r="K56" s="10">
        <v>45</v>
      </c>
      <c r="L56" s="12">
        <v>60047.619047520006</v>
      </c>
      <c r="M56" s="10">
        <f t="shared" si="0"/>
        <v>-50</v>
      </c>
      <c r="N56" s="12">
        <f t="shared" si="0"/>
        <v>-30649.523809519997</v>
      </c>
      <c r="O56" s="11">
        <f t="shared" si="1"/>
        <v>-0.33793262768851323</v>
      </c>
      <c r="Q56" s="14"/>
      <c r="R56" s="13" t="s">
        <v>9</v>
      </c>
      <c r="S56" s="10">
        <v>80</v>
      </c>
      <c r="T56" s="12">
        <v>66952.380952310006</v>
      </c>
      <c r="U56" s="10">
        <f t="shared" si="2"/>
        <v>35</v>
      </c>
      <c r="V56" s="12">
        <f t="shared" si="3"/>
        <v>6904.7619047900007</v>
      </c>
      <c r="W56" s="11">
        <f t="shared" si="4"/>
        <v>0.11498810467948388</v>
      </c>
      <c r="Y56" s="14"/>
      <c r="Z56" s="13" t="s">
        <v>9</v>
      </c>
      <c r="AA56" s="10">
        <v>72</v>
      </c>
      <c r="AB56" s="12">
        <v>74877.142857059996</v>
      </c>
      <c r="AC56" s="10">
        <f t="shared" si="5"/>
        <v>-8</v>
      </c>
      <c r="AD56" s="12">
        <f t="shared" si="5"/>
        <v>7924.7619047499902</v>
      </c>
      <c r="AE56" s="11">
        <f t="shared" si="6"/>
        <v>0.11836415362725899</v>
      </c>
      <c r="AG56" s="14"/>
      <c r="AH56" s="13" t="s">
        <v>9</v>
      </c>
      <c r="AI56" s="13">
        <v>102</v>
      </c>
      <c r="AJ56" s="10">
        <v>128504.76190465</v>
      </c>
      <c r="AK56" s="10">
        <f t="shared" si="7"/>
        <v>30</v>
      </c>
      <c r="AL56" s="12">
        <f t="shared" si="7"/>
        <v>53627.619047590008</v>
      </c>
      <c r="AM56" s="11">
        <f t="shared" si="8"/>
        <v>0.71620813777529946</v>
      </c>
      <c r="AO56" s="14"/>
      <c r="AP56" s="13" t="s">
        <v>9</v>
      </c>
      <c r="AQ56" s="10">
        <v>74</v>
      </c>
      <c r="AR56" s="12">
        <v>80892.38095228</v>
      </c>
      <c r="AS56" s="10">
        <f t="shared" si="9"/>
        <v>-28</v>
      </c>
      <c r="AT56" s="12">
        <f t="shared" si="9"/>
        <v>-47612.380952370004</v>
      </c>
      <c r="AU56" s="11">
        <f t="shared" si="10"/>
        <v>-0.37051063514438626</v>
      </c>
      <c r="AW56" s="14"/>
      <c r="AX56" s="13" t="s">
        <v>9</v>
      </c>
      <c r="AY56" s="10">
        <v>109</v>
      </c>
      <c r="AZ56" s="12">
        <v>111414.28571417998</v>
      </c>
      <c r="BA56" s="10">
        <f t="shared" si="11"/>
        <v>35</v>
      </c>
      <c r="BB56" s="12">
        <f t="shared" si="12"/>
        <v>30521.904761899976</v>
      </c>
      <c r="BC56" s="11">
        <f t="shared" si="13"/>
        <v>0.37731495108180146</v>
      </c>
      <c r="BE56" s="14"/>
      <c r="BF56" s="13" t="s">
        <v>9</v>
      </c>
      <c r="BG56" s="10">
        <v>152</v>
      </c>
      <c r="BH56" s="12">
        <v>156239.99999991001</v>
      </c>
      <c r="BI56" s="10">
        <f t="shared" si="14"/>
        <v>43</v>
      </c>
      <c r="BJ56" s="12">
        <f t="shared" si="15"/>
        <v>44825.714285730035</v>
      </c>
      <c r="BK56" s="11">
        <f t="shared" si="16"/>
        <v>0.40233363251751253</v>
      </c>
      <c r="BM56" s="14"/>
      <c r="BN56" s="13" t="s">
        <v>9</v>
      </c>
      <c r="BO56" s="10">
        <v>104</v>
      </c>
      <c r="BP56" s="12">
        <v>99019.047618960001</v>
      </c>
      <c r="BQ56" s="10">
        <f t="shared" si="17"/>
        <v>-48</v>
      </c>
      <c r="BR56" s="12">
        <f t="shared" si="18"/>
        <v>-57220.95238095001</v>
      </c>
      <c r="BS56" s="11">
        <f t="shared" si="19"/>
        <v>-0.36623753444049517</v>
      </c>
      <c r="BU56" s="14"/>
      <c r="BV56" s="13" t="s">
        <v>9</v>
      </c>
      <c r="BW56" s="10">
        <v>89</v>
      </c>
      <c r="BX56" s="12">
        <v>100334.28571419</v>
      </c>
      <c r="BY56" s="10">
        <f t="shared" si="23"/>
        <v>-15</v>
      </c>
      <c r="BZ56" s="12">
        <f t="shared" si="21"/>
        <v>1315.2380952300009</v>
      </c>
      <c r="CA56" s="11">
        <f t="shared" si="22"/>
        <v>1.3282677695419092E-2</v>
      </c>
      <c r="CC56" s="14"/>
      <c r="CD56" s="13"/>
      <c r="CF56" s="12"/>
      <c r="CH56" s="12"/>
      <c r="CI56" s="11"/>
      <c r="CK56" s="14"/>
      <c r="CL56" s="13"/>
      <c r="CN56" s="12"/>
      <c r="CP56" s="12"/>
      <c r="CQ56" s="11"/>
      <c r="CS56" s="14"/>
      <c r="CT56" s="13"/>
      <c r="CV56" s="12"/>
      <c r="CX56" s="12"/>
      <c r="CY56" s="11"/>
    </row>
    <row r="57" spans="1:103" s="10" customFormat="1" ht="20" customHeight="1">
      <c r="A57" s="14"/>
      <c r="B57" s="13" t="s">
        <v>8</v>
      </c>
      <c r="C57" s="10">
        <v>23</v>
      </c>
      <c r="D57" s="12">
        <v>145019.04761904001</v>
      </c>
      <c r="F57" s="12"/>
      <c r="G57" s="11"/>
      <c r="I57" s="14"/>
      <c r="J57" s="13" t="s">
        <v>8</v>
      </c>
      <c r="K57" s="10">
        <v>15</v>
      </c>
      <c r="L57" s="12">
        <v>91285.714285709997</v>
      </c>
      <c r="M57" s="10">
        <f t="shared" si="0"/>
        <v>-8</v>
      </c>
      <c r="N57" s="12">
        <f t="shared" si="0"/>
        <v>-53733.333333330011</v>
      </c>
      <c r="O57" s="11">
        <f t="shared" si="1"/>
        <v>-0.37052603927234173</v>
      </c>
      <c r="Q57" s="14"/>
      <c r="R57" s="13" t="s">
        <v>8</v>
      </c>
      <c r="S57" s="10">
        <v>22</v>
      </c>
      <c r="T57" s="12">
        <v>136577.14285713001</v>
      </c>
      <c r="U57" s="10">
        <f t="shared" si="2"/>
        <v>7</v>
      </c>
      <c r="V57" s="12">
        <f t="shared" si="3"/>
        <v>45291.428571420009</v>
      </c>
      <c r="W57" s="11">
        <f t="shared" si="4"/>
        <v>0.49615023474171355</v>
      </c>
      <c r="Y57" s="14"/>
      <c r="Z57" s="13" t="s">
        <v>8</v>
      </c>
      <c r="AA57" s="10">
        <v>24</v>
      </c>
      <c r="AB57" s="12">
        <v>160819.04761903</v>
      </c>
      <c r="AC57" s="10">
        <f t="shared" si="5"/>
        <v>2</v>
      </c>
      <c r="AD57" s="12">
        <f t="shared" si="5"/>
        <v>24241.90476189999</v>
      </c>
      <c r="AE57" s="11">
        <f t="shared" si="6"/>
        <v>0.17749606013693559</v>
      </c>
      <c r="AG57" s="14"/>
      <c r="AH57" s="13" t="s">
        <v>8</v>
      </c>
      <c r="AI57" s="13">
        <v>19</v>
      </c>
      <c r="AJ57" s="10">
        <v>115319.99999997999</v>
      </c>
      <c r="AK57" s="10">
        <f t="shared" si="7"/>
        <v>-5</v>
      </c>
      <c r="AL57" s="12">
        <f t="shared" si="7"/>
        <v>-45499.047619050005</v>
      </c>
      <c r="AM57" s="11">
        <f t="shared" si="8"/>
        <v>-0.28292076276209727</v>
      </c>
      <c r="AO57" s="14"/>
      <c r="AP57" s="13" t="s">
        <v>8</v>
      </c>
      <c r="AQ57" s="10">
        <v>21</v>
      </c>
      <c r="AR57" s="12">
        <v>129799.99999999</v>
      </c>
      <c r="AS57" s="10">
        <f t="shared" si="9"/>
        <v>2</v>
      </c>
      <c r="AT57" s="12">
        <f t="shared" si="9"/>
        <v>14480.000000010012</v>
      </c>
      <c r="AU57" s="11">
        <f t="shared" si="10"/>
        <v>0.12556364897686892</v>
      </c>
      <c r="AW57" s="14"/>
      <c r="AX57" s="13" t="s">
        <v>8</v>
      </c>
      <c r="AY57" s="10">
        <v>28</v>
      </c>
      <c r="AZ57" s="12">
        <v>184590.47619046</v>
      </c>
      <c r="BA57" s="10">
        <f t="shared" si="11"/>
        <v>7</v>
      </c>
      <c r="BB57" s="12">
        <f t="shared" si="12"/>
        <v>54790.476190469999</v>
      </c>
      <c r="BC57" s="11">
        <f t="shared" si="13"/>
        <v>0.42211460855527133</v>
      </c>
      <c r="BE57" s="14"/>
      <c r="BF57" s="13" t="s">
        <v>8</v>
      </c>
      <c r="BG57" s="10">
        <v>30</v>
      </c>
      <c r="BH57" s="12">
        <v>214319.99999996999</v>
      </c>
      <c r="BI57" s="10">
        <f t="shared" si="14"/>
        <v>2</v>
      </c>
      <c r="BJ57" s="12">
        <f t="shared" si="15"/>
        <v>29729.523809509992</v>
      </c>
      <c r="BK57" s="11">
        <f t="shared" si="16"/>
        <v>0.16105665050040363</v>
      </c>
      <c r="BM57" s="14"/>
      <c r="BN57" s="13" t="s">
        <v>8</v>
      </c>
      <c r="BO57" s="10">
        <v>26</v>
      </c>
      <c r="BP57" s="12">
        <v>166323.80952379</v>
      </c>
      <c r="BQ57" s="10">
        <f t="shared" si="17"/>
        <v>-4</v>
      </c>
      <c r="BR57" s="12">
        <f t="shared" si="18"/>
        <v>-47996.190476179996</v>
      </c>
      <c r="BS57" s="11">
        <f t="shared" si="19"/>
        <v>-0.22394639079967674</v>
      </c>
      <c r="BU57" s="14"/>
      <c r="BV57" s="13" t="s">
        <v>8</v>
      </c>
      <c r="BW57" s="10">
        <v>19</v>
      </c>
      <c r="BX57" s="12">
        <v>131247.61904760002</v>
      </c>
      <c r="BY57" s="10">
        <f t="shared" si="23"/>
        <v>-7</v>
      </c>
      <c r="BZ57" s="12">
        <f t="shared" si="21"/>
        <v>-35076.190476189979</v>
      </c>
      <c r="CA57" s="11">
        <f t="shared" si="22"/>
        <v>-0.21089097572150597</v>
      </c>
      <c r="CC57" s="14"/>
      <c r="CD57" s="13"/>
      <c r="CF57" s="12"/>
      <c r="CH57" s="12"/>
      <c r="CI57" s="11"/>
      <c r="CK57" s="14"/>
      <c r="CL57" s="13"/>
      <c r="CN57" s="12"/>
      <c r="CP57" s="12"/>
      <c r="CQ57" s="11"/>
      <c r="CS57" s="14"/>
      <c r="CT57" s="13"/>
      <c r="CV57" s="12"/>
      <c r="CX57" s="12"/>
      <c r="CY57" s="11"/>
    </row>
    <row r="58" spans="1:103" s="10" customFormat="1" ht="20" customHeight="1">
      <c r="A58" s="14"/>
      <c r="B58" s="13" t="s">
        <v>7</v>
      </c>
      <c r="C58" s="10">
        <v>5</v>
      </c>
      <c r="D58" s="12">
        <v>59047.619047599997</v>
      </c>
      <c r="F58" s="12"/>
      <c r="G58" s="11"/>
      <c r="I58" s="14"/>
      <c r="J58" s="13" t="s">
        <v>7</v>
      </c>
      <c r="K58" s="10">
        <v>14</v>
      </c>
      <c r="L58" s="12">
        <v>181523.80952375004</v>
      </c>
      <c r="M58" s="10">
        <f t="shared" si="0"/>
        <v>9</v>
      </c>
      <c r="N58" s="12">
        <f t="shared" si="0"/>
        <v>122476.19047615005</v>
      </c>
      <c r="O58" s="11">
        <f t="shared" si="1"/>
        <v>2.0741935483870813</v>
      </c>
      <c r="Q58" s="14"/>
      <c r="R58" s="13" t="s">
        <v>7</v>
      </c>
      <c r="S58" s="10">
        <v>7</v>
      </c>
      <c r="T58" s="12">
        <v>95047.619047589993</v>
      </c>
      <c r="U58" s="10">
        <f t="shared" si="2"/>
        <v>-7</v>
      </c>
      <c r="V58" s="12">
        <f t="shared" si="3"/>
        <v>-86476.190476160045</v>
      </c>
      <c r="W58" s="11">
        <f t="shared" si="4"/>
        <v>-0.47639034627490978</v>
      </c>
      <c r="Y58" s="14"/>
      <c r="Z58" s="13" t="s">
        <v>7</v>
      </c>
      <c r="AA58" s="10">
        <v>10</v>
      </c>
      <c r="AB58" s="12">
        <v>114285.71428569</v>
      </c>
      <c r="AC58" s="10">
        <f t="shared" si="5"/>
        <v>3</v>
      </c>
      <c r="AD58" s="12">
        <f t="shared" si="5"/>
        <v>19238.09523810001</v>
      </c>
      <c r="AE58" s="11">
        <f t="shared" si="6"/>
        <v>0.20240480961935056</v>
      </c>
      <c r="AG58" s="14"/>
      <c r="AH58" s="13" t="s">
        <v>7</v>
      </c>
      <c r="AI58" s="13">
        <v>14</v>
      </c>
      <c r="AJ58" s="10">
        <v>163904.76190473</v>
      </c>
      <c r="AK58" s="10">
        <f t="shared" si="7"/>
        <v>4</v>
      </c>
      <c r="AL58" s="12">
        <f t="shared" si="7"/>
        <v>49619.047619039993</v>
      </c>
      <c r="AM58" s="11">
        <f t="shared" si="8"/>
        <v>0.43416666666669218</v>
      </c>
      <c r="AO58" s="14"/>
      <c r="AP58" s="13" t="s">
        <v>7</v>
      </c>
      <c r="AQ58" s="10">
        <v>15</v>
      </c>
      <c r="AR58" s="12">
        <v>191904.76190472004</v>
      </c>
      <c r="AS58" s="10">
        <f t="shared" si="9"/>
        <v>1</v>
      </c>
      <c r="AT58" s="12">
        <f t="shared" si="9"/>
        <v>27999.999999990046</v>
      </c>
      <c r="AU58" s="11">
        <f t="shared" si="10"/>
        <v>0.17083091226028629</v>
      </c>
      <c r="AW58" s="14"/>
      <c r="AX58" s="13" t="s">
        <v>7</v>
      </c>
      <c r="AY58" s="10">
        <v>30</v>
      </c>
      <c r="AZ58" s="12">
        <v>320574.28571421001</v>
      </c>
      <c r="BA58" s="10">
        <f t="shared" si="11"/>
        <v>15</v>
      </c>
      <c r="BB58" s="12">
        <f t="shared" si="12"/>
        <v>128669.52380948997</v>
      </c>
      <c r="BC58" s="11">
        <f t="shared" si="13"/>
        <v>0.67048635235729004</v>
      </c>
      <c r="BE58" s="14"/>
      <c r="BF58" s="13" t="s">
        <v>7</v>
      </c>
      <c r="BG58" s="10">
        <v>30</v>
      </c>
      <c r="BH58" s="12">
        <v>418094.28571419005</v>
      </c>
      <c r="BI58" s="10">
        <f t="shared" si="14"/>
        <v>0</v>
      </c>
      <c r="BJ58" s="12">
        <f t="shared" si="15"/>
        <v>97519.999999980035</v>
      </c>
      <c r="BK58" s="11">
        <f t="shared" si="16"/>
        <v>0.304204062352395</v>
      </c>
      <c r="BM58" s="14"/>
      <c r="BN58" s="13" t="s">
        <v>7</v>
      </c>
      <c r="BO58" s="10">
        <v>15</v>
      </c>
      <c r="BP58" s="12">
        <v>179999.99999996001</v>
      </c>
      <c r="BQ58" s="10">
        <f t="shared" si="17"/>
        <v>-15</v>
      </c>
      <c r="BR58" s="12">
        <f t="shared" si="18"/>
        <v>-238094.28571423003</v>
      </c>
      <c r="BS58" s="11">
        <f t="shared" si="19"/>
        <v>-0.56947510131002288</v>
      </c>
      <c r="BU58" s="14"/>
      <c r="BV58" s="13" t="s">
        <v>7</v>
      </c>
      <c r="BW58" s="10">
        <v>4</v>
      </c>
      <c r="BX58" s="12">
        <v>42476.190476169999</v>
      </c>
      <c r="BY58" s="10">
        <f t="shared" si="23"/>
        <v>-11</v>
      </c>
      <c r="BZ58" s="12">
        <f t="shared" si="21"/>
        <v>-137523.80952379003</v>
      </c>
      <c r="CA58" s="11">
        <f t="shared" si="22"/>
        <v>-0.76402116402122544</v>
      </c>
      <c r="CC58" s="14"/>
      <c r="CD58" s="13"/>
      <c r="CF58" s="12"/>
      <c r="CH58" s="12"/>
      <c r="CI58" s="11"/>
      <c r="CK58" s="14"/>
      <c r="CL58" s="13"/>
      <c r="CN58" s="12"/>
      <c r="CP58" s="12"/>
      <c r="CQ58" s="11"/>
      <c r="CS58" s="14"/>
      <c r="CT58" s="13"/>
      <c r="CV58" s="12"/>
      <c r="CX58" s="12"/>
      <c r="CY58" s="11"/>
    </row>
    <row r="59" spans="1:103" s="10" customFormat="1" ht="20" customHeight="1">
      <c r="A59" s="14"/>
      <c r="B59" s="13" t="s">
        <v>6</v>
      </c>
      <c r="D59" s="12"/>
      <c r="F59" s="12"/>
      <c r="G59" s="11"/>
      <c r="I59" s="14"/>
      <c r="J59" s="13" t="s">
        <v>6</v>
      </c>
      <c r="L59" s="12"/>
      <c r="M59" s="10">
        <f t="shared" si="0"/>
        <v>0</v>
      </c>
      <c r="N59" s="12">
        <f t="shared" si="0"/>
        <v>0</v>
      </c>
      <c r="O59" s="11" t="e">
        <f t="shared" si="1"/>
        <v>#DIV/0!</v>
      </c>
      <c r="Q59" s="14"/>
      <c r="R59" s="13" t="s">
        <v>6</v>
      </c>
      <c r="S59" s="10">
        <v>1</v>
      </c>
      <c r="T59" s="12">
        <v>2857.1428571400002</v>
      </c>
      <c r="U59" s="10">
        <f t="shared" si="2"/>
        <v>1</v>
      </c>
      <c r="V59" s="12">
        <f t="shared" si="3"/>
        <v>2857.1428571400002</v>
      </c>
      <c r="W59" s="11" t="e">
        <f t="shared" si="4"/>
        <v>#DIV/0!</v>
      </c>
      <c r="Y59" s="14"/>
      <c r="Z59" s="13" t="s">
        <v>6</v>
      </c>
      <c r="AB59" s="12"/>
      <c r="AC59" s="10">
        <f t="shared" si="5"/>
        <v>-1</v>
      </c>
      <c r="AD59" s="12">
        <f t="shared" si="5"/>
        <v>-2857.1428571400002</v>
      </c>
      <c r="AE59" s="11">
        <f t="shared" si="6"/>
        <v>-1</v>
      </c>
      <c r="AG59" s="14"/>
      <c r="AH59" s="13" t="s">
        <v>6</v>
      </c>
      <c r="AI59" s="13">
        <v>2</v>
      </c>
      <c r="AJ59" s="10">
        <v>5714.2857142800003</v>
      </c>
      <c r="AK59" s="10">
        <f t="shared" si="7"/>
        <v>2</v>
      </c>
      <c r="AL59" s="12">
        <f t="shared" si="7"/>
        <v>5714.2857142800003</v>
      </c>
      <c r="AM59" s="11" t="e">
        <f t="shared" si="8"/>
        <v>#DIV/0!</v>
      </c>
      <c r="AO59" s="14"/>
      <c r="AP59" s="13" t="s">
        <v>6</v>
      </c>
      <c r="AQ59" s="10">
        <v>0</v>
      </c>
      <c r="AR59" s="12">
        <v>0</v>
      </c>
      <c r="AS59" s="10">
        <f t="shared" si="9"/>
        <v>-2</v>
      </c>
      <c r="AT59" s="12">
        <f t="shared" si="9"/>
        <v>-5714.2857142800003</v>
      </c>
      <c r="AU59" s="11">
        <f t="shared" si="10"/>
        <v>-1</v>
      </c>
      <c r="AW59" s="14"/>
      <c r="AX59" s="13" t="s">
        <v>6</v>
      </c>
      <c r="AY59" s="10">
        <v>0</v>
      </c>
      <c r="AZ59" s="12">
        <v>0</v>
      </c>
      <c r="BA59" s="10">
        <f t="shared" si="11"/>
        <v>0</v>
      </c>
      <c r="BB59" s="12">
        <f t="shared" si="12"/>
        <v>0</v>
      </c>
      <c r="BC59" s="11" t="e">
        <f t="shared" si="13"/>
        <v>#DIV/0!</v>
      </c>
      <c r="BE59" s="14"/>
      <c r="BF59" s="13" t="s">
        <v>6</v>
      </c>
      <c r="BG59" s="10">
        <v>2</v>
      </c>
      <c r="BH59" s="12">
        <v>11714.285714279999</v>
      </c>
      <c r="BI59" s="10">
        <f t="shared" si="14"/>
        <v>2</v>
      </c>
      <c r="BJ59" s="12">
        <f t="shared" si="15"/>
        <v>11714.285714279999</v>
      </c>
      <c r="BK59" s="11" t="e">
        <f t="shared" si="16"/>
        <v>#DIV/0!</v>
      </c>
      <c r="BM59" s="14"/>
      <c r="BN59" s="13" t="s">
        <v>6</v>
      </c>
      <c r="BP59" s="12"/>
      <c r="BQ59" s="10">
        <f t="shared" si="17"/>
        <v>-2</v>
      </c>
      <c r="BR59" s="12">
        <f t="shared" si="18"/>
        <v>-11714.285714279999</v>
      </c>
      <c r="BS59" s="11">
        <f t="shared" si="19"/>
        <v>-1</v>
      </c>
      <c r="BU59" s="14"/>
      <c r="BV59" s="13" t="s">
        <v>6</v>
      </c>
      <c r="BX59" s="12"/>
      <c r="BY59" s="10">
        <f t="shared" si="23"/>
        <v>0</v>
      </c>
      <c r="BZ59" s="12">
        <f t="shared" si="21"/>
        <v>0</v>
      </c>
      <c r="CA59" s="11" t="e">
        <f t="shared" si="22"/>
        <v>#DIV/0!</v>
      </c>
      <c r="CC59" s="14"/>
      <c r="CD59" s="13"/>
      <c r="CF59" s="12"/>
      <c r="CH59" s="12"/>
      <c r="CI59" s="11"/>
      <c r="CK59" s="14"/>
      <c r="CL59" s="13"/>
      <c r="CN59" s="12"/>
      <c r="CP59" s="12"/>
      <c r="CQ59" s="11"/>
      <c r="CS59" s="14"/>
      <c r="CT59" s="13"/>
      <c r="CV59" s="12"/>
      <c r="CX59" s="12"/>
      <c r="CY59" s="11"/>
    </row>
    <row r="60" spans="1:103" s="10" customFormat="1" ht="20" customHeight="1">
      <c r="A60" s="14"/>
      <c r="B60" s="13" t="s">
        <v>5</v>
      </c>
      <c r="C60" s="10">
        <v>4</v>
      </c>
      <c r="D60" s="12">
        <v>25760</v>
      </c>
      <c r="F60" s="12"/>
      <c r="G60" s="11"/>
      <c r="I60" s="14"/>
      <c r="J60" s="13" t="s">
        <v>5</v>
      </c>
      <c r="K60" s="10">
        <v>3</v>
      </c>
      <c r="L60" s="12">
        <v>19070</v>
      </c>
      <c r="M60" s="10">
        <f t="shared" si="0"/>
        <v>-1</v>
      </c>
      <c r="N60" s="12">
        <f t="shared" si="0"/>
        <v>-6690</v>
      </c>
      <c r="O60" s="11">
        <f t="shared" si="1"/>
        <v>-0.25970496894409939</v>
      </c>
      <c r="Q60" s="14"/>
      <c r="R60" s="13" t="s">
        <v>5</v>
      </c>
      <c r="S60" s="10">
        <v>0</v>
      </c>
      <c r="T60" s="12">
        <v>0</v>
      </c>
      <c r="U60" s="10">
        <f t="shared" si="2"/>
        <v>-3</v>
      </c>
      <c r="V60" s="12">
        <f t="shared" si="3"/>
        <v>-19070</v>
      </c>
      <c r="W60" s="11">
        <f t="shared" si="4"/>
        <v>-1</v>
      </c>
      <c r="Y60" s="14"/>
      <c r="Z60" s="13" t="s">
        <v>5</v>
      </c>
      <c r="AA60" s="10">
        <v>1</v>
      </c>
      <c r="AB60" s="12">
        <v>4890</v>
      </c>
      <c r="AC60" s="10">
        <f t="shared" si="5"/>
        <v>1</v>
      </c>
      <c r="AD60" s="12">
        <f t="shared" si="5"/>
        <v>4890</v>
      </c>
      <c r="AE60" s="11" t="e">
        <f t="shared" si="6"/>
        <v>#DIV/0!</v>
      </c>
      <c r="AG60" s="14"/>
      <c r="AH60" s="13" t="s">
        <v>5</v>
      </c>
      <c r="AI60" s="13">
        <v>2</v>
      </c>
      <c r="AJ60" s="10">
        <v>11180</v>
      </c>
      <c r="AK60" s="10">
        <f t="shared" si="7"/>
        <v>1</v>
      </c>
      <c r="AL60" s="12">
        <f t="shared" si="7"/>
        <v>6290</v>
      </c>
      <c r="AM60" s="11">
        <f t="shared" si="8"/>
        <v>1.2862985685071575</v>
      </c>
      <c r="AO60" s="14"/>
      <c r="AP60" s="13" t="s">
        <v>5</v>
      </c>
      <c r="AQ60" s="10">
        <v>1</v>
      </c>
      <c r="AR60" s="12">
        <v>6390</v>
      </c>
      <c r="AS60" s="10">
        <f t="shared" si="9"/>
        <v>-1</v>
      </c>
      <c r="AT60" s="12">
        <f t="shared" si="9"/>
        <v>-4790</v>
      </c>
      <c r="AU60" s="11">
        <f t="shared" si="10"/>
        <v>-0.42844364937388191</v>
      </c>
      <c r="AW60" s="14"/>
      <c r="AX60" s="13" t="s">
        <v>5</v>
      </c>
      <c r="AY60" s="10">
        <v>3</v>
      </c>
      <c r="AZ60" s="12">
        <v>18970</v>
      </c>
      <c r="BA60" s="10">
        <f t="shared" si="11"/>
        <v>2</v>
      </c>
      <c r="BB60" s="12">
        <f t="shared" si="12"/>
        <v>12580</v>
      </c>
      <c r="BC60" s="11">
        <f t="shared" si="13"/>
        <v>1.9687010954616588</v>
      </c>
      <c r="BE60" s="14"/>
      <c r="BF60" s="13" t="s">
        <v>5</v>
      </c>
      <c r="BG60" s="10">
        <v>4</v>
      </c>
      <c r="BH60" s="12">
        <v>17360</v>
      </c>
      <c r="BI60" s="10">
        <f t="shared" si="14"/>
        <v>1</v>
      </c>
      <c r="BJ60" s="12">
        <f t="shared" si="15"/>
        <v>-1610</v>
      </c>
      <c r="BK60" s="11">
        <f t="shared" si="16"/>
        <v>-8.4870848708487087E-2</v>
      </c>
      <c r="BM60" s="14"/>
      <c r="BN60" s="13" t="s">
        <v>5</v>
      </c>
      <c r="BP60" s="12"/>
      <c r="BQ60" s="10">
        <f t="shared" si="17"/>
        <v>-4</v>
      </c>
      <c r="BR60" s="12">
        <f t="shared" si="18"/>
        <v>-17360</v>
      </c>
      <c r="BS60" s="11">
        <f t="shared" si="19"/>
        <v>-1</v>
      </c>
      <c r="BU60" s="14"/>
      <c r="BV60" s="13" t="s">
        <v>5</v>
      </c>
      <c r="BW60" s="10">
        <v>1</v>
      </c>
      <c r="BX60" s="12">
        <v>6290</v>
      </c>
      <c r="BY60" s="10">
        <f t="shared" si="23"/>
        <v>1</v>
      </c>
      <c r="BZ60" s="12">
        <f t="shared" si="21"/>
        <v>6290</v>
      </c>
      <c r="CA60" s="11" t="e">
        <f t="shared" si="22"/>
        <v>#DIV/0!</v>
      </c>
      <c r="CC60" s="14"/>
      <c r="CD60" s="13"/>
      <c r="CF60" s="12"/>
      <c r="CH60" s="12"/>
      <c r="CI60" s="11"/>
      <c r="CK60" s="14"/>
      <c r="CL60" s="13"/>
      <c r="CN60" s="12"/>
      <c r="CP60" s="12"/>
      <c r="CQ60" s="11"/>
      <c r="CS60" s="14"/>
      <c r="CT60" s="13"/>
      <c r="CV60" s="12"/>
      <c r="CX60" s="12"/>
      <c r="CY60" s="11"/>
    </row>
    <row r="61" spans="1:103" s="10" customFormat="1" ht="20" customHeight="1">
      <c r="A61" s="14"/>
      <c r="B61" s="13" t="s">
        <v>4</v>
      </c>
      <c r="C61" s="10">
        <v>4</v>
      </c>
      <c r="D61" s="12">
        <v>177680.95238094</v>
      </c>
      <c r="F61" s="12"/>
      <c r="G61" s="11"/>
      <c r="I61" s="14"/>
      <c r="J61" s="13" t="s">
        <v>4</v>
      </c>
      <c r="K61" s="10">
        <v>3</v>
      </c>
      <c r="L61" s="12">
        <v>93052.380952380001</v>
      </c>
      <c r="M61" s="10">
        <f t="shared" si="0"/>
        <v>-1</v>
      </c>
      <c r="N61" s="12">
        <f t="shared" si="0"/>
        <v>-84628.571428559997</v>
      </c>
      <c r="O61" s="11">
        <f t="shared" si="1"/>
        <v>-0.47629512502341914</v>
      </c>
      <c r="Q61" s="14"/>
      <c r="R61" s="13" t="s">
        <v>4</v>
      </c>
      <c r="S61" s="10">
        <v>3</v>
      </c>
      <c r="T61" s="12">
        <v>133047.61904761</v>
      </c>
      <c r="U61" s="10">
        <f t="shared" si="2"/>
        <v>0</v>
      </c>
      <c r="V61" s="12">
        <f t="shared" si="3"/>
        <v>39995.238095230001</v>
      </c>
      <c r="W61" s="11">
        <f t="shared" si="4"/>
        <v>0.42981423673294028</v>
      </c>
      <c r="Y61" s="14"/>
      <c r="Z61" s="13" t="s">
        <v>4</v>
      </c>
      <c r="AA61" s="10">
        <v>2</v>
      </c>
      <c r="AB61" s="12">
        <v>75999.999999990003</v>
      </c>
      <c r="AC61" s="10">
        <f t="shared" si="5"/>
        <v>-1</v>
      </c>
      <c r="AD61" s="12">
        <f t="shared" si="5"/>
        <v>-57047.619047619999</v>
      </c>
      <c r="AE61" s="11">
        <f t="shared" si="6"/>
        <v>-0.42877594846102413</v>
      </c>
      <c r="AG61" s="14"/>
      <c r="AH61" s="13" t="s">
        <v>4</v>
      </c>
      <c r="AI61" s="13">
        <v>2</v>
      </c>
      <c r="AJ61" s="10">
        <v>80147.619047610002</v>
      </c>
      <c r="AK61" s="10">
        <f t="shared" si="7"/>
        <v>0</v>
      </c>
      <c r="AL61" s="12">
        <f t="shared" si="7"/>
        <v>4147.619047619999</v>
      </c>
      <c r="AM61" s="11">
        <f t="shared" si="8"/>
        <v>5.4573934837112432E-2</v>
      </c>
      <c r="AO61" s="14"/>
      <c r="AP61" s="13" t="s">
        <v>4</v>
      </c>
      <c r="AQ61" s="10">
        <v>1</v>
      </c>
      <c r="AR61" s="12">
        <v>38000</v>
      </c>
      <c r="AS61" s="10">
        <f t="shared" si="9"/>
        <v>-1</v>
      </c>
      <c r="AT61" s="12">
        <f t="shared" si="9"/>
        <v>-42147.619047610002</v>
      </c>
      <c r="AU61" s="11">
        <f t="shared" si="10"/>
        <v>-0.525874873744822</v>
      </c>
      <c r="AW61" s="14"/>
      <c r="AX61" s="13" t="s">
        <v>4</v>
      </c>
      <c r="AY61" s="10">
        <v>6</v>
      </c>
      <c r="AZ61" s="12">
        <v>204533.33333333</v>
      </c>
      <c r="BA61" s="10">
        <f t="shared" si="11"/>
        <v>5</v>
      </c>
      <c r="BB61" s="12">
        <f t="shared" si="12"/>
        <v>166533.33333333</v>
      </c>
      <c r="BC61" s="11">
        <f t="shared" si="13"/>
        <v>4.3824561403507891</v>
      </c>
      <c r="BE61" s="14"/>
      <c r="BF61" s="13" t="s">
        <v>4</v>
      </c>
      <c r="BG61" s="10">
        <v>6</v>
      </c>
      <c r="BH61" s="12">
        <v>182290.47619047001</v>
      </c>
      <c r="BI61" s="10">
        <f t="shared" si="14"/>
        <v>0</v>
      </c>
      <c r="BJ61" s="12">
        <f t="shared" si="15"/>
        <v>-22242.857142859983</v>
      </c>
      <c r="BK61" s="11">
        <f t="shared" si="16"/>
        <v>-0.10874930154592738</v>
      </c>
      <c r="BM61" s="14"/>
      <c r="BN61" s="13" t="s">
        <v>4</v>
      </c>
      <c r="BO61" s="10">
        <v>6</v>
      </c>
      <c r="BP61" s="12">
        <v>239999.99999996001</v>
      </c>
      <c r="BQ61" s="10">
        <f t="shared" si="17"/>
        <v>0</v>
      </c>
      <c r="BR61" s="12">
        <f t="shared" si="18"/>
        <v>57709.523809489998</v>
      </c>
      <c r="BS61" s="11">
        <f t="shared" si="19"/>
        <v>0.31658002664489721</v>
      </c>
      <c r="BU61" s="14"/>
      <c r="BV61" s="13" t="s">
        <v>4</v>
      </c>
      <c r="BW61" s="10">
        <v>3</v>
      </c>
      <c r="BX61" s="12">
        <v>83142.857142840003</v>
      </c>
      <c r="BY61" s="10">
        <f t="shared" si="23"/>
        <v>-3</v>
      </c>
      <c r="BZ61" s="12">
        <f t="shared" si="21"/>
        <v>-156857.14285712002</v>
      </c>
      <c r="CA61" s="11">
        <f t="shared" si="22"/>
        <v>-0.65357142857144235</v>
      </c>
      <c r="CC61" s="14"/>
      <c r="CD61" s="13"/>
      <c r="CF61" s="12"/>
      <c r="CH61" s="12"/>
      <c r="CI61" s="11"/>
      <c r="CK61" s="14"/>
      <c r="CL61" s="13"/>
      <c r="CN61" s="12"/>
      <c r="CP61" s="12"/>
      <c r="CQ61" s="11"/>
      <c r="CS61" s="14"/>
      <c r="CT61" s="13"/>
      <c r="CV61" s="12"/>
      <c r="CX61" s="12"/>
      <c r="CY61" s="11"/>
    </row>
    <row r="62" spans="1:103" s="10" customFormat="1" ht="20" customHeight="1">
      <c r="A62" s="14"/>
      <c r="B62" s="13" t="s">
        <v>3</v>
      </c>
      <c r="C62" s="10">
        <v>17</v>
      </c>
      <c r="D62" s="12">
        <v>311714.28571422998</v>
      </c>
      <c r="F62" s="12"/>
      <c r="G62" s="11"/>
      <c r="I62" s="14"/>
      <c r="J62" s="13" t="s">
        <v>3</v>
      </c>
      <c r="K62" s="10">
        <v>14</v>
      </c>
      <c r="L62" s="12">
        <v>216285.71428566999</v>
      </c>
      <c r="M62" s="10">
        <f t="shared" si="0"/>
        <v>-3</v>
      </c>
      <c r="N62" s="12">
        <f t="shared" si="0"/>
        <v>-95428.571428559982</v>
      </c>
      <c r="O62" s="11">
        <f t="shared" si="1"/>
        <v>-0.30614115490377602</v>
      </c>
      <c r="Q62" s="14"/>
      <c r="R62" s="13" t="s">
        <v>3</v>
      </c>
      <c r="S62" s="10">
        <v>11</v>
      </c>
      <c r="T62" s="12">
        <v>149428.57142853999</v>
      </c>
      <c r="U62" s="10">
        <f t="shared" si="2"/>
        <v>-3</v>
      </c>
      <c r="V62" s="12">
        <f t="shared" si="3"/>
        <v>-66857.142857130006</v>
      </c>
      <c r="W62" s="11">
        <f t="shared" si="4"/>
        <v>-0.30911492734478591</v>
      </c>
      <c r="Y62" s="14"/>
      <c r="Z62" s="13" t="s">
        <v>3</v>
      </c>
      <c r="AA62" s="10">
        <v>15</v>
      </c>
      <c r="AB62" s="12">
        <v>280476.19047614001</v>
      </c>
      <c r="AC62" s="10">
        <f t="shared" si="5"/>
        <v>4</v>
      </c>
      <c r="AD62" s="12">
        <f t="shared" si="5"/>
        <v>131047.61904760002</v>
      </c>
      <c r="AE62" s="11">
        <f t="shared" si="6"/>
        <v>0.87699171446787105</v>
      </c>
      <c r="AG62" s="14"/>
      <c r="AH62" s="13" t="s">
        <v>3</v>
      </c>
      <c r="AI62" s="13">
        <v>32</v>
      </c>
      <c r="AJ62" s="10">
        <v>579809.52380945021</v>
      </c>
      <c r="AK62" s="10">
        <f t="shared" si="7"/>
        <v>17</v>
      </c>
      <c r="AL62" s="12">
        <f t="shared" si="7"/>
        <v>299333.33333331021</v>
      </c>
      <c r="AM62" s="11">
        <f t="shared" si="8"/>
        <v>1.0672325976231996</v>
      </c>
      <c r="AO62" s="14"/>
      <c r="AP62" s="13" t="s">
        <v>3</v>
      </c>
      <c r="AQ62" s="10">
        <v>17</v>
      </c>
      <c r="AR62" s="12">
        <v>292666.66666660999</v>
      </c>
      <c r="AS62" s="10">
        <f t="shared" si="9"/>
        <v>-15</v>
      </c>
      <c r="AT62" s="12">
        <f t="shared" si="9"/>
        <v>-287142.85714284022</v>
      </c>
      <c r="AU62" s="11">
        <f t="shared" si="10"/>
        <v>-0.49523653088045416</v>
      </c>
      <c r="AW62" s="14"/>
      <c r="AX62" s="13" t="s">
        <v>3</v>
      </c>
      <c r="AY62" s="10">
        <v>22</v>
      </c>
      <c r="AZ62" s="12">
        <v>351238.09523805999</v>
      </c>
      <c r="BA62" s="10">
        <f t="shared" si="11"/>
        <v>5</v>
      </c>
      <c r="BB62" s="12">
        <f t="shared" si="12"/>
        <v>58571.42857145</v>
      </c>
      <c r="BC62" s="11">
        <f t="shared" si="13"/>
        <v>0.20013016596171301</v>
      </c>
      <c r="BE62" s="14"/>
      <c r="BF62" s="13" t="s">
        <v>3</v>
      </c>
      <c r="BG62" s="10">
        <v>30</v>
      </c>
      <c r="BH62" s="12">
        <v>572857.14285707008</v>
      </c>
      <c r="BI62" s="10">
        <f t="shared" si="14"/>
        <v>8</v>
      </c>
      <c r="BJ62" s="12">
        <f t="shared" si="15"/>
        <v>221619.04761901009</v>
      </c>
      <c r="BK62" s="11">
        <f t="shared" si="16"/>
        <v>0.63096529284160507</v>
      </c>
      <c r="BM62" s="14"/>
      <c r="BN62" s="13" t="s">
        <v>3</v>
      </c>
      <c r="BO62" s="10">
        <v>16</v>
      </c>
      <c r="BP62" s="12">
        <v>271333.33333329001</v>
      </c>
      <c r="BQ62" s="10">
        <f t="shared" si="17"/>
        <v>-14</v>
      </c>
      <c r="BR62" s="12">
        <f t="shared" si="18"/>
        <v>-301523.80952378007</v>
      </c>
      <c r="BS62" s="11">
        <f t="shared" si="19"/>
        <v>-0.52635078969245108</v>
      </c>
      <c r="BU62" s="14"/>
      <c r="BV62" s="13" t="s">
        <v>3</v>
      </c>
      <c r="BW62" s="10">
        <v>10</v>
      </c>
      <c r="BX62" s="12">
        <v>217142.85714284002</v>
      </c>
      <c r="BY62" s="10">
        <f t="shared" si="23"/>
        <v>-6</v>
      </c>
      <c r="BZ62" s="12">
        <f t="shared" si="21"/>
        <v>-54190.47619044999</v>
      </c>
      <c r="CA62" s="11">
        <f t="shared" si="22"/>
        <v>-0.19971919971913504</v>
      </c>
      <c r="CC62" s="14"/>
      <c r="CD62" s="13"/>
      <c r="CF62" s="12"/>
      <c r="CH62" s="12"/>
      <c r="CI62" s="11"/>
      <c r="CK62" s="14"/>
      <c r="CL62" s="13"/>
      <c r="CN62" s="12"/>
      <c r="CP62" s="12"/>
      <c r="CQ62" s="11"/>
      <c r="CS62" s="14"/>
      <c r="CT62" s="13"/>
      <c r="CV62" s="12"/>
      <c r="CX62" s="12"/>
      <c r="CY62" s="11"/>
    </row>
    <row r="63" spans="1:103" s="10" customFormat="1" ht="20" customHeight="1">
      <c r="A63" s="14"/>
      <c r="B63" s="13" t="s">
        <v>2</v>
      </c>
      <c r="C63" s="10">
        <v>46</v>
      </c>
      <c r="D63" s="12">
        <v>1544700.95238089</v>
      </c>
      <c r="F63" s="12"/>
      <c r="G63" s="11"/>
      <c r="I63" s="14"/>
      <c r="J63" s="13" t="s">
        <v>2</v>
      </c>
      <c r="K63" s="10">
        <v>35</v>
      </c>
      <c r="L63" s="12">
        <v>1214285.7142856801</v>
      </c>
      <c r="M63" s="10">
        <f t="shared" si="0"/>
        <v>-11</v>
      </c>
      <c r="N63" s="12">
        <f t="shared" si="0"/>
        <v>-330415.23809520993</v>
      </c>
      <c r="O63" s="11">
        <f t="shared" si="1"/>
        <v>-0.21390239812174119</v>
      </c>
      <c r="Q63" s="14"/>
      <c r="R63" s="13" t="s">
        <v>2</v>
      </c>
      <c r="S63" s="10">
        <v>24</v>
      </c>
      <c r="T63" s="12">
        <v>923428.57142854005</v>
      </c>
      <c r="U63" s="10">
        <f t="shared" si="2"/>
        <v>-11</v>
      </c>
      <c r="V63" s="12">
        <f t="shared" si="3"/>
        <v>-290857.14285714005</v>
      </c>
      <c r="W63" s="11">
        <f t="shared" si="4"/>
        <v>-0.23952941176471032</v>
      </c>
      <c r="Y63" s="14"/>
      <c r="Z63" s="13" t="s">
        <v>2</v>
      </c>
      <c r="AA63" s="10">
        <v>66</v>
      </c>
      <c r="AB63" s="12">
        <v>2531809.52380946</v>
      </c>
      <c r="AC63" s="10">
        <f t="shared" si="5"/>
        <v>42</v>
      </c>
      <c r="AD63" s="12">
        <f t="shared" si="5"/>
        <v>1608380.9523809198</v>
      </c>
      <c r="AE63" s="11">
        <f t="shared" si="6"/>
        <v>1.7417491749175158</v>
      </c>
      <c r="AG63" s="14"/>
      <c r="AH63" s="13" t="s">
        <v>2</v>
      </c>
      <c r="AI63" s="13">
        <v>51</v>
      </c>
      <c r="AJ63" s="10">
        <v>1968476.19047614</v>
      </c>
      <c r="AK63" s="10">
        <f t="shared" si="7"/>
        <v>-15</v>
      </c>
      <c r="AL63" s="12">
        <f t="shared" si="7"/>
        <v>-563333.33333331998</v>
      </c>
      <c r="AM63" s="11">
        <f t="shared" si="8"/>
        <v>-0.22250225699669007</v>
      </c>
      <c r="AO63" s="14"/>
      <c r="AP63" s="13" t="s">
        <v>2</v>
      </c>
      <c r="AQ63" s="10">
        <v>50</v>
      </c>
      <c r="AR63" s="12">
        <v>1833431.4285713602</v>
      </c>
      <c r="AS63" s="10">
        <f t="shared" si="9"/>
        <v>-1</v>
      </c>
      <c r="AT63" s="12">
        <f t="shared" si="9"/>
        <v>-135044.76190477982</v>
      </c>
      <c r="AU63" s="11">
        <f t="shared" si="10"/>
        <v>-6.8603706033200665E-2</v>
      </c>
      <c r="AW63" s="14"/>
      <c r="AX63" s="13" t="s">
        <v>2</v>
      </c>
      <c r="AY63" s="10">
        <v>63</v>
      </c>
      <c r="AZ63" s="12">
        <v>2327903.8095237599</v>
      </c>
      <c r="BA63" s="10">
        <f t="shared" si="11"/>
        <v>13</v>
      </c>
      <c r="BB63" s="12">
        <f t="shared" si="12"/>
        <v>494472.38095239969</v>
      </c>
      <c r="BC63" s="11">
        <f t="shared" si="13"/>
        <v>0.2696977772098631</v>
      </c>
      <c r="BE63" s="14"/>
      <c r="BF63" s="13" t="s">
        <v>2</v>
      </c>
      <c r="BG63" s="10">
        <v>40</v>
      </c>
      <c r="BH63" s="12">
        <v>1290476.19047615</v>
      </c>
      <c r="BI63" s="10">
        <f t="shared" si="14"/>
        <v>-23</v>
      </c>
      <c r="BJ63" s="12">
        <f t="shared" si="15"/>
        <v>-1037427.6190476099</v>
      </c>
      <c r="BK63" s="11">
        <f t="shared" si="16"/>
        <v>-0.44564883428746382</v>
      </c>
      <c r="BM63" s="14"/>
      <c r="BN63" s="13" t="s">
        <v>2</v>
      </c>
      <c r="BO63" s="10">
        <v>23</v>
      </c>
      <c r="BP63" s="12">
        <v>714004.76190474001</v>
      </c>
      <c r="BQ63" s="10">
        <f t="shared" si="17"/>
        <v>-17</v>
      </c>
      <c r="BR63" s="12">
        <f t="shared" si="18"/>
        <v>-576471.42857141001</v>
      </c>
      <c r="BS63" s="11">
        <f t="shared" si="19"/>
        <v>-0.44671217712177086</v>
      </c>
      <c r="BU63" s="14"/>
      <c r="BV63" s="13" t="s">
        <v>2</v>
      </c>
      <c r="BW63" s="10">
        <v>14</v>
      </c>
      <c r="BX63" s="12">
        <v>456340.95238093007</v>
      </c>
      <c r="BY63" s="10">
        <f t="shared" si="23"/>
        <v>-9</v>
      </c>
      <c r="BZ63" s="12">
        <f t="shared" si="21"/>
        <v>-257663.80952380993</v>
      </c>
      <c r="CA63" s="11">
        <f t="shared" si="22"/>
        <v>-0.36087127603525215</v>
      </c>
      <c r="CC63" s="14"/>
      <c r="CD63" s="13"/>
      <c r="CF63" s="12"/>
      <c r="CH63" s="12"/>
      <c r="CI63" s="11"/>
      <c r="CK63" s="14"/>
      <c r="CL63" s="13"/>
      <c r="CN63" s="12"/>
      <c r="CP63" s="12"/>
      <c r="CQ63" s="11"/>
      <c r="CS63" s="14"/>
      <c r="CT63" s="13"/>
      <c r="CV63" s="12"/>
      <c r="CX63" s="12"/>
      <c r="CY63" s="11"/>
    </row>
    <row r="64" spans="1:103" s="1" customFormat="1" ht="20" customHeight="1">
      <c r="A64" s="9" t="s">
        <v>1</v>
      </c>
      <c r="B64" s="9"/>
      <c r="C64" s="8">
        <v>316</v>
      </c>
      <c r="D64" s="7">
        <v>2457865.71428497</v>
      </c>
      <c r="E64" s="27"/>
      <c r="F64" s="28"/>
      <c r="G64" s="29"/>
      <c r="I64" s="9" t="s">
        <v>1</v>
      </c>
      <c r="J64" s="9"/>
      <c r="K64" s="8">
        <v>251</v>
      </c>
      <c r="L64" s="7">
        <v>2002116.6666659401</v>
      </c>
      <c r="M64" s="27">
        <f t="shared" si="0"/>
        <v>-65</v>
      </c>
      <c r="N64" s="28">
        <f t="shared" si="0"/>
        <v>-455749.04761902988</v>
      </c>
      <c r="O64" s="29">
        <f t="shared" si="1"/>
        <v>-0.18542471420234369</v>
      </c>
      <c r="Q64" s="9" t="s">
        <v>1</v>
      </c>
      <c r="R64" s="9"/>
      <c r="S64" s="8">
        <v>266</v>
      </c>
      <c r="T64" s="7">
        <v>1614313.3333326699</v>
      </c>
      <c r="U64" s="27">
        <f t="shared" si="2"/>
        <v>15</v>
      </c>
      <c r="V64" s="28">
        <f t="shared" si="3"/>
        <v>-387803.33333327016</v>
      </c>
      <c r="W64" s="29">
        <f t="shared" si="4"/>
        <v>-0.1936966710232059</v>
      </c>
      <c r="Y64" s="9" t="s">
        <v>1</v>
      </c>
      <c r="Z64" s="9"/>
      <c r="AA64" s="8">
        <v>356</v>
      </c>
      <c r="AB64" s="7">
        <v>3397588.09523725</v>
      </c>
      <c r="AC64" s="27">
        <f t="shared" si="5"/>
        <v>90</v>
      </c>
      <c r="AD64" s="28">
        <f t="shared" si="5"/>
        <v>1783274.7619045801</v>
      </c>
      <c r="AE64" s="29">
        <f t="shared" si="6"/>
        <v>1.1046645809603131</v>
      </c>
      <c r="AG64" s="9" t="s">
        <v>1</v>
      </c>
      <c r="AH64" s="9"/>
      <c r="AI64" s="9">
        <v>433</v>
      </c>
      <c r="AJ64" s="8">
        <v>3239421.9047608003</v>
      </c>
      <c r="AK64" s="27">
        <f t="shared" si="7"/>
        <v>77</v>
      </c>
      <c r="AL64" s="28">
        <f t="shared" si="7"/>
        <v>-158166.19047644967</v>
      </c>
      <c r="AM64" s="29">
        <f t="shared" si="8"/>
        <v>-4.6552491368264316E-2</v>
      </c>
      <c r="AO64" s="9" t="s">
        <v>1</v>
      </c>
      <c r="AP64" s="9"/>
      <c r="AQ64" s="8">
        <v>362</v>
      </c>
      <c r="AR64" s="7">
        <v>2747990.9523799503</v>
      </c>
      <c r="AS64" s="27">
        <f t="shared" si="9"/>
        <v>-71</v>
      </c>
      <c r="AT64" s="28">
        <f t="shared" si="9"/>
        <v>-491430.95238084998</v>
      </c>
      <c r="AU64" s="29">
        <f t="shared" si="10"/>
        <v>-0.15170328744725128</v>
      </c>
      <c r="AW64" s="9" t="s">
        <v>1</v>
      </c>
      <c r="AX64" s="9"/>
      <c r="AY64" s="8">
        <v>437</v>
      </c>
      <c r="AZ64" s="7">
        <v>3686077.6190466699</v>
      </c>
      <c r="BA64" s="27">
        <f t="shared" si="11"/>
        <v>75</v>
      </c>
      <c r="BB64" s="28">
        <f t="shared" si="12"/>
        <v>938086.6666667196</v>
      </c>
      <c r="BC64" s="29">
        <f t="shared" si="13"/>
        <v>0.34137181778355991</v>
      </c>
      <c r="BE64" s="9" t="s">
        <v>1</v>
      </c>
      <c r="BF64" s="9"/>
      <c r="BG64" s="8">
        <v>581</v>
      </c>
      <c r="BH64" s="7">
        <v>3121210.4761890704</v>
      </c>
      <c r="BI64" s="27">
        <f t="shared" si="14"/>
        <v>144</v>
      </c>
      <c r="BJ64" s="28">
        <f t="shared" si="15"/>
        <v>-564867.14285759954</v>
      </c>
      <c r="BK64" s="29">
        <f t="shared" si="16"/>
        <v>-0.15324342057769558</v>
      </c>
      <c r="BM64" s="9" t="s">
        <v>1</v>
      </c>
      <c r="BN64" s="9"/>
      <c r="BO64" s="8">
        <v>340</v>
      </c>
      <c r="BP64" s="7">
        <v>1813529.52380869</v>
      </c>
      <c r="BQ64" s="27">
        <f t="shared" si="17"/>
        <v>-241</v>
      </c>
      <c r="BR64" s="28">
        <f t="shared" si="18"/>
        <v>-1307680.9523803804</v>
      </c>
      <c r="BS64" s="29">
        <f t="shared" si="19"/>
        <v>-0.41896596283920917</v>
      </c>
      <c r="BU64" s="9" t="s">
        <v>1</v>
      </c>
      <c r="BV64" s="9"/>
      <c r="BW64" s="8">
        <v>258</v>
      </c>
      <c r="BX64" s="7">
        <v>1139122.3809517003</v>
      </c>
      <c r="BY64" s="27">
        <f t="shared" si="23"/>
        <v>-82</v>
      </c>
      <c r="BZ64" s="28">
        <f t="shared" si="21"/>
        <v>-674407.14285698975</v>
      </c>
      <c r="CA64" s="29">
        <f t="shared" si="22"/>
        <v>-0.371875469355818</v>
      </c>
      <c r="CC64" s="9"/>
      <c r="CD64" s="9"/>
      <c r="CE64" s="8"/>
      <c r="CF64" s="7"/>
      <c r="CG64" s="27"/>
      <c r="CH64" s="28"/>
      <c r="CI64" s="29"/>
      <c r="CK64" s="9"/>
      <c r="CL64" s="9"/>
      <c r="CM64" s="8"/>
      <c r="CN64" s="7"/>
      <c r="CO64" s="27"/>
      <c r="CP64" s="28"/>
      <c r="CQ64" s="29"/>
      <c r="CS64" s="9"/>
      <c r="CT64" s="9"/>
      <c r="CU64" s="8"/>
      <c r="CV64" s="7"/>
      <c r="CW64" s="27"/>
      <c r="CX64" s="28"/>
      <c r="CY64" s="29"/>
    </row>
    <row r="65" spans="1:103" s="1" customFormat="1" ht="20" customHeight="1">
      <c r="A65" s="4" t="s">
        <v>0</v>
      </c>
      <c r="B65" s="4"/>
      <c r="C65" s="3">
        <v>2523</v>
      </c>
      <c r="D65" s="2">
        <v>22128178.571423896</v>
      </c>
      <c r="E65" s="6"/>
      <c r="F65" s="5"/>
      <c r="G65" s="30"/>
      <c r="I65" s="4" t="s">
        <v>0</v>
      </c>
      <c r="J65" s="4"/>
      <c r="K65" s="3">
        <v>2253</v>
      </c>
      <c r="L65" s="2">
        <v>20082904.285710044</v>
      </c>
      <c r="M65" s="6">
        <f t="shared" si="0"/>
        <v>-270</v>
      </c>
      <c r="N65" s="5">
        <f t="shared" si="0"/>
        <v>-2045274.2857138515</v>
      </c>
      <c r="O65" s="30">
        <f t="shared" si="1"/>
        <v>-9.2428496955239595E-2</v>
      </c>
      <c r="Q65" s="4" t="s">
        <v>0</v>
      </c>
      <c r="R65" s="4"/>
      <c r="S65" s="3">
        <v>2501</v>
      </c>
      <c r="T65" s="2">
        <v>22057628.571424037</v>
      </c>
      <c r="U65" s="6">
        <f t="shared" si="2"/>
        <v>248</v>
      </c>
      <c r="V65" s="5">
        <f t="shared" si="3"/>
        <v>1974724.285713993</v>
      </c>
      <c r="W65" s="30">
        <f t="shared" si="4"/>
        <v>9.8328621080921288E-2</v>
      </c>
      <c r="Y65" s="4" t="s">
        <v>0</v>
      </c>
      <c r="Z65" s="4"/>
      <c r="AA65" s="3">
        <v>2881</v>
      </c>
      <c r="AB65" s="2">
        <v>30569097.142852049</v>
      </c>
      <c r="AC65" s="6">
        <f t="shared" si="5"/>
        <v>380</v>
      </c>
      <c r="AD65" s="5">
        <f t="shared" si="5"/>
        <v>8511468.5714280121</v>
      </c>
      <c r="AE65" s="30">
        <f t="shared" si="6"/>
        <v>0.38587414525851332</v>
      </c>
      <c r="AG65" s="4" t="s">
        <v>0</v>
      </c>
      <c r="AH65" s="4"/>
      <c r="AI65" s="4">
        <v>2945</v>
      </c>
      <c r="AJ65" s="3">
        <v>26497391.904756375</v>
      </c>
      <c r="AK65" s="6">
        <f t="shared" si="7"/>
        <v>64</v>
      </c>
      <c r="AL65" s="5">
        <f t="shared" si="7"/>
        <v>-4071705.2380956747</v>
      </c>
      <c r="AM65" s="30">
        <f t="shared" si="8"/>
        <v>-0.13319677774807159</v>
      </c>
      <c r="AO65" s="4" t="s">
        <v>0</v>
      </c>
      <c r="AP65" s="4"/>
      <c r="AQ65" s="3">
        <v>2898</v>
      </c>
      <c r="AR65" s="2">
        <v>30946349.04761371</v>
      </c>
      <c r="AS65" s="6">
        <f t="shared" si="9"/>
        <v>-47</v>
      </c>
      <c r="AT65" s="5">
        <f t="shared" si="9"/>
        <v>4448957.1428573355</v>
      </c>
      <c r="AU65" s="30">
        <f t="shared" si="10"/>
        <v>0.16790169986725118</v>
      </c>
      <c r="AW65" s="4" t="s">
        <v>0</v>
      </c>
      <c r="AX65" s="4"/>
      <c r="AY65" s="3">
        <v>3504</v>
      </c>
      <c r="AZ65" s="2">
        <v>33279158.095231693</v>
      </c>
      <c r="BA65" s="6">
        <f t="shared" si="11"/>
        <v>606</v>
      </c>
      <c r="BB65" s="5">
        <f t="shared" si="12"/>
        <v>2332809.0476179831</v>
      </c>
      <c r="BC65" s="30">
        <f t="shared" si="13"/>
        <v>7.5382367206831058E-2</v>
      </c>
      <c r="BE65" s="4" t="s">
        <v>0</v>
      </c>
      <c r="BF65" s="4"/>
      <c r="BG65" s="3">
        <v>4076</v>
      </c>
      <c r="BH65" s="2">
        <v>27770566.19046903</v>
      </c>
      <c r="BI65" s="6">
        <f t="shared" si="14"/>
        <v>572</v>
      </c>
      <c r="BJ65" s="5">
        <f t="shared" si="15"/>
        <v>-5508591.9047626629</v>
      </c>
      <c r="BK65" s="30">
        <f t="shared" si="16"/>
        <v>-0.16552678072562013</v>
      </c>
      <c r="BM65" s="4" t="s">
        <v>0</v>
      </c>
      <c r="BN65" s="4"/>
      <c r="BO65" s="3">
        <v>2562</v>
      </c>
      <c r="BP65" s="2">
        <v>17037617.14285263</v>
      </c>
      <c r="BQ65" s="6">
        <f t="shared" si="17"/>
        <v>-1514</v>
      </c>
      <c r="BR65" s="5">
        <f t="shared" si="18"/>
        <v>-10732949.0476164</v>
      </c>
      <c r="BS65" s="30">
        <f t="shared" si="19"/>
        <v>-0.38648650423627268</v>
      </c>
      <c r="BU65" s="4" t="s">
        <v>0</v>
      </c>
      <c r="BV65" s="4"/>
      <c r="BW65" s="3">
        <v>1893</v>
      </c>
      <c r="BX65" s="2">
        <v>11122184.761900868</v>
      </c>
      <c r="BY65" s="6">
        <f t="shared" si="23"/>
        <v>-669</v>
      </c>
      <c r="BZ65" s="5">
        <f t="shared" si="21"/>
        <v>-5915432.3809517622</v>
      </c>
      <c r="CA65" s="30">
        <f t="shared" si="22"/>
        <v>-0.34719833949510465</v>
      </c>
      <c r="CC65" s="4"/>
      <c r="CD65" s="4"/>
      <c r="CE65" s="3"/>
      <c r="CF65" s="2"/>
      <c r="CG65" s="6"/>
      <c r="CH65" s="5"/>
      <c r="CI65" s="30"/>
      <c r="CK65" s="4"/>
      <c r="CL65" s="4"/>
      <c r="CM65" s="3"/>
      <c r="CN65" s="2"/>
      <c r="CO65" s="6"/>
      <c r="CP65" s="5"/>
      <c r="CQ65" s="30"/>
      <c r="CS65" s="4"/>
      <c r="CT65" s="4"/>
      <c r="CU65" s="3"/>
      <c r="CV65" s="2"/>
      <c r="CW65" s="6"/>
      <c r="CX65" s="5"/>
      <c r="CY65" s="30"/>
    </row>
  </sheetData>
  <phoneticPr fontId="2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8" operator="containsText" id="{84E91190-11E8-AE4A-9A8E-E0B241655290}">
            <xm:f>NOT(ISERROR(SEARCH("-",E7)))</xm:f>
            <xm:f>"-"</xm:f>
            <x14:dxf>
              <font>
                <color rgb="FFFF0000"/>
              </font>
            </x14:dxf>
          </x14:cfRule>
          <xm:sqref>E7:G65</xm:sqref>
        </x14:conditionalFormatting>
        <x14:conditionalFormatting xmlns:xm="http://schemas.microsoft.com/office/excel/2006/main">
          <x14:cfRule type="containsText" priority="11" operator="containsText" id="{CCFCC0A6-CB12-AB49-93FE-0A85BBD26278}">
            <xm:f>NOT(ISERROR(SEARCH("-",M5)))</xm:f>
            <xm:f>"-"</xm:f>
            <x14:dxf>
              <font>
                <color rgb="FFFF0000"/>
              </font>
            </x14:dxf>
          </x14:cfRule>
          <xm:sqref>M5:O65</xm:sqref>
        </x14:conditionalFormatting>
        <x14:conditionalFormatting xmlns:xm="http://schemas.microsoft.com/office/excel/2006/main">
          <x14:cfRule type="containsText" priority="10" operator="containsText" id="{77E3898A-1BFA-D640-9BA9-3433EFE4A95F}">
            <xm:f>NOT(ISERROR(SEARCH("-",U5)))</xm:f>
            <xm:f>"-"</xm:f>
            <x14:dxf>
              <font>
                <color rgb="FFFF0000"/>
              </font>
            </x14:dxf>
          </x14:cfRule>
          <xm:sqref>U5:W65</xm:sqref>
        </x14:conditionalFormatting>
        <x14:conditionalFormatting xmlns:xm="http://schemas.microsoft.com/office/excel/2006/main">
          <x14:cfRule type="containsText" priority="9" operator="containsText" id="{D9706009-D5AD-2741-B804-EFED1C726C5E}">
            <xm:f>NOT(ISERROR(SEARCH("-",AC5)))</xm:f>
            <xm:f>"-"</xm:f>
            <x14:dxf>
              <font>
                <color rgb="FFFF0000"/>
              </font>
            </x14:dxf>
          </x14:cfRule>
          <xm:sqref>AC5:AE65</xm:sqref>
        </x14:conditionalFormatting>
        <x14:conditionalFormatting xmlns:xm="http://schemas.microsoft.com/office/excel/2006/main">
          <x14:cfRule type="containsText" priority="7" operator="containsText" id="{0ED7C4E6-BDE3-3246-BC08-84A539C7A360}">
            <xm:f>NOT(ISERROR(SEARCH("-",AJ5)))</xm:f>
            <xm:f>"-"</xm:f>
            <x14:dxf>
              <font>
                <color rgb="FFFF0000"/>
              </font>
            </x14:dxf>
          </x14:cfRule>
          <xm:sqref>AJ5:AM65</xm:sqref>
        </x14:conditionalFormatting>
        <x14:conditionalFormatting xmlns:xm="http://schemas.microsoft.com/office/excel/2006/main">
          <x14:cfRule type="containsText" priority="6" operator="containsText" id="{6F25B2E1-166C-A14E-8434-CB8394590228}">
            <xm:f>NOT(ISERROR(SEARCH("-",AS5)))</xm:f>
            <xm:f>"-"</xm:f>
            <x14:dxf>
              <font>
                <color rgb="FFFF0000"/>
              </font>
            </x14:dxf>
          </x14:cfRule>
          <xm:sqref>AS5:AU65</xm:sqref>
        </x14:conditionalFormatting>
        <x14:conditionalFormatting xmlns:xm="http://schemas.microsoft.com/office/excel/2006/main">
          <x14:cfRule type="containsText" priority="3" operator="containsText" id="{B91A5596-3F8E-6648-95BA-8781A9ECC29E}">
            <xm:f>NOT(ISERROR(SEARCH("-",BA5)))</xm:f>
            <xm:f>"-"</xm:f>
            <x14:dxf>
              <font>
                <color rgb="FFFF0000"/>
              </font>
            </x14:dxf>
          </x14:cfRule>
          <xm:sqref>BA5:BC65</xm:sqref>
        </x14:conditionalFormatting>
        <x14:conditionalFormatting xmlns:xm="http://schemas.microsoft.com/office/excel/2006/main">
          <x14:cfRule type="containsText" priority="4" operator="containsText" id="{E93B6814-05C6-8F46-A383-0AA3B037BA87}">
            <xm:f>NOT(ISERROR(SEARCH("-",BI5)))</xm:f>
            <xm:f>"-"</xm:f>
            <x14:dxf>
              <font>
                <color rgb="FFFF0000"/>
              </font>
            </x14:dxf>
          </x14:cfRule>
          <xm:sqref>BI5:BK65</xm:sqref>
        </x14:conditionalFormatting>
        <x14:conditionalFormatting xmlns:xm="http://schemas.microsoft.com/office/excel/2006/main">
          <x14:cfRule type="containsText" priority="2" operator="containsText" id="{C5C117FA-A310-C347-B988-7B736BE0F8CB}">
            <xm:f>NOT(ISERROR(SEARCH("-",BQ5)))</xm:f>
            <xm:f>"-"</xm:f>
            <x14:dxf>
              <font>
                <color rgb="FFFF0000"/>
              </font>
            </x14:dxf>
          </x14:cfRule>
          <xm:sqref>BQ5:BS65</xm:sqref>
        </x14:conditionalFormatting>
        <x14:conditionalFormatting xmlns:xm="http://schemas.microsoft.com/office/excel/2006/main">
          <x14:cfRule type="containsText" priority="1" operator="containsText" id="{8AD91545-A880-0646-B88D-4021F4CD6A07}">
            <xm:f>NOT(ISERROR(SEARCH("-",BY5)))</xm:f>
            <xm:f>"-"</xm:f>
            <x14:dxf>
              <font>
                <color rgb="FFFF0000"/>
              </font>
            </x14:dxf>
          </x14:cfRule>
          <xm:sqref>BY5:CA65</xm:sqref>
        </x14:conditionalFormatting>
        <x14:conditionalFormatting xmlns:xm="http://schemas.microsoft.com/office/excel/2006/main">
          <x14:cfRule type="containsText" priority="14" operator="containsText" id="{DDBF6E41-C389-2344-92BB-6A5E3B3BC008}">
            <xm:f>NOT(ISERROR(SEARCH("-",CG5)))</xm:f>
            <xm:f>"-"</xm:f>
            <x14:dxf>
              <font>
                <color rgb="FFFF0000"/>
              </font>
            </x14:dxf>
          </x14:cfRule>
          <xm:sqref>CG5:CI65</xm:sqref>
        </x14:conditionalFormatting>
        <x14:conditionalFormatting xmlns:xm="http://schemas.microsoft.com/office/excel/2006/main">
          <x14:cfRule type="containsText" priority="13" operator="containsText" id="{00C895F4-D5E3-F04E-93CB-E795A6DC8C2F}">
            <xm:f>NOT(ISERROR(SEARCH("-",CO5)))</xm:f>
            <xm:f>"-"</xm:f>
            <x14:dxf>
              <font>
                <color rgb="FFFF0000"/>
              </font>
            </x14:dxf>
          </x14:cfRule>
          <xm:sqref>CO5:CQ65</xm:sqref>
        </x14:conditionalFormatting>
        <x14:conditionalFormatting xmlns:xm="http://schemas.microsoft.com/office/excel/2006/main">
          <x14:cfRule type="containsText" priority="12" operator="containsText" id="{4126E041-CCDA-FB44-8F91-ACB733D36FB3}">
            <xm:f>NOT(ISERROR(SEARCH("-",CW5)))</xm:f>
            <xm:f>"-"</xm:f>
            <x14:dxf>
              <font>
                <color rgb="FFFF0000"/>
              </font>
            </x14:dxf>
          </x14:cfRule>
          <xm:sqref>CW5:CY65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2026-03-09T09:46:52Z</dcterms:modified>
</cp:coreProperties>
</file>