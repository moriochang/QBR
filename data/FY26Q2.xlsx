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B4DF30A3-16D2-5140-A737-64237F2E0D1D}" xr6:coauthVersionLast="47" xr6:coauthVersionMax="47" xr10:uidLastSave="{00000000-0000-0000-0000-000000000000}"/>
  <bookViews>
    <workbookView xWindow="5640" yWindow="700" windowWidth="19540" windowHeight="2018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<sst xmlns="http://schemas.openxmlformats.org/spreadsheetml/2006/main" count="910" uniqueCount="48">
  <si>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</si>
  <si>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</si>
  <si>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</si>
  <si>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</si>
  <si>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</si>
  <si>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</si>
  <si>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</si>
  <si>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</si>
  <si>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</si>
  <si>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</si>
  <si>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</si>
  <si>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</si>
  <si>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</si>
  <si>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</si>
  <si>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</si>
  <si>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</si>
  <si>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</si>
  <si>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</si>
  <si>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</si>
  <si>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</si>
  <si>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</si>
  <si>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</si>
  <si>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</si>
  <si>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</si>
  <si>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</si>
  <si>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</si>
  <si>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</si>
  <si>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</si>
  <si>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</si>
  <si>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</si>
  <si>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</si>
  <si>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</si>
  <si>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</si>
  <si>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</si>
  <si>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</si>
  <si>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</si>
  <si>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</si>
  <si>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</si>
  <si>
    <t>26Q2W9</t>
    <phoneticPr fontId="2" type="noConversion"/>
  </si>
  <si>
    <t>02/22~02/28</t>
    <phoneticPr fontId="2" type="noConversion"/>
  </si>
  <si>
    <t>26Q2W10</t>
  </si>
  <si>
    <t>03/01-03/07</t>
    <phoneticPr fontId="2" type="noConversion"/>
  </si>
  <si>
    <t>26Q2W11</t>
    <phoneticPr fontId="2" type="noConversion"/>
  </si>
  <si>
    <t>03/08~03/14</t>
    <phoneticPr fontId="2" type="noConversion"/>
  </si>
  <si>
    <t>26Q2W12</t>
    <phoneticPr fontId="2" type="noConversion"/>
  </si>
  <si>
    <t>03/15~03/21</t>
    <phoneticPr fontId="2" type="noConversion"/>
  </si>
  <si>
    <t>26Q2W13</t>
    <phoneticPr fontId="2" type="noConversion"/>
  </si>
  <si>
    <t>03/22~03/28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</si>
</sst>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12" zoomScale="81" workbookViewId="0">
      <pane xSplit="1" topLeftCell="CK1" activePane="topRight" state="frozen"/>
      <selection pane="topRight" activeCell="DA47" sqref="DA47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 t="s">
        <v>44</v>
      </c>
      <c r="CL1" s="26"/>
      <c r="CN1" s="25"/>
      <c r="CS1" s="26" t="s">
        <v>46</v>
      </c>
      <c r="CT1" s="26"/>
      <c r="CV1" s="25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K2" s="20" t="s">
        <v>45</v>
      </c>
      <c r="CL2" s="21"/>
      <c r="CN2" s="21"/>
      <c r="CO2" s="21"/>
      <c r="CP2" s="21"/>
      <c r="CQ2" s="21"/>
      <c r="CS2" s="20" t="s">
        <v>47</v>
      </c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 t="s">
        <v>16</v>
      </c>
      <c r="L4" s="17" t="s">
        <v>15</v>
      </c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 t="s">
        <v>16</v>
      </c>
      <c r="T4" s="17" t="s">
        <v>15</v>
      </c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 t="s">
        <v>16</v>
      </c>
      <c r="AB4" s="17" t="s">
        <v>15</v>
      </c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 t="s">
        <v>16</v>
      </c>
      <c r="AJ4" s="17" t="s">
        <v>15</v>
      </c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 t="s">
        <v>16</v>
      </c>
      <c r="AR4" s="17" t="s">
        <v>15</v>
      </c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 t="s">
        <v>16</v>
      </c>
      <c r="AZ4" s="17" t="s">
        <v>15</v>
      </c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 t="s">
        <v>16</v>
      </c>
      <c r="BH4" s="17" t="s">
        <v>15</v>
      </c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 t="s">
        <v>16</v>
      </c>
      <c r="BP4" s="17" t="s">
        <v>15</v>
      </c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 t="s">
        <v>16</v>
      </c>
      <c r="BX4" s="17" t="s">
        <v>15</v>
      </c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 t="s">
        <v>16</v>
      </c>
      <c r="CF4" s="17" t="s">
        <v>15</v>
      </c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 t="s">
        <v>16</v>
      </c>
      <c r="CN4" s="17" t="s">
        <v>15</v>
      </c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 t="s">
        <v>16</v>
      </c>
      <c r="CV4" s="17" t="s">
        <v>15</v>
      </c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7390</v>
      </c>
      <c r="BP5" s="1"/>
      <c r="BQ5" s="10">
        <f t="shared" ref="BQ5:BQ65" si="17">BO5-BG5</f>
        <v>-5663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5435</v>
      </c>
      <c r="BX5" s="33"/>
      <c r="BY5" s="10">
        <f t="shared" ref="BY5:BY36" si="20">BW5-BO5</f>
        <v>-1955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6486</v>
      </c>
      <c r="CF5" s="33"/>
      <c r="CG5" s="10">
        <f t="shared" ref="CG5:CG65" si="23">CE5-BW5</f>
        <v>1051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>
        <v>6082</v>
      </c>
      <c r="CN5" s="33"/>
      <c r="CO5" s="10">
        <f t="shared" ref="CO5:CO65" si="26">CM5-CE5</f>
        <v>-404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>
        <v>6354</v>
      </c>
      <c r="CV5" s="33"/>
      <c r="CW5" s="10">
        <f t="shared" ref="CW5:CW65" si="29">CU5-CM5</f>
        <v>272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12</v>
      </c>
      <c r="BP6" s="33"/>
      <c r="BQ6" s="10">
        <f t="shared" si="17"/>
        <v>-6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13</v>
      </c>
      <c r="BX6" s="33"/>
      <c r="BY6" s="10">
        <f t="shared" si="20"/>
        <v>1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E6" s="15">
        <v>15</v>
      </c>
      <c r="CF6" s="33"/>
      <c r="CG6" s="10">
        <f t="shared" si="23"/>
        <v>2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M6" s="15">
        <v>15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U6" s="15">
        <v>18</v>
      </c>
      <c r="CV6" s="33"/>
      <c r="CW6" s="10">
        <f t="shared" si="29"/>
        <v>3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 t="s">
        <v>10</v>
      </c>
      <c r="BO7" s="10">
        <v>278</v>
      </c>
      <c r="BP7" s="12">
        <v>285419.99999915995</v>
      </c>
      <c r="BQ7" s="10">
        <f t="shared" si="17"/>
        <v>-107</v>
      </c>
      <c r="BR7" s="12">
        <f t="shared" si="18"/>
        <v>-107267.6190471602</v>
      </c>
      <c r="BS7" s="11">
        <f t="shared" si="19"/>
        <v>-0.27316272233810168</v>
      </c>
      <c r="BU7" s="14"/>
      <c r="BV7" s="13" t="s">
        <v>10</v>
      </c>
      <c r="BW7" s="10">
        <v>192</v>
      </c>
      <c r="BX7" s="12">
        <v>227552.38095164995</v>
      </c>
      <c r="BY7" s="10">
        <f t="shared" si="20"/>
        <v>-86</v>
      </c>
      <c r="BZ7" s="12">
        <f t="shared" si="21"/>
        <v>-57867.619047510001</v>
      </c>
      <c r="CA7" s="11">
        <f t="shared" si="22"/>
        <v>-0.20274549452624313</v>
      </c>
      <c r="CC7" s="14"/>
      <c r="CD7" s="13" t="s">
        <v>10</v>
      </c>
      <c r="CE7" s="10">
        <v>186</v>
      </c>
      <c r="CF7" s="12">
        <v>218509.52380868993</v>
      </c>
      <c r="CG7" s="10">
        <f t="shared" si="23"/>
        <v>-6</v>
      </c>
      <c r="CH7" s="12">
        <f t="shared" si="24"/>
        <v>-9042.8571429600124</v>
      </c>
      <c r="CI7" s="11">
        <f t="shared" si="25"/>
        <v>-3.9739672708067282E-2</v>
      </c>
      <c r="CK7" s="14"/>
      <c r="CL7" s="13" t="s">
        <v>10</v>
      </c>
      <c r="CM7" s="10">
        <v>171</v>
      </c>
      <c r="CN7" s="12">
        <v>178639.99999928992</v>
      </c>
      <c r="CO7" s="10">
        <f t="shared" si="26"/>
        <v>-15</v>
      </c>
      <c r="CP7" s="12">
        <f t="shared" si="27"/>
        <v>-39869.523809400009</v>
      </c>
      <c r="CQ7" s="11">
        <f t="shared" si="28"/>
        <v>-0.18246126353882261</v>
      </c>
      <c r="CS7" s="14"/>
      <c r="CT7" s="13" t="s">
        <v>10</v>
      </c>
      <c r="CU7" s="10">
        <v>197</v>
      </c>
      <c r="CV7" s="12">
        <v>210633.33333257007</v>
      </c>
      <c r="CW7" s="10">
        <f t="shared" si="29"/>
        <v>26</v>
      </c>
      <c r="CX7" s="12">
        <f t="shared" si="30"/>
        <v>31993.333333280141</v>
      </c>
      <c r="CY7" s="11">
        <f t="shared" si="31"/>
        <v>0.17909389461155012</v>
      </c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 t="s">
        <v>9</v>
      </c>
      <c r="BO8" s="10">
        <v>372</v>
      </c>
      <c r="BP8" s="12">
        <v>461889.52380932996</v>
      </c>
      <c r="BQ8" s="10">
        <f t="shared" si="17"/>
        <v>19</v>
      </c>
      <c r="BR8" s="12">
        <f t="shared" si="18"/>
        <v>3524.7619047299377</v>
      </c>
      <c r="BS8" s="11">
        <f t="shared" si="19"/>
        <v>7.6898623054787755E-3</v>
      </c>
      <c r="BU8" s="14"/>
      <c r="BV8" s="13" t="s">
        <v>9</v>
      </c>
      <c r="BW8" s="10">
        <v>251</v>
      </c>
      <c r="BX8" s="12">
        <v>308536.19047602999</v>
      </c>
      <c r="BY8" s="10">
        <f t="shared" si="20"/>
        <v>-121</v>
      </c>
      <c r="BZ8" s="12">
        <f t="shared" si="21"/>
        <v>-153353.33333329996</v>
      </c>
      <c r="CA8" s="11">
        <f t="shared" si="22"/>
        <v>-0.33201301486241308</v>
      </c>
      <c r="CC8" s="14"/>
      <c r="CD8" s="13" t="s">
        <v>9</v>
      </c>
      <c r="CE8" s="10">
        <v>233</v>
      </c>
      <c r="CF8" s="12">
        <v>280382.85714268993</v>
      </c>
      <c r="CG8" s="10">
        <f t="shared" si="23"/>
        <v>-18</v>
      </c>
      <c r="CH8" s="12">
        <f t="shared" si="24"/>
        <v>-28153.333333340066</v>
      </c>
      <c r="CI8" s="11">
        <f t="shared" si="25"/>
        <v>-9.1248074625875322E-2</v>
      </c>
      <c r="CK8" s="14"/>
      <c r="CL8" s="13" t="s">
        <v>9</v>
      </c>
      <c r="CM8" s="10">
        <v>217</v>
      </c>
      <c r="CN8" s="12">
        <v>242963.80952367</v>
      </c>
      <c r="CO8" s="10">
        <f t="shared" si="26"/>
        <v>-16</v>
      </c>
      <c r="CP8" s="12">
        <f t="shared" si="27"/>
        <v>-37419.047619019926</v>
      </c>
      <c r="CQ8" s="11">
        <f t="shared" si="28"/>
        <v>-0.13345697379771318</v>
      </c>
      <c r="CS8" s="14"/>
      <c r="CT8" s="13" t="s">
        <v>9</v>
      </c>
      <c r="CU8" s="10">
        <v>237</v>
      </c>
      <c r="CV8" s="12">
        <v>348669.52380933991</v>
      </c>
      <c r="CW8" s="10">
        <f t="shared" si="29"/>
        <v>20</v>
      </c>
      <c r="CX8" s="12">
        <f t="shared" si="30"/>
        <v>105705.71428566991</v>
      </c>
      <c r="CY8" s="11">
        <f t="shared" si="31"/>
        <v>0.43506773495569451</v>
      </c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 t="s">
        <v>8</v>
      </c>
      <c r="BO9" s="10">
        <v>114</v>
      </c>
      <c r="BP9" s="12">
        <v>758651.42857138999</v>
      </c>
      <c r="BQ9" s="10">
        <f t="shared" si="17"/>
        <v>-36</v>
      </c>
      <c r="BR9" s="12">
        <f t="shared" si="18"/>
        <v>-257927.61904759996</v>
      </c>
      <c r="BS9" s="11">
        <f t="shared" si="19"/>
        <v>-0.25372116379116078</v>
      </c>
      <c r="BU9" s="14"/>
      <c r="BV9" s="13" t="s">
        <v>8</v>
      </c>
      <c r="BW9" s="10">
        <v>73</v>
      </c>
      <c r="BX9" s="12">
        <v>487876.19047616998</v>
      </c>
      <c r="BY9" s="10">
        <f t="shared" si="20"/>
        <v>-41</v>
      </c>
      <c r="BZ9" s="12">
        <f t="shared" si="21"/>
        <v>-270775.23809522</v>
      </c>
      <c r="CA9" s="11">
        <f t="shared" si="22"/>
        <v>-0.35691653359845976</v>
      </c>
      <c r="CC9" s="14"/>
      <c r="CD9" s="13" t="s">
        <v>8</v>
      </c>
      <c r="CE9" s="10">
        <v>75</v>
      </c>
      <c r="CF9" s="12">
        <v>497857.14285712998</v>
      </c>
      <c r="CG9" s="10">
        <f t="shared" si="23"/>
        <v>2</v>
      </c>
      <c r="CH9" s="12">
        <f t="shared" si="24"/>
        <v>9980.9523809599923</v>
      </c>
      <c r="CI9" s="11">
        <f t="shared" si="25"/>
        <v>2.0457961621817462E-2</v>
      </c>
      <c r="CK9" s="14"/>
      <c r="CL9" s="13" t="s">
        <v>8</v>
      </c>
      <c r="CM9" s="10">
        <v>70</v>
      </c>
      <c r="CN9" s="12">
        <v>455047.61904759996</v>
      </c>
      <c r="CO9" s="10">
        <f t="shared" si="26"/>
        <v>-5</v>
      </c>
      <c r="CP9" s="12">
        <f t="shared" si="27"/>
        <v>-42809.523809530016</v>
      </c>
      <c r="CQ9" s="11">
        <f t="shared" si="28"/>
        <v>-8.5987565758025214E-2</v>
      </c>
      <c r="CS9" s="14"/>
      <c r="CT9" s="13" t="s">
        <v>8</v>
      </c>
      <c r="CU9" s="10">
        <v>72</v>
      </c>
      <c r="CV9" s="12">
        <v>452887.61904760997</v>
      </c>
      <c r="CW9" s="10">
        <f t="shared" si="29"/>
        <v>2</v>
      </c>
      <c r="CX9" s="12">
        <f t="shared" si="30"/>
        <v>-2159.9999999899883</v>
      </c>
      <c r="CY9" s="11">
        <f t="shared" si="31"/>
        <v>-4.7467559648170423E-3</v>
      </c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 t="s">
        <v>7</v>
      </c>
      <c r="BO10" s="10">
        <v>62</v>
      </c>
      <c r="BP10" s="12">
        <v>947427.61904750997</v>
      </c>
      <c r="BQ10" s="10">
        <f t="shared" si="17"/>
        <v>-33</v>
      </c>
      <c r="BR10" s="12">
        <f t="shared" si="18"/>
        <v>-287333.33333335002</v>
      </c>
      <c r="BS10" s="11">
        <f t="shared" si="19"/>
        <v>-0.23270361180381943</v>
      </c>
      <c r="BU10" s="14"/>
      <c r="BV10" s="13" t="s">
        <v>7</v>
      </c>
      <c r="BW10" s="10">
        <v>36</v>
      </c>
      <c r="BX10" s="12">
        <v>459904.76190469001</v>
      </c>
      <c r="BY10" s="10">
        <f t="shared" si="20"/>
        <v>-26</v>
      </c>
      <c r="BZ10" s="12">
        <f t="shared" si="21"/>
        <v>-487522.85714281996</v>
      </c>
      <c r="CA10" s="11">
        <f t="shared" si="22"/>
        <v>-0.51457530616739655</v>
      </c>
      <c r="CC10" s="14"/>
      <c r="CD10" s="13" t="s">
        <v>7</v>
      </c>
      <c r="CE10" s="10">
        <v>39</v>
      </c>
      <c r="CF10" s="12">
        <v>521999.99999993003</v>
      </c>
      <c r="CG10" s="10">
        <f t="shared" si="23"/>
        <v>3</v>
      </c>
      <c r="CH10" s="12">
        <f t="shared" si="24"/>
        <v>62095.238095240027</v>
      </c>
      <c r="CI10" s="11">
        <f t="shared" si="25"/>
        <v>0.13501760198801455</v>
      </c>
      <c r="CK10" s="14"/>
      <c r="CL10" s="13" t="s">
        <v>7</v>
      </c>
      <c r="CM10" s="10">
        <v>35</v>
      </c>
      <c r="CN10" s="12">
        <v>483333.33333326003</v>
      </c>
      <c r="CO10" s="10">
        <f t="shared" si="26"/>
        <v>-4</v>
      </c>
      <c r="CP10" s="12">
        <f t="shared" si="27"/>
        <v>-38666.666666670004</v>
      </c>
      <c r="CQ10" s="11">
        <f t="shared" si="28"/>
        <v>-7.407407407409039E-2</v>
      </c>
      <c r="CS10" s="14"/>
      <c r="CT10" s="13" t="s">
        <v>7</v>
      </c>
      <c r="CU10" s="10">
        <v>54</v>
      </c>
      <c r="CV10" s="12">
        <v>929142.85714277998</v>
      </c>
      <c r="CW10" s="10">
        <f t="shared" si="29"/>
        <v>19</v>
      </c>
      <c r="CX10" s="12">
        <f t="shared" si="30"/>
        <v>445809.52380951995</v>
      </c>
      <c r="CY10" s="11">
        <f t="shared" si="31"/>
        <v>0.92236453201983637</v>
      </c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U11" s="10">
        <v>1</v>
      </c>
      <c r="CV11" s="12">
        <v>8857.1428571399993</v>
      </c>
      <c r="CW11" s="10">
        <f t="shared" si="29"/>
        <v>1</v>
      </c>
      <c r="CX11" s="12">
        <f t="shared" si="30"/>
        <v>8857.1428571399993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 t="s">
        <v>5</v>
      </c>
      <c r="BO12" s="10">
        <v>6</v>
      </c>
      <c r="BP12" s="12">
        <v>41940</v>
      </c>
      <c r="BQ12" s="10">
        <f t="shared" si="17"/>
        <v>-6</v>
      </c>
      <c r="BR12" s="12">
        <f t="shared" si="18"/>
        <v>-12840</v>
      </c>
      <c r="BS12" s="11">
        <f t="shared" si="19"/>
        <v>-0.23439211391018619</v>
      </c>
      <c r="BU12" s="14"/>
      <c r="BV12" s="13" t="s">
        <v>5</v>
      </c>
      <c r="BW12" s="10">
        <v>8</v>
      </c>
      <c r="BX12" s="12">
        <v>39020</v>
      </c>
      <c r="BY12" s="10">
        <f t="shared" si="20"/>
        <v>2</v>
      </c>
      <c r="BZ12" s="12">
        <f t="shared" si="21"/>
        <v>-2920</v>
      </c>
      <c r="CA12" s="11">
        <f t="shared" si="22"/>
        <v>-6.9623271340009535E-2</v>
      </c>
      <c r="CC12" s="14"/>
      <c r="CD12" s="13" t="s">
        <v>5</v>
      </c>
      <c r="CE12" s="10">
        <v>6</v>
      </c>
      <c r="CF12" s="12">
        <v>36740</v>
      </c>
      <c r="CG12" s="10">
        <f t="shared" si="23"/>
        <v>-2</v>
      </c>
      <c r="CH12" s="12">
        <f t="shared" si="24"/>
        <v>-2280</v>
      </c>
      <c r="CI12" s="11">
        <f t="shared" si="25"/>
        <v>-5.84315735520246E-2</v>
      </c>
      <c r="CK12" s="14"/>
      <c r="CL12" s="13" t="s">
        <v>5</v>
      </c>
      <c r="CM12" s="10">
        <v>11</v>
      </c>
      <c r="CN12" s="12">
        <v>64090</v>
      </c>
      <c r="CO12" s="10">
        <f t="shared" si="26"/>
        <v>5</v>
      </c>
      <c r="CP12" s="12">
        <f t="shared" si="27"/>
        <v>27350</v>
      </c>
      <c r="CQ12" s="11">
        <f t="shared" si="28"/>
        <v>0.74442025040827431</v>
      </c>
      <c r="CS12" s="14"/>
      <c r="CT12" s="13" t="s">
        <v>5</v>
      </c>
      <c r="CU12" s="10">
        <v>8</v>
      </c>
      <c r="CV12" s="12">
        <v>46420</v>
      </c>
      <c r="CW12" s="10">
        <f t="shared" si="29"/>
        <v>-3</v>
      </c>
      <c r="CX12" s="12">
        <f t="shared" si="30"/>
        <v>-17670</v>
      </c>
      <c r="CY12" s="11">
        <f t="shared" si="31"/>
        <v>-0.27570603838352314</v>
      </c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 t="s">
        <v>4</v>
      </c>
      <c r="BO13" s="10">
        <v>28</v>
      </c>
      <c r="BP13" s="12">
        <v>1294961.9047618099</v>
      </c>
      <c r="BQ13" s="10">
        <f t="shared" si="17"/>
        <v>6</v>
      </c>
      <c r="BR13" s="12">
        <f t="shared" si="18"/>
        <v>414671.42857141001</v>
      </c>
      <c r="BS13" s="11">
        <f t="shared" si="19"/>
        <v>0.47106204120936085</v>
      </c>
      <c r="BU13" s="14"/>
      <c r="BV13" s="13" t="s">
        <v>4</v>
      </c>
      <c r="BW13" s="10">
        <v>19</v>
      </c>
      <c r="BX13" s="12">
        <v>590671.42857137998</v>
      </c>
      <c r="BY13" s="10">
        <f t="shared" si="20"/>
        <v>-9</v>
      </c>
      <c r="BZ13" s="12">
        <f t="shared" si="21"/>
        <v>-704290.47619042988</v>
      </c>
      <c r="CA13" s="11">
        <f t="shared" si="22"/>
        <v>-0.54386964867508925</v>
      </c>
      <c r="CC13" s="14"/>
      <c r="CD13" s="13" t="s">
        <v>4</v>
      </c>
      <c r="CE13" s="10">
        <v>18</v>
      </c>
      <c r="CF13" s="12">
        <v>689619.04761897994</v>
      </c>
      <c r="CG13" s="10">
        <f t="shared" si="23"/>
        <v>-1</v>
      </c>
      <c r="CH13" s="12">
        <f t="shared" si="24"/>
        <v>98947.619047599961</v>
      </c>
      <c r="CI13" s="11">
        <f t="shared" si="25"/>
        <v>0.16751719189620934</v>
      </c>
      <c r="CK13" s="14"/>
      <c r="CL13" s="13" t="s">
        <v>4</v>
      </c>
      <c r="CM13" s="10">
        <v>8</v>
      </c>
      <c r="CN13" s="12">
        <v>341723.80952377006</v>
      </c>
      <c r="CO13" s="10">
        <f t="shared" si="26"/>
        <v>-10</v>
      </c>
      <c r="CP13" s="12">
        <f t="shared" si="27"/>
        <v>-347895.23809520988</v>
      </c>
      <c r="CQ13" s="11">
        <f t="shared" si="28"/>
        <v>-0.50447452009391824</v>
      </c>
      <c r="CS13" s="14"/>
      <c r="CT13" s="13" t="s">
        <v>4</v>
      </c>
      <c r="CU13" s="10">
        <v>5</v>
      </c>
      <c r="CV13" s="12">
        <v>275423.80952379998</v>
      </c>
      <c r="CW13" s="10">
        <f t="shared" si="29"/>
        <v>-3</v>
      </c>
      <c r="CX13" s="12">
        <f t="shared" si="30"/>
        <v>-66299.999999970081</v>
      </c>
      <c r="CY13" s="11">
        <f t="shared" si="31"/>
        <v>-0.19401633176326363</v>
      </c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 t="s">
        <v>3</v>
      </c>
      <c r="BO14" s="10">
        <v>65</v>
      </c>
      <c r="BP14" s="12">
        <v>1457142.8571427404</v>
      </c>
      <c r="BQ14" s="10">
        <f t="shared" si="17"/>
        <v>-15</v>
      </c>
      <c r="BR14" s="12">
        <f t="shared" si="18"/>
        <v>13714.285714260302</v>
      </c>
      <c r="BS14" s="11">
        <f t="shared" si="19"/>
        <v>9.5011876484390537E-3</v>
      </c>
      <c r="BU14" s="14"/>
      <c r="BV14" s="13" t="s">
        <v>3</v>
      </c>
      <c r="BW14" s="10">
        <v>45</v>
      </c>
      <c r="BX14" s="12">
        <v>809714.28571423003</v>
      </c>
      <c r="BY14" s="10">
        <f t="shared" si="20"/>
        <v>-20</v>
      </c>
      <c r="BZ14" s="12">
        <f t="shared" si="21"/>
        <v>-647428.57142851036</v>
      </c>
      <c r="CA14" s="11">
        <f t="shared" si="22"/>
        <v>-0.44431372549018977</v>
      </c>
      <c r="CC14" s="14"/>
      <c r="CD14" s="13" t="s">
        <v>3</v>
      </c>
      <c r="CE14" s="10">
        <v>43</v>
      </c>
      <c r="CF14" s="12">
        <v>784380.95238087</v>
      </c>
      <c r="CG14" s="10">
        <f t="shared" si="23"/>
        <v>-2</v>
      </c>
      <c r="CH14" s="12">
        <f t="shared" si="24"/>
        <v>-25333.333333360031</v>
      </c>
      <c r="CI14" s="11">
        <f t="shared" si="25"/>
        <v>-3.1286756057433383E-2</v>
      </c>
      <c r="CK14" s="14"/>
      <c r="CL14" s="13" t="s">
        <v>3</v>
      </c>
      <c r="CM14" s="10">
        <v>24</v>
      </c>
      <c r="CN14" s="12">
        <v>438571.42857138999</v>
      </c>
      <c r="CO14" s="10">
        <f t="shared" si="26"/>
        <v>-19</v>
      </c>
      <c r="CP14" s="12">
        <f t="shared" si="27"/>
        <v>-345809.52380948002</v>
      </c>
      <c r="CQ14" s="11">
        <f t="shared" si="28"/>
        <v>-0.44086935405535715</v>
      </c>
      <c r="CS14" s="14"/>
      <c r="CT14" s="13" t="s">
        <v>3</v>
      </c>
      <c r="CU14" s="10">
        <v>89</v>
      </c>
      <c r="CV14" s="12">
        <v>1702285.7142856203</v>
      </c>
      <c r="CW14" s="10">
        <f t="shared" si="29"/>
        <v>65</v>
      </c>
      <c r="CX14" s="12">
        <f t="shared" si="30"/>
        <v>1263714.2857142303</v>
      </c>
      <c r="CY14" s="11">
        <f t="shared" si="31"/>
        <v>2.8814332247558272</v>
      </c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 t="s">
        <v>2</v>
      </c>
      <c r="BO15" s="10">
        <v>101</v>
      </c>
      <c r="BP15" s="12">
        <v>3509025.7142856703</v>
      </c>
      <c r="BQ15" s="10">
        <f t="shared" si="17"/>
        <v>-65</v>
      </c>
      <c r="BR15" s="12">
        <f t="shared" si="18"/>
        <v>-2332230.4761904092</v>
      </c>
      <c r="BS15" s="11">
        <f t="shared" si="19"/>
        <v>-0.39926865046477711</v>
      </c>
      <c r="BU15" s="14"/>
      <c r="BV15" s="13" t="s">
        <v>2</v>
      </c>
      <c r="BW15" s="10">
        <v>65</v>
      </c>
      <c r="BX15" s="12">
        <v>2409999.99999996</v>
      </c>
      <c r="BY15" s="10">
        <f t="shared" si="20"/>
        <v>-36</v>
      </c>
      <c r="BZ15" s="12">
        <f t="shared" si="21"/>
        <v>-1099025.7142857104</v>
      </c>
      <c r="CA15" s="11">
        <f t="shared" si="22"/>
        <v>-0.31319967528634601</v>
      </c>
      <c r="CC15" s="14"/>
      <c r="CD15" s="13" t="s">
        <v>2</v>
      </c>
      <c r="CE15" s="10">
        <v>159</v>
      </c>
      <c r="CF15" s="12">
        <v>6124231.4285713602</v>
      </c>
      <c r="CG15" s="10">
        <f t="shared" si="23"/>
        <v>94</v>
      </c>
      <c r="CH15" s="12">
        <f t="shared" si="24"/>
        <v>3714231.4285714002</v>
      </c>
      <c r="CI15" s="11">
        <f t="shared" si="25"/>
        <v>1.5411748666271627</v>
      </c>
      <c r="CK15" s="14"/>
      <c r="CL15" s="13" t="s">
        <v>2</v>
      </c>
      <c r="CM15" s="10">
        <v>115</v>
      </c>
      <c r="CN15" s="12">
        <v>4159523.8095237301</v>
      </c>
      <c r="CO15" s="10">
        <f t="shared" si="26"/>
        <v>-44</v>
      </c>
      <c r="CP15" s="12">
        <f t="shared" si="27"/>
        <v>-1964707.6190476301</v>
      </c>
      <c r="CQ15" s="11">
        <f t="shared" si="28"/>
        <v>-0.32080884629566497</v>
      </c>
      <c r="CS15" s="14"/>
      <c r="CT15" s="13" t="s">
        <v>2</v>
      </c>
      <c r="CU15" s="10">
        <v>333</v>
      </c>
      <c r="CV15" s="12">
        <v>13040666.666666551</v>
      </c>
      <c r="CW15" s="10">
        <f t="shared" si="29"/>
        <v>218</v>
      </c>
      <c r="CX15" s="12">
        <f t="shared" si="30"/>
        <v>8881142.857142821</v>
      </c>
      <c r="CY15" s="11">
        <f t="shared" si="31"/>
        <v>2.1351345163137125</v>
      </c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 t="s">
        <v>19</v>
      </c>
      <c r="BN16" s="9"/>
      <c r="BO16" s="8">
        <v>1026</v>
      </c>
      <c r="BP16" s="7">
        <v>8756459.0476176105</v>
      </c>
      <c r="BQ16" s="27">
        <f t="shared" si="17"/>
        <v>-237</v>
      </c>
      <c r="BR16" s="28">
        <f t="shared" si="18"/>
        <v>-2565688.5714281201</v>
      </c>
      <c r="BS16" s="29">
        <f t="shared" si="19"/>
        <v>-0.22660794204027213</v>
      </c>
      <c r="BU16" s="9" t="s">
        <v>19</v>
      </c>
      <c r="BV16" s="9"/>
      <c r="BW16" s="8">
        <v>689</v>
      </c>
      <c r="BX16" s="7">
        <v>5333275.23809411</v>
      </c>
      <c r="BY16" s="27">
        <f t="shared" si="20"/>
        <v>-337</v>
      </c>
      <c r="BZ16" s="28">
        <f t="shared" si="21"/>
        <v>-3423183.8095235005</v>
      </c>
      <c r="CA16" s="29">
        <f t="shared" si="22"/>
        <v>-0.39093242952524898</v>
      </c>
      <c r="CC16" s="9" t="s">
        <v>19</v>
      </c>
      <c r="CD16" s="9"/>
      <c r="CE16" s="8">
        <v>759</v>
      </c>
      <c r="CF16" s="7">
        <v>9153720.9523796495</v>
      </c>
      <c r="CG16" s="27">
        <f t="shared" si="23"/>
        <v>70</v>
      </c>
      <c r="CH16" s="28">
        <f t="shared" si="24"/>
        <v>3820445.7142855395</v>
      </c>
      <c r="CI16" s="29">
        <f t="shared" si="25"/>
        <v>0.71634137443294743</v>
      </c>
      <c r="CK16" s="9" t="s">
        <v>19</v>
      </c>
      <c r="CL16" s="9"/>
      <c r="CM16" s="8">
        <v>651</v>
      </c>
      <c r="CN16" s="7">
        <v>6363893.8095227107</v>
      </c>
      <c r="CO16" s="27">
        <f t="shared" si="26"/>
        <v>-108</v>
      </c>
      <c r="CP16" s="28">
        <f t="shared" si="27"/>
        <v>-2789827.1428569388</v>
      </c>
      <c r="CQ16" s="29">
        <f t="shared" si="28"/>
        <v>-0.30477520096695548</v>
      </c>
      <c r="CS16" s="9" t="s">
        <v>19</v>
      </c>
      <c r="CT16" s="9"/>
      <c r="CU16" s="8">
        <v>996</v>
      </c>
      <c r="CV16" s="7">
        <v>17014986.666665412</v>
      </c>
      <c r="CW16" s="27">
        <f t="shared" si="29"/>
        <v>345</v>
      </c>
      <c r="CX16" s="28">
        <f t="shared" si="30"/>
        <v>10651092.857142702</v>
      </c>
      <c r="CY16" s="29">
        <f t="shared" si="31"/>
        <v>1.6736754534157647</v>
      </c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4983</v>
      </c>
      <c r="BP17" s="35"/>
      <c r="BQ17" s="10">
        <f t="shared" si="17"/>
        <v>-3152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4024</v>
      </c>
      <c r="BX17" s="33"/>
      <c r="BY17" s="10">
        <f t="shared" si="20"/>
        <v>-959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5542</v>
      </c>
      <c r="CF17" s="33"/>
      <c r="CG17" s="10">
        <f t="shared" si="23"/>
        <v>1518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>
        <v>5349</v>
      </c>
      <c r="CN17" s="33"/>
      <c r="CO17" s="10">
        <f t="shared" si="26"/>
        <v>-193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>
        <v>4216</v>
      </c>
      <c r="CV17" s="33"/>
      <c r="CW17" s="10">
        <f t="shared" si="29"/>
        <v>-1133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10</v>
      </c>
      <c r="BP18" s="35"/>
      <c r="BQ18" s="10">
        <f t="shared" si="17"/>
        <v>-8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5</v>
      </c>
      <c r="BX18" s="33"/>
      <c r="BY18" s="10">
        <f t="shared" si="20"/>
        <v>-5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>
        <v>13</v>
      </c>
      <c r="CF18" s="33"/>
      <c r="CG18" s="10">
        <f t="shared" si="23"/>
        <v>8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>
        <v>15</v>
      </c>
      <c r="CN18" s="33"/>
      <c r="CO18" s="10">
        <f t="shared" si="26"/>
        <v>2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>
        <v>15</v>
      </c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 t="s">
        <v>10</v>
      </c>
      <c r="BO19" s="10">
        <v>188</v>
      </c>
      <c r="BP19" s="12">
        <v>180387.61904688991</v>
      </c>
      <c r="BQ19" s="10">
        <f t="shared" si="17"/>
        <v>-133</v>
      </c>
      <c r="BR19" s="12">
        <f t="shared" si="18"/>
        <v>-121415.23809492009</v>
      </c>
      <c r="BS19" s="11">
        <f t="shared" si="19"/>
        <v>-0.40229982991138469</v>
      </c>
      <c r="BU19" s="14"/>
      <c r="BV19" s="13" t="s">
        <v>10</v>
      </c>
      <c r="BW19" s="10">
        <v>120</v>
      </c>
      <c r="BX19" s="12">
        <v>117983.80952329002</v>
      </c>
      <c r="BY19" s="10">
        <f t="shared" si="20"/>
        <v>-68</v>
      </c>
      <c r="BZ19" s="12">
        <f t="shared" si="21"/>
        <v>-62403.809523599892</v>
      </c>
      <c r="CA19" s="11">
        <f t="shared" si="22"/>
        <v>-0.34594286378034994</v>
      </c>
      <c r="CC19" s="14"/>
      <c r="CD19" s="13" t="s">
        <v>10</v>
      </c>
      <c r="CE19" s="10">
        <v>204</v>
      </c>
      <c r="CF19" s="12">
        <v>216177.14285634996</v>
      </c>
      <c r="CG19" s="10">
        <f t="shared" si="23"/>
        <v>84</v>
      </c>
      <c r="CH19" s="12">
        <f t="shared" si="24"/>
        <v>98193.333333059942</v>
      </c>
      <c r="CI19" s="11">
        <f t="shared" si="25"/>
        <v>0.83226108505740837</v>
      </c>
      <c r="CK19" s="14"/>
      <c r="CL19" s="13" t="s">
        <v>10</v>
      </c>
      <c r="CM19" s="10">
        <v>211</v>
      </c>
      <c r="CN19" s="12">
        <v>232219.04761820004</v>
      </c>
      <c r="CO19" s="10">
        <f t="shared" si="26"/>
        <v>7</v>
      </c>
      <c r="CP19" s="12">
        <f t="shared" si="27"/>
        <v>16041.904761850077</v>
      </c>
      <c r="CQ19" s="11">
        <f t="shared" si="28"/>
        <v>7.4207219828554896E-2</v>
      </c>
      <c r="CS19" s="14"/>
      <c r="CT19" s="13" t="s">
        <v>10</v>
      </c>
      <c r="CU19" s="10">
        <v>181</v>
      </c>
      <c r="CV19" s="12">
        <v>194270.47618971989</v>
      </c>
      <c r="CW19" s="10">
        <f t="shared" si="29"/>
        <v>-30</v>
      </c>
      <c r="CX19" s="12">
        <f t="shared" si="30"/>
        <v>-37948.571428480151</v>
      </c>
      <c r="CY19" s="11">
        <f t="shared" si="31"/>
        <v>-0.16341713488926543</v>
      </c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 t="s">
        <v>9</v>
      </c>
      <c r="BO20" s="10">
        <v>246</v>
      </c>
      <c r="BP20" s="12">
        <v>258290.47619038</v>
      </c>
      <c r="BQ20" s="10">
        <f t="shared" si="17"/>
        <v>-46</v>
      </c>
      <c r="BR20" s="12">
        <f t="shared" si="18"/>
        <v>-31648.571428509953</v>
      </c>
      <c r="BS20" s="11">
        <f t="shared" si="19"/>
        <v>-0.10915594739108885</v>
      </c>
      <c r="BU20" s="14"/>
      <c r="BV20" s="13" t="s">
        <v>9</v>
      </c>
      <c r="BW20" s="10">
        <v>211</v>
      </c>
      <c r="BX20" s="12">
        <v>205681.90476174001</v>
      </c>
      <c r="BY20" s="10">
        <f t="shared" si="20"/>
        <v>-35</v>
      </c>
      <c r="BZ20" s="12">
        <f t="shared" si="21"/>
        <v>-52608.571428639989</v>
      </c>
      <c r="CA20" s="11">
        <f t="shared" si="22"/>
        <v>-0.203679873159022</v>
      </c>
      <c r="CC20" s="14"/>
      <c r="CD20" s="13" t="s">
        <v>9</v>
      </c>
      <c r="CE20" s="10">
        <v>253</v>
      </c>
      <c r="CF20" s="12">
        <v>306130.47619033</v>
      </c>
      <c r="CG20" s="10">
        <f t="shared" si="23"/>
        <v>42</v>
      </c>
      <c r="CH20" s="12">
        <f t="shared" si="24"/>
        <v>100448.57142858999</v>
      </c>
      <c r="CI20" s="11">
        <f t="shared" si="25"/>
        <v>0.48836853949280895</v>
      </c>
      <c r="CK20" s="14"/>
      <c r="CL20" s="13" t="s">
        <v>9</v>
      </c>
      <c r="CM20" s="10">
        <v>219</v>
      </c>
      <c r="CN20" s="12">
        <v>218466.66666655001</v>
      </c>
      <c r="CO20" s="10">
        <f t="shared" si="26"/>
        <v>-34</v>
      </c>
      <c r="CP20" s="12">
        <f t="shared" si="27"/>
        <v>-87663.809523779986</v>
      </c>
      <c r="CQ20" s="11">
        <f t="shared" si="28"/>
        <v>-0.28636093542440028</v>
      </c>
      <c r="CS20" s="14"/>
      <c r="CT20" s="13" t="s">
        <v>9</v>
      </c>
      <c r="CU20" s="10">
        <v>150</v>
      </c>
      <c r="CV20" s="12">
        <v>180562.85714273</v>
      </c>
      <c r="CW20" s="10">
        <f t="shared" si="29"/>
        <v>-69</v>
      </c>
      <c r="CX20" s="12">
        <f t="shared" si="30"/>
        <v>-37903.809523820004</v>
      </c>
      <c r="CY20" s="11">
        <f t="shared" si="31"/>
        <v>-0.17349928070113019</v>
      </c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 t="s">
        <v>8</v>
      </c>
      <c r="BO21" s="10">
        <v>69</v>
      </c>
      <c r="BP21" s="12">
        <v>467438.09523807</v>
      </c>
      <c r="BQ21" s="10">
        <f t="shared" si="17"/>
        <v>-37</v>
      </c>
      <c r="BR21" s="12">
        <f t="shared" si="18"/>
        <v>-217491.42857143003</v>
      </c>
      <c r="BS21" s="11">
        <f t="shared" si="19"/>
        <v>-0.31753840506358594</v>
      </c>
      <c r="BU21" s="14"/>
      <c r="BV21" s="13" t="s">
        <v>8</v>
      </c>
      <c r="BW21" s="10">
        <v>60</v>
      </c>
      <c r="BX21" s="12">
        <v>438952.38095237</v>
      </c>
      <c r="BY21" s="10">
        <f t="shared" si="20"/>
        <v>-9</v>
      </c>
      <c r="BZ21" s="12">
        <f t="shared" si="21"/>
        <v>-28485.7142857</v>
      </c>
      <c r="CA21" s="11">
        <f t="shared" si="22"/>
        <v>-6.0940078645477097E-2</v>
      </c>
      <c r="CC21" s="14"/>
      <c r="CD21" s="13" t="s">
        <v>8</v>
      </c>
      <c r="CE21" s="10">
        <v>54</v>
      </c>
      <c r="CF21" s="12">
        <v>328057.14285712002</v>
      </c>
      <c r="CG21" s="10">
        <f t="shared" si="23"/>
        <v>-6</v>
      </c>
      <c r="CH21" s="12">
        <f t="shared" si="24"/>
        <v>-110895.23809524998</v>
      </c>
      <c r="CI21" s="11">
        <f t="shared" si="25"/>
        <v>-0.25263614666959294</v>
      </c>
      <c r="CK21" s="14"/>
      <c r="CL21" s="13" t="s">
        <v>8</v>
      </c>
      <c r="CM21" s="10">
        <v>61</v>
      </c>
      <c r="CN21" s="12">
        <v>369134.28571425995</v>
      </c>
      <c r="CO21" s="10">
        <f t="shared" si="26"/>
        <v>7</v>
      </c>
      <c r="CP21" s="12">
        <f t="shared" si="27"/>
        <v>41077.14285713993</v>
      </c>
      <c r="CQ21" s="11">
        <f t="shared" si="28"/>
        <v>0.12521337746037256</v>
      </c>
      <c r="CS21" s="14"/>
      <c r="CT21" s="13" t="s">
        <v>8</v>
      </c>
      <c r="CU21" s="10">
        <v>58</v>
      </c>
      <c r="CV21" s="12">
        <v>362304.76190474001</v>
      </c>
      <c r="CW21" s="10">
        <f t="shared" si="29"/>
        <v>-3</v>
      </c>
      <c r="CX21" s="12">
        <f t="shared" si="30"/>
        <v>-6829.5238095199456</v>
      </c>
      <c r="CY21" s="11">
        <f t="shared" si="31"/>
        <v>-1.8501461592236257E-2</v>
      </c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 t="s">
        <v>7</v>
      </c>
      <c r="BO22" s="10">
        <v>52</v>
      </c>
      <c r="BP22" s="12">
        <v>727428.57142847998</v>
      </c>
      <c r="BQ22" s="10">
        <f t="shared" si="17"/>
        <v>0</v>
      </c>
      <c r="BR22" s="12">
        <f t="shared" si="18"/>
        <v>94285.7142857</v>
      </c>
      <c r="BS22" s="11">
        <f t="shared" si="19"/>
        <v>0.14891696750902086</v>
      </c>
      <c r="BU22" s="14"/>
      <c r="BV22" s="13" t="s">
        <v>7</v>
      </c>
      <c r="BW22" s="10">
        <v>38</v>
      </c>
      <c r="BX22" s="12">
        <v>432095.23809518002</v>
      </c>
      <c r="BY22" s="10">
        <f t="shared" si="20"/>
        <v>-14</v>
      </c>
      <c r="BZ22" s="12">
        <f t="shared" si="21"/>
        <v>-295333.33333329996</v>
      </c>
      <c r="CA22" s="11">
        <f t="shared" si="22"/>
        <v>-0.40599633411888447</v>
      </c>
      <c r="CC22" s="14"/>
      <c r="CD22" s="13" t="s">
        <v>7</v>
      </c>
      <c r="CE22" s="10">
        <v>39</v>
      </c>
      <c r="CF22" s="12">
        <v>483428.57142850995</v>
      </c>
      <c r="CG22" s="10">
        <f t="shared" si="23"/>
        <v>1</v>
      </c>
      <c r="CH22" s="12">
        <f t="shared" si="24"/>
        <v>51333.333333329938</v>
      </c>
      <c r="CI22" s="11">
        <f t="shared" si="25"/>
        <v>0.11880096980384325</v>
      </c>
      <c r="CK22" s="14"/>
      <c r="CL22" s="13" t="s">
        <v>7</v>
      </c>
      <c r="CM22" s="10">
        <v>48</v>
      </c>
      <c r="CN22" s="12">
        <v>595904.76190469007</v>
      </c>
      <c r="CO22" s="10">
        <f t="shared" si="26"/>
        <v>9</v>
      </c>
      <c r="CP22" s="12">
        <f t="shared" si="27"/>
        <v>112476.19047618011</v>
      </c>
      <c r="CQ22" s="11">
        <f t="shared" si="28"/>
        <v>0.23266351457841633</v>
      </c>
      <c r="CS22" s="14"/>
      <c r="CT22" s="13" t="s">
        <v>7</v>
      </c>
      <c r="CU22" s="10">
        <v>31</v>
      </c>
      <c r="CV22" s="12">
        <v>380857.14285708003</v>
      </c>
      <c r="CW22" s="10">
        <f t="shared" si="29"/>
        <v>-17</v>
      </c>
      <c r="CX22" s="12">
        <f t="shared" si="30"/>
        <v>-215047.61904761003</v>
      </c>
      <c r="CY22" s="11">
        <f t="shared" si="31"/>
        <v>-0.36087581908265581</v>
      </c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 t="s">
        <v>6</v>
      </c>
      <c r="BO23" s="10">
        <v>1</v>
      </c>
      <c r="BP23" s="12">
        <v>8857.1428571399993</v>
      </c>
      <c r="BQ23" s="10">
        <f t="shared" si="17"/>
        <v>1</v>
      </c>
      <c r="BR23" s="12">
        <f t="shared" si="18"/>
        <v>8857.1428571399993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-8857.1428571399993</v>
      </c>
      <c r="CA23" s="11">
        <f t="shared" si="22"/>
        <v>-1</v>
      </c>
      <c r="CC23" s="14"/>
      <c r="CD23" s="13" t="s">
        <v>6</v>
      </c>
      <c r="CE23" s="10">
        <v>2</v>
      </c>
      <c r="CF23" s="12">
        <v>11514.285714279999</v>
      </c>
      <c r="CG23" s="10">
        <f t="shared" si="23"/>
        <v>2</v>
      </c>
      <c r="CH23" s="12">
        <f t="shared" si="24"/>
        <v>11514.285714279999</v>
      </c>
      <c r="CI23" s="11" t="e">
        <f t="shared" si="25"/>
        <v>#DIV/0!</v>
      </c>
      <c r="CK23" s="14"/>
      <c r="CL23" s="13" t="s">
        <v>6</v>
      </c>
      <c r="CM23" s="10">
        <v>16</v>
      </c>
      <c r="CN23" s="12">
        <v>90340</v>
      </c>
      <c r="CO23" s="10">
        <f t="shared" si="26"/>
        <v>14</v>
      </c>
      <c r="CP23" s="12">
        <f t="shared" si="27"/>
        <v>78825.714285719994</v>
      </c>
      <c r="CQ23" s="11">
        <f t="shared" si="28"/>
        <v>6.8459057071999236</v>
      </c>
      <c r="CS23" s="14"/>
      <c r="CT23" s="13" t="s">
        <v>6</v>
      </c>
      <c r="CU23" s="10">
        <v>1</v>
      </c>
      <c r="CV23" s="12">
        <v>8857.1428571399993</v>
      </c>
      <c r="CW23" s="10">
        <f t="shared" si="29"/>
        <v>-15</v>
      </c>
      <c r="CX23" s="12">
        <f t="shared" si="30"/>
        <v>-81482.857142859997</v>
      </c>
      <c r="CY23" s="11">
        <f t="shared" si="31"/>
        <v>-0.90195768367124196</v>
      </c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 t="s">
        <v>5</v>
      </c>
      <c r="BO24" s="10">
        <v>10</v>
      </c>
      <c r="BP24" s="12">
        <v>54800</v>
      </c>
      <c r="BQ24" s="10">
        <f t="shared" si="17"/>
        <v>-5</v>
      </c>
      <c r="BR24" s="12">
        <f t="shared" si="18"/>
        <v>-24550</v>
      </c>
      <c r="BS24" s="11">
        <f t="shared" si="19"/>
        <v>-0.30938878386893509</v>
      </c>
      <c r="BU24" s="14"/>
      <c r="BV24" s="13" t="s">
        <v>5</v>
      </c>
      <c r="BW24" s="10">
        <v>8</v>
      </c>
      <c r="BX24" s="12">
        <v>45620</v>
      </c>
      <c r="BY24" s="10">
        <f t="shared" si="20"/>
        <v>-2</v>
      </c>
      <c r="BZ24" s="12">
        <f t="shared" si="21"/>
        <v>-9180</v>
      </c>
      <c r="CA24" s="11">
        <f t="shared" si="22"/>
        <v>-0.16751824817518249</v>
      </c>
      <c r="CC24" s="14"/>
      <c r="CD24" s="13" t="s">
        <v>5</v>
      </c>
      <c r="CE24" s="10">
        <v>19</v>
      </c>
      <c r="CF24" s="12">
        <v>104510</v>
      </c>
      <c r="CG24" s="10">
        <f t="shared" si="23"/>
        <v>11</v>
      </c>
      <c r="CH24" s="12">
        <f t="shared" si="24"/>
        <v>58890</v>
      </c>
      <c r="CI24" s="11">
        <f t="shared" si="25"/>
        <v>1.2908811924594477</v>
      </c>
      <c r="CK24" s="14"/>
      <c r="CL24" s="13" t="s">
        <v>5</v>
      </c>
      <c r="CN24" s="12"/>
      <c r="CO24" s="10">
        <f t="shared" si="26"/>
        <v>-19</v>
      </c>
      <c r="CP24" s="12">
        <f t="shared" si="27"/>
        <v>-104510</v>
      </c>
      <c r="CQ24" s="11">
        <f t="shared" si="28"/>
        <v>-1</v>
      </c>
      <c r="CS24" s="14"/>
      <c r="CT24" s="13" t="s">
        <v>5</v>
      </c>
      <c r="CU24" s="10">
        <v>10</v>
      </c>
      <c r="CV24" s="12">
        <v>62700</v>
      </c>
      <c r="CW24" s="10">
        <f t="shared" si="29"/>
        <v>10</v>
      </c>
      <c r="CX24" s="12">
        <f t="shared" si="30"/>
        <v>62700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 t="s">
        <v>4</v>
      </c>
      <c r="BO25" s="10">
        <v>7</v>
      </c>
      <c r="BP25" s="12">
        <v>309623.80952378002</v>
      </c>
      <c r="BQ25" s="10">
        <f t="shared" si="17"/>
        <v>-2</v>
      </c>
      <c r="BR25" s="12">
        <f t="shared" si="18"/>
        <v>-24471.428571429977</v>
      </c>
      <c r="BS25" s="11">
        <f t="shared" si="19"/>
        <v>-7.3246864310158602E-2</v>
      </c>
      <c r="BU25" s="14"/>
      <c r="BV25" s="13" t="s">
        <v>4</v>
      </c>
      <c r="BW25" s="10">
        <v>5</v>
      </c>
      <c r="BX25" s="12">
        <v>183142.85714283001</v>
      </c>
      <c r="BY25" s="10">
        <f t="shared" si="20"/>
        <v>-2</v>
      </c>
      <c r="BZ25" s="12">
        <f t="shared" si="21"/>
        <v>-126480.95238095001</v>
      </c>
      <c r="CA25" s="11">
        <f t="shared" si="22"/>
        <v>-0.40849879269777506</v>
      </c>
      <c r="CC25" s="14"/>
      <c r="CD25" s="13" t="s">
        <v>4</v>
      </c>
      <c r="CE25" s="10">
        <v>9</v>
      </c>
      <c r="CF25" s="12">
        <v>336195.23809522</v>
      </c>
      <c r="CG25" s="10">
        <f t="shared" si="23"/>
        <v>4</v>
      </c>
      <c r="CH25" s="12">
        <f t="shared" si="24"/>
        <v>153052.38095239</v>
      </c>
      <c r="CI25" s="11">
        <f t="shared" si="25"/>
        <v>0.83569942797729235</v>
      </c>
      <c r="CK25" s="14"/>
      <c r="CL25" s="13" t="s">
        <v>4</v>
      </c>
      <c r="CM25" s="10">
        <v>5</v>
      </c>
      <c r="CN25" s="12">
        <v>139528.57142856001</v>
      </c>
      <c r="CO25" s="10">
        <f t="shared" si="26"/>
        <v>-4</v>
      </c>
      <c r="CP25" s="12">
        <f t="shared" si="27"/>
        <v>-196666.66666665999</v>
      </c>
      <c r="CQ25" s="11">
        <f t="shared" si="28"/>
        <v>-0.5849775498930726</v>
      </c>
      <c r="CS25" s="14"/>
      <c r="CT25" s="13" t="s">
        <v>4</v>
      </c>
      <c r="CU25" s="10">
        <v>5</v>
      </c>
      <c r="CV25" s="12">
        <v>228757.14285713001</v>
      </c>
      <c r="CW25" s="10">
        <f t="shared" si="29"/>
        <v>0</v>
      </c>
      <c r="CX25" s="12">
        <f t="shared" si="30"/>
        <v>89228.571428569994</v>
      </c>
      <c r="CY25" s="11">
        <f t="shared" si="31"/>
        <v>0.63950035834958641</v>
      </c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 t="s">
        <v>3</v>
      </c>
      <c r="BO26" s="10">
        <v>41</v>
      </c>
      <c r="BP26" s="12">
        <v>694666.66666659992</v>
      </c>
      <c r="BQ26" s="10">
        <f t="shared" si="17"/>
        <v>-4</v>
      </c>
      <c r="BR26" s="12">
        <f t="shared" si="18"/>
        <v>-125238.09523808025</v>
      </c>
      <c r="BS26" s="11">
        <f t="shared" si="19"/>
        <v>-0.15274712510163477</v>
      </c>
      <c r="BU26" s="14"/>
      <c r="BV26" s="13" t="s">
        <v>3</v>
      </c>
      <c r="BW26" s="10">
        <v>24</v>
      </c>
      <c r="BX26" s="12">
        <v>391142.85714281001</v>
      </c>
      <c r="BY26" s="10">
        <f t="shared" si="20"/>
        <v>-17</v>
      </c>
      <c r="BZ26" s="12">
        <f t="shared" si="21"/>
        <v>-303523.80952378991</v>
      </c>
      <c r="CA26" s="11">
        <f t="shared" si="22"/>
        <v>-0.43693446668496028</v>
      </c>
      <c r="CC26" s="14"/>
      <c r="CD26" s="13" t="s">
        <v>3</v>
      </c>
      <c r="CE26" s="10">
        <v>34</v>
      </c>
      <c r="CF26" s="12">
        <v>621619.04761897004</v>
      </c>
      <c r="CG26" s="10">
        <f t="shared" si="23"/>
        <v>10</v>
      </c>
      <c r="CH26" s="12">
        <f t="shared" si="24"/>
        <v>230476.19047616003</v>
      </c>
      <c r="CI26" s="11">
        <f t="shared" si="25"/>
        <v>0.58923788653517695</v>
      </c>
      <c r="CK26" s="14"/>
      <c r="CL26" s="13" t="s">
        <v>3</v>
      </c>
      <c r="CM26" s="10">
        <v>39</v>
      </c>
      <c r="CN26" s="12">
        <v>642761.90476185002</v>
      </c>
      <c r="CO26" s="10">
        <f t="shared" si="26"/>
        <v>5</v>
      </c>
      <c r="CP26" s="12">
        <f t="shared" si="27"/>
        <v>21142.857142879977</v>
      </c>
      <c r="CQ26" s="11">
        <f t="shared" si="28"/>
        <v>3.4012563199060437E-2</v>
      </c>
      <c r="CS26" s="14"/>
      <c r="CT26" s="13" t="s">
        <v>3</v>
      </c>
      <c r="CU26" s="10">
        <v>36</v>
      </c>
      <c r="CV26" s="12">
        <v>573428.57142852002</v>
      </c>
      <c r="CW26" s="10">
        <f t="shared" si="29"/>
        <v>-3</v>
      </c>
      <c r="CX26" s="12">
        <f t="shared" si="30"/>
        <v>-69333.333333329996</v>
      </c>
      <c r="CY26" s="11">
        <f t="shared" si="31"/>
        <v>-0.10786783227145162</v>
      </c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 t="s">
        <v>2</v>
      </c>
      <c r="BO27" s="10">
        <v>48</v>
      </c>
      <c r="BP27" s="12">
        <v>1501568.5714285299</v>
      </c>
      <c r="BQ27" s="10">
        <f t="shared" si="17"/>
        <v>-43</v>
      </c>
      <c r="BR27" s="12">
        <f t="shared" si="18"/>
        <v>-1502953.3333333302</v>
      </c>
      <c r="BS27" s="11">
        <f t="shared" si="19"/>
        <v>-0.50023044629872815</v>
      </c>
      <c r="BU27" s="14"/>
      <c r="BV27" s="13" t="s">
        <v>2</v>
      </c>
      <c r="BW27" s="10">
        <v>19</v>
      </c>
      <c r="BX27" s="12">
        <v>661047.61904760008</v>
      </c>
      <c r="BY27" s="10">
        <f t="shared" si="20"/>
        <v>-29</v>
      </c>
      <c r="BZ27" s="12">
        <f t="shared" si="21"/>
        <v>-840520.95238092984</v>
      </c>
      <c r="CA27" s="11">
        <f t="shared" si="22"/>
        <v>-0.55976195051904498</v>
      </c>
      <c r="CC27" s="14"/>
      <c r="CD27" s="13" t="s">
        <v>2</v>
      </c>
      <c r="CE27" s="10">
        <v>145</v>
      </c>
      <c r="CF27" s="12">
        <v>5108095.2380951494</v>
      </c>
      <c r="CG27" s="10">
        <f t="shared" si="23"/>
        <v>126</v>
      </c>
      <c r="CH27" s="12">
        <f t="shared" si="24"/>
        <v>4447047.6190475496</v>
      </c>
      <c r="CI27" s="11">
        <f t="shared" si="25"/>
        <v>6.7272727272728154</v>
      </c>
      <c r="CK27" s="14"/>
      <c r="CL27" s="13" t="s">
        <v>2</v>
      </c>
      <c r="CM27" s="10">
        <v>188</v>
      </c>
      <c r="CN27" s="12">
        <v>6769714.2857141895</v>
      </c>
      <c r="CO27" s="10">
        <f t="shared" si="26"/>
        <v>43</v>
      </c>
      <c r="CP27" s="12">
        <f t="shared" si="27"/>
        <v>1661619.0476190401</v>
      </c>
      <c r="CQ27" s="11">
        <f t="shared" si="28"/>
        <v>0.32529132096579144</v>
      </c>
      <c r="CS27" s="14"/>
      <c r="CT27" s="13" t="s">
        <v>2</v>
      </c>
      <c r="CU27" s="10">
        <v>126</v>
      </c>
      <c r="CV27" s="12">
        <v>4788952.38095228</v>
      </c>
      <c r="CW27" s="10">
        <f t="shared" si="29"/>
        <v>-62</v>
      </c>
      <c r="CX27" s="12">
        <f t="shared" si="30"/>
        <v>-1980761.9047619095</v>
      </c>
      <c r="CY27" s="11">
        <f t="shared" si="31"/>
        <v>-0.29259165470865123</v>
      </c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 t="s">
        <v>13</v>
      </c>
      <c r="BN28" s="9"/>
      <c r="BO28" s="8">
        <v>662</v>
      </c>
      <c r="BP28" s="7">
        <v>4203060.9523798693</v>
      </c>
      <c r="BQ28" s="27">
        <f t="shared" si="17"/>
        <v>-269</v>
      </c>
      <c r="BR28" s="28">
        <f t="shared" si="18"/>
        <v>-1944625.2380948607</v>
      </c>
      <c r="BS28" s="29">
        <f t="shared" si="19"/>
        <v>-0.3163182338597369</v>
      </c>
      <c r="BU28" s="9" t="s">
        <v>13</v>
      </c>
      <c r="BV28" s="9"/>
      <c r="BW28" s="8">
        <v>485</v>
      </c>
      <c r="BX28" s="7">
        <v>2475666.6666658204</v>
      </c>
      <c r="BY28" s="27">
        <f t="shared" si="20"/>
        <v>-177</v>
      </c>
      <c r="BZ28" s="28">
        <f t="shared" si="21"/>
        <v>-1727394.2857140489</v>
      </c>
      <c r="CA28" s="29">
        <f t="shared" si="22"/>
        <v>-0.41098482874390835</v>
      </c>
      <c r="CC28" s="9" t="s">
        <v>13</v>
      </c>
      <c r="CD28" s="9"/>
      <c r="CE28" s="8">
        <v>759</v>
      </c>
      <c r="CF28" s="7">
        <v>7515727.1428559292</v>
      </c>
      <c r="CG28" s="27">
        <f t="shared" si="23"/>
        <v>274</v>
      </c>
      <c r="CH28" s="28">
        <f t="shared" si="24"/>
        <v>5040060.4761901088</v>
      </c>
      <c r="CI28" s="29">
        <f t="shared" si="25"/>
        <v>2.0358396968594983</v>
      </c>
      <c r="CK28" s="9" t="s">
        <v>13</v>
      </c>
      <c r="CL28" s="9"/>
      <c r="CM28" s="8">
        <v>787</v>
      </c>
      <c r="CN28" s="7">
        <v>9058069.5238083005</v>
      </c>
      <c r="CO28" s="27">
        <f t="shared" si="26"/>
        <v>28</v>
      </c>
      <c r="CP28" s="28">
        <f t="shared" si="27"/>
        <v>1542342.3809523713</v>
      </c>
      <c r="CQ28" s="29">
        <f t="shared" si="28"/>
        <v>0.20521532403134726</v>
      </c>
      <c r="CS28" s="9" t="s">
        <v>13</v>
      </c>
      <c r="CT28" s="9"/>
      <c r="CU28" s="8">
        <v>598</v>
      </c>
      <c r="CV28" s="7">
        <v>6780690.4761893395</v>
      </c>
      <c r="CW28" s="27">
        <f t="shared" si="29"/>
        <v>-189</v>
      </c>
      <c r="CX28" s="28">
        <f t="shared" si="30"/>
        <v>-2277379.047618961</v>
      </c>
      <c r="CY28" s="29">
        <f t="shared" si="31"/>
        <v>-0.25141991255786678</v>
      </c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4683</v>
      </c>
      <c r="BP29" s="35"/>
      <c r="BQ29" s="10">
        <f t="shared" si="17"/>
        <v>-7012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2748</v>
      </c>
      <c r="BX29" s="33"/>
      <c r="BY29" s="10">
        <f t="shared" si="20"/>
        <v>-1935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3502</v>
      </c>
      <c r="CF29" s="33"/>
      <c r="CG29" s="10">
        <f t="shared" si="23"/>
        <v>754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>
        <v>3439</v>
      </c>
      <c r="CN29" s="33"/>
      <c r="CO29" s="10">
        <f t="shared" si="26"/>
        <v>-63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>
        <v>3195</v>
      </c>
      <c r="CV29" s="33"/>
      <c r="CW29" s="10">
        <f t="shared" si="29"/>
        <v>-244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3</v>
      </c>
      <c r="BP30" s="35"/>
      <c r="BQ30" s="10">
        <f t="shared" si="17"/>
        <v>-8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1</v>
      </c>
      <c r="BX30" s="33"/>
      <c r="BY30" s="10">
        <f t="shared" si="20"/>
        <v>-2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>
        <v>3</v>
      </c>
      <c r="CF30" s="33"/>
      <c r="CG30" s="10">
        <f t="shared" si="23"/>
        <v>2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>
        <v>5</v>
      </c>
      <c r="CN30" s="33"/>
      <c r="CO30" s="10">
        <f t="shared" si="26"/>
        <v>2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>
        <v>4</v>
      </c>
      <c r="CV30" s="33"/>
      <c r="CW30" s="10">
        <f t="shared" si="29"/>
        <v>-1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 t="s">
        <v>10</v>
      </c>
      <c r="BO31" s="10">
        <v>86</v>
      </c>
      <c r="BP31" s="12">
        <v>89586.666666300007</v>
      </c>
      <c r="BQ31" s="10">
        <f t="shared" si="17"/>
        <v>-225</v>
      </c>
      <c r="BR31" s="12">
        <f t="shared" si="18"/>
        <v>-199980.95238022009</v>
      </c>
      <c r="BS31" s="11">
        <f t="shared" si="19"/>
        <v>-0.69061918262377398</v>
      </c>
      <c r="BU31" s="14"/>
      <c r="BV31" s="13" t="s">
        <v>10</v>
      </c>
      <c r="BW31" s="10">
        <v>101</v>
      </c>
      <c r="BX31" s="12">
        <v>103318.09523764004</v>
      </c>
      <c r="BY31" s="10">
        <f t="shared" si="20"/>
        <v>15</v>
      </c>
      <c r="BZ31" s="12">
        <f t="shared" si="21"/>
        <v>13731.428571340031</v>
      </c>
      <c r="CA31" s="11">
        <f t="shared" si="22"/>
        <v>0.15327535985335874</v>
      </c>
      <c r="CC31" s="14"/>
      <c r="CD31" s="13" t="s">
        <v>10</v>
      </c>
      <c r="CE31" s="10">
        <v>87</v>
      </c>
      <c r="CF31" s="12">
        <v>76910.476190090034</v>
      </c>
      <c r="CG31" s="10">
        <f t="shared" si="23"/>
        <v>-14</v>
      </c>
      <c r="CH31" s="12">
        <f t="shared" si="24"/>
        <v>-26407.619047550004</v>
      </c>
      <c r="CI31" s="11">
        <f t="shared" si="25"/>
        <v>-0.25559529515919094</v>
      </c>
      <c r="CK31" s="14"/>
      <c r="CL31" s="13" t="s">
        <v>10</v>
      </c>
      <c r="CM31" s="10">
        <v>71</v>
      </c>
      <c r="CN31" s="12">
        <v>66044.761904450017</v>
      </c>
      <c r="CO31" s="10">
        <f t="shared" si="26"/>
        <v>-16</v>
      </c>
      <c r="CP31" s="12">
        <f t="shared" si="27"/>
        <v>-10865.714285640017</v>
      </c>
      <c r="CQ31" s="11">
        <f t="shared" si="28"/>
        <v>-0.14127742830228468</v>
      </c>
      <c r="CS31" s="14"/>
      <c r="CT31" s="13" t="s">
        <v>10</v>
      </c>
      <c r="CU31" s="10">
        <v>115</v>
      </c>
      <c r="CV31" s="12">
        <v>98313.333332900031</v>
      </c>
      <c r="CW31" s="10">
        <f t="shared" si="29"/>
        <v>44</v>
      </c>
      <c r="CX31" s="12">
        <f t="shared" si="30"/>
        <v>32268.571428450014</v>
      </c>
      <c r="CY31" s="11">
        <f t="shared" si="31"/>
        <v>0.48858638441507951</v>
      </c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 t="s">
        <v>9</v>
      </c>
      <c r="BO32" s="10">
        <v>127</v>
      </c>
      <c r="BP32" s="12">
        <v>111086.66666657002</v>
      </c>
      <c r="BQ32" s="10">
        <f t="shared" si="17"/>
        <v>-83</v>
      </c>
      <c r="BR32" s="12">
        <f t="shared" si="18"/>
        <v>-97127.619047599976</v>
      </c>
      <c r="BS32" s="11">
        <f t="shared" si="19"/>
        <v>-0.46647913093212878</v>
      </c>
      <c r="BU32" s="14"/>
      <c r="BV32" s="13" t="s">
        <v>9</v>
      </c>
      <c r="BW32" s="10">
        <v>77</v>
      </c>
      <c r="BX32" s="12">
        <v>83135.238095119988</v>
      </c>
      <c r="BY32" s="10">
        <f t="shared" si="20"/>
        <v>-50</v>
      </c>
      <c r="BZ32" s="12">
        <f t="shared" si="21"/>
        <v>-27951.428571450029</v>
      </c>
      <c r="CA32" s="11">
        <f t="shared" si="22"/>
        <v>-0.25161821315016214</v>
      </c>
      <c r="CC32" s="14"/>
      <c r="CD32" s="13" t="s">
        <v>9</v>
      </c>
      <c r="CE32" s="10">
        <v>80</v>
      </c>
      <c r="CF32" s="12">
        <v>83333.333333229995</v>
      </c>
      <c r="CG32" s="10">
        <f t="shared" si="23"/>
        <v>3</v>
      </c>
      <c r="CH32" s="12">
        <f t="shared" si="24"/>
        <v>198.0952381100069</v>
      </c>
      <c r="CI32" s="11">
        <f t="shared" si="25"/>
        <v>2.382807130273138E-3</v>
      </c>
      <c r="CK32" s="14"/>
      <c r="CL32" s="13" t="s">
        <v>9</v>
      </c>
      <c r="CM32" s="10">
        <v>77</v>
      </c>
      <c r="CN32" s="12">
        <v>78773.333333229995</v>
      </c>
      <c r="CO32" s="10">
        <f t="shared" si="26"/>
        <v>-3</v>
      </c>
      <c r="CP32" s="12">
        <f t="shared" si="27"/>
        <v>-4560</v>
      </c>
      <c r="CQ32" s="11">
        <f t="shared" si="28"/>
        <v>-5.4720000000067853E-2</v>
      </c>
      <c r="CS32" s="14"/>
      <c r="CT32" s="13" t="s">
        <v>9</v>
      </c>
      <c r="CU32" s="10">
        <v>54</v>
      </c>
      <c r="CV32" s="12">
        <v>61199.999999920008</v>
      </c>
      <c r="CW32" s="10">
        <f t="shared" si="29"/>
        <v>-23</v>
      </c>
      <c r="CX32" s="12">
        <f t="shared" si="30"/>
        <v>-17573.333333309987</v>
      </c>
      <c r="CY32" s="11">
        <f t="shared" si="31"/>
        <v>-0.22308733920107957</v>
      </c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 t="s">
        <v>8</v>
      </c>
      <c r="BO33" s="10">
        <v>17</v>
      </c>
      <c r="BP33" s="12">
        <v>101266.66666666001</v>
      </c>
      <c r="BQ33" s="10">
        <f t="shared" si="17"/>
        <v>-51</v>
      </c>
      <c r="BR33" s="12">
        <f t="shared" si="18"/>
        <v>-290181.90476190002</v>
      </c>
      <c r="BS33" s="11">
        <f t="shared" si="19"/>
        <v>-0.74130275582027172</v>
      </c>
      <c r="BU33" s="14"/>
      <c r="BV33" s="13" t="s">
        <v>8</v>
      </c>
      <c r="BW33" s="10">
        <v>30</v>
      </c>
      <c r="BX33" s="12">
        <v>209238.09523807</v>
      </c>
      <c r="BY33" s="10">
        <f t="shared" si="20"/>
        <v>13</v>
      </c>
      <c r="BZ33" s="12">
        <f t="shared" si="21"/>
        <v>107971.42857141</v>
      </c>
      <c r="CA33" s="11">
        <f t="shared" si="22"/>
        <v>1.0662089720679766</v>
      </c>
      <c r="CC33" s="14"/>
      <c r="CD33" s="13" t="s">
        <v>8</v>
      </c>
      <c r="CE33" s="10">
        <v>19</v>
      </c>
      <c r="CF33" s="12">
        <v>112676.19047618</v>
      </c>
      <c r="CG33" s="10">
        <f t="shared" si="23"/>
        <v>-11</v>
      </c>
      <c r="CH33" s="12">
        <f t="shared" si="24"/>
        <v>-96561.904761890008</v>
      </c>
      <c r="CI33" s="11">
        <f t="shared" si="25"/>
        <v>-0.46149294492488274</v>
      </c>
      <c r="CK33" s="14"/>
      <c r="CL33" s="13" t="s">
        <v>8</v>
      </c>
      <c r="CM33" s="10">
        <v>25</v>
      </c>
      <c r="CN33" s="12">
        <v>172619.04761904001</v>
      </c>
      <c r="CO33" s="10">
        <f t="shared" si="26"/>
        <v>6</v>
      </c>
      <c r="CP33" s="12">
        <f t="shared" si="27"/>
        <v>59942.857142860012</v>
      </c>
      <c r="CQ33" s="11">
        <f t="shared" si="28"/>
        <v>0.53199222381885614</v>
      </c>
      <c r="CS33" s="14"/>
      <c r="CT33" s="13" t="s">
        <v>8</v>
      </c>
      <c r="CU33" s="10">
        <v>14</v>
      </c>
      <c r="CV33" s="12">
        <v>84748.571428559997</v>
      </c>
      <c r="CW33" s="10">
        <f t="shared" si="29"/>
        <v>-11</v>
      </c>
      <c r="CX33" s="12">
        <f t="shared" si="30"/>
        <v>-87870.476190480011</v>
      </c>
      <c r="CY33" s="11">
        <f t="shared" si="31"/>
        <v>-0.50904275862073423</v>
      </c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 t="s">
        <v>7</v>
      </c>
      <c r="BO34" s="10">
        <v>3</v>
      </c>
      <c r="BP34" s="12">
        <v>36857.142857130006</v>
      </c>
      <c r="BQ34" s="10">
        <f t="shared" si="17"/>
        <v>-23</v>
      </c>
      <c r="BR34" s="12">
        <f t="shared" si="18"/>
        <v>-273045.71428568999</v>
      </c>
      <c r="BS34" s="11">
        <f t="shared" si="19"/>
        <v>-0.88106872199585995</v>
      </c>
      <c r="BU34" s="14"/>
      <c r="BV34" s="13" t="s">
        <v>7</v>
      </c>
      <c r="BW34" s="10">
        <v>19</v>
      </c>
      <c r="BX34" s="12">
        <v>237714.28571423003</v>
      </c>
      <c r="BY34" s="10">
        <f t="shared" si="20"/>
        <v>16</v>
      </c>
      <c r="BZ34" s="12">
        <f t="shared" si="21"/>
        <v>200857.14285710003</v>
      </c>
      <c r="CA34" s="11">
        <f t="shared" si="22"/>
        <v>5.4496124031015132</v>
      </c>
      <c r="CC34" s="14"/>
      <c r="CD34" s="13" t="s">
        <v>7</v>
      </c>
      <c r="CE34" s="10">
        <v>9</v>
      </c>
      <c r="CF34" s="12">
        <v>107238.09523807</v>
      </c>
      <c r="CG34" s="10">
        <f t="shared" si="23"/>
        <v>-10</v>
      </c>
      <c r="CH34" s="12">
        <f t="shared" si="24"/>
        <v>-130476.19047616003</v>
      </c>
      <c r="CI34" s="11">
        <f t="shared" si="25"/>
        <v>-0.54887820512820562</v>
      </c>
      <c r="CK34" s="14"/>
      <c r="CL34" s="13" t="s">
        <v>7</v>
      </c>
      <c r="CM34" s="10">
        <v>10</v>
      </c>
      <c r="CN34" s="12">
        <v>127142.85714282002</v>
      </c>
      <c r="CO34" s="10">
        <f t="shared" si="26"/>
        <v>1</v>
      </c>
      <c r="CP34" s="12">
        <f t="shared" si="27"/>
        <v>19904.761904750019</v>
      </c>
      <c r="CQ34" s="11">
        <f t="shared" si="28"/>
        <v>0.18561278863225966</v>
      </c>
      <c r="CS34" s="14"/>
      <c r="CT34" s="13" t="s">
        <v>7</v>
      </c>
      <c r="CU34" s="10">
        <v>8</v>
      </c>
      <c r="CV34" s="12">
        <v>124952.38095235001</v>
      </c>
      <c r="CW34" s="10">
        <f t="shared" si="29"/>
        <v>-2</v>
      </c>
      <c r="CX34" s="12">
        <f t="shared" si="30"/>
        <v>-2190.4761904700135</v>
      </c>
      <c r="CY34" s="11">
        <f t="shared" si="31"/>
        <v>-1.7228464419432103E-2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E35" s="10">
        <v>1</v>
      </c>
      <c r="CF35" s="12">
        <v>8857.1428571399993</v>
      </c>
      <c r="CG35" s="10">
        <f t="shared" si="23"/>
        <v>1</v>
      </c>
      <c r="CH35" s="12">
        <f t="shared" si="24"/>
        <v>8857.1428571399993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-1</v>
      </c>
      <c r="CP35" s="12">
        <f t="shared" si="27"/>
        <v>-8857.1428571399993</v>
      </c>
      <c r="CQ35" s="11">
        <f t="shared" si="28"/>
        <v>-1</v>
      </c>
      <c r="CS35" s="14"/>
      <c r="CT35" s="13" t="s">
        <v>6</v>
      </c>
      <c r="CU35" s="10">
        <v>2</v>
      </c>
      <c r="CV35" s="12">
        <v>5314.2857142800003</v>
      </c>
      <c r="CW35" s="10">
        <f t="shared" si="29"/>
        <v>2</v>
      </c>
      <c r="CX35" s="12">
        <f t="shared" si="30"/>
        <v>5314.2857142800003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 t="s">
        <v>5</v>
      </c>
      <c r="BP36" s="12"/>
      <c r="BQ36" s="10">
        <f t="shared" si="17"/>
        <v>-4</v>
      </c>
      <c r="BR36" s="12">
        <f t="shared" si="18"/>
        <v>-17560</v>
      </c>
      <c r="BS36" s="11">
        <f t="shared" si="19"/>
        <v>-1</v>
      </c>
      <c r="BU36" s="14"/>
      <c r="BV36" s="13" t="s">
        <v>5</v>
      </c>
      <c r="BW36" s="10">
        <v>1</v>
      </c>
      <c r="BX36" s="12">
        <v>8414.2857142800003</v>
      </c>
      <c r="BY36" s="10">
        <f t="shared" si="20"/>
        <v>1</v>
      </c>
      <c r="BZ36" s="12">
        <f t="shared" si="21"/>
        <v>8414.2857142800003</v>
      </c>
      <c r="CA36" s="11" t="e">
        <f t="shared" si="22"/>
        <v>#DIV/0!</v>
      </c>
      <c r="CC36" s="14"/>
      <c r="CD36" s="13" t="s">
        <v>5</v>
      </c>
      <c r="CE36" s="10">
        <v>2</v>
      </c>
      <c r="CF36" s="12">
        <v>8480</v>
      </c>
      <c r="CG36" s="10">
        <f t="shared" si="23"/>
        <v>1</v>
      </c>
      <c r="CH36" s="12">
        <f t="shared" si="24"/>
        <v>65.71428571999968</v>
      </c>
      <c r="CI36" s="11">
        <f t="shared" si="25"/>
        <v>7.8098471993261484E-3</v>
      </c>
      <c r="CK36" s="14"/>
      <c r="CL36" s="13" t="s">
        <v>5</v>
      </c>
      <c r="CM36" s="10">
        <v>2</v>
      </c>
      <c r="CN36" s="12">
        <v>8180</v>
      </c>
      <c r="CO36" s="10">
        <f t="shared" si="26"/>
        <v>0</v>
      </c>
      <c r="CP36" s="12">
        <f t="shared" si="27"/>
        <v>-300</v>
      </c>
      <c r="CQ36" s="11">
        <f t="shared" si="28"/>
        <v>-3.5377358490566037E-2</v>
      </c>
      <c r="CS36" s="14"/>
      <c r="CT36" s="13" t="s">
        <v>5</v>
      </c>
      <c r="CV36" s="12"/>
      <c r="CW36" s="10">
        <f t="shared" si="29"/>
        <v>-2</v>
      </c>
      <c r="CX36" s="12">
        <f t="shared" si="30"/>
        <v>-8180</v>
      </c>
      <c r="CY36" s="11">
        <f t="shared" si="31"/>
        <v>-1</v>
      </c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 t="s">
        <v>4</v>
      </c>
      <c r="BO37" s="10">
        <v>0</v>
      </c>
      <c r="BP37" s="12">
        <v>0</v>
      </c>
      <c r="BQ37" s="10">
        <f t="shared" si="17"/>
        <v>-3</v>
      </c>
      <c r="BR37" s="12">
        <f t="shared" si="18"/>
        <v>-102200</v>
      </c>
      <c r="BS37" s="11">
        <f t="shared" si="19"/>
        <v>-1</v>
      </c>
      <c r="BU37" s="14"/>
      <c r="BV37" s="13" t="s">
        <v>4</v>
      </c>
      <c r="BW37" s="10">
        <v>1</v>
      </c>
      <c r="BX37" s="12">
        <v>26147.619047609998</v>
      </c>
      <c r="BY37" s="10">
        <f t="shared" ref="BY37:BY65" si="32">BW37-BO37</f>
        <v>1</v>
      </c>
      <c r="BZ37" s="12">
        <f t="shared" si="21"/>
        <v>26147.619047609998</v>
      </c>
      <c r="CA37" s="11" t="e">
        <f t="shared" si="22"/>
        <v>#DIV/0!</v>
      </c>
      <c r="CC37" s="14"/>
      <c r="CD37" s="13" t="s">
        <v>4</v>
      </c>
      <c r="CE37" s="10">
        <v>3</v>
      </c>
      <c r="CF37" s="12">
        <v>84454.285714270009</v>
      </c>
      <c r="CG37" s="10">
        <f t="shared" si="23"/>
        <v>2</v>
      </c>
      <c r="CH37" s="12">
        <f t="shared" si="24"/>
        <v>58306.666666660007</v>
      </c>
      <c r="CI37" s="11">
        <f t="shared" si="25"/>
        <v>2.2299034784197485</v>
      </c>
      <c r="CK37" s="14"/>
      <c r="CL37" s="13" t="s">
        <v>4</v>
      </c>
      <c r="CM37" s="10">
        <v>1</v>
      </c>
      <c r="CN37" s="12">
        <v>47047.619047610002</v>
      </c>
      <c r="CO37" s="10">
        <f t="shared" si="26"/>
        <v>-2</v>
      </c>
      <c r="CP37" s="12">
        <f t="shared" si="27"/>
        <v>-37406.666666660007</v>
      </c>
      <c r="CQ37" s="11">
        <f t="shared" si="28"/>
        <v>-0.44292206547357615</v>
      </c>
      <c r="CS37" s="14"/>
      <c r="CT37" s="13" t="s">
        <v>4</v>
      </c>
      <c r="CV37" s="12"/>
      <c r="CW37" s="10">
        <f t="shared" si="29"/>
        <v>-1</v>
      </c>
      <c r="CX37" s="12">
        <f t="shared" si="30"/>
        <v>-47047.619047610002</v>
      </c>
      <c r="CY37" s="11">
        <f t="shared" si="31"/>
        <v>-1</v>
      </c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 t="s">
        <v>3</v>
      </c>
      <c r="BO38" s="10">
        <v>10</v>
      </c>
      <c r="BP38" s="12">
        <v>161238.09523807</v>
      </c>
      <c r="BQ38" s="10">
        <f t="shared" si="17"/>
        <v>-19</v>
      </c>
      <c r="BR38" s="12">
        <f t="shared" si="18"/>
        <v>-307047.61904760002</v>
      </c>
      <c r="BS38" s="11">
        <f t="shared" si="19"/>
        <v>-0.65568436038236833</v>
      </c>
      <c r="BU38" s="14"/>
      <c r="BV38" s="13" t="s">
        <v>3</v>
      </c>
      <c r="BW38" s="10">
        <v>9</v>
      </c>
      <c r="BX38" s="12">
        <v>154190.47619044999</v>
      </c>
      <c r="BY38" s="10">
        <f t="shared" si="32"/>
        <v>-1</v>
      </c>
      <c r="BZ38" s="12">
        <f t="shared" si="21"/>
        <v>-7047.6190476200136</v>
      </c>
      <c r="CA38" s="11">
        <f t="shared" si="22"/>
        <v>-4.3709391612534981E-2</v>
      </c>
      <c r="CC38" s="14"/>
      <c r="CD38" s="13" t="s">
        <v>3</v>
      </c>
      <c r="CE38" s="10">
        <v>11</v>
      </c>
      <c r="CF38" s="12">
        <v>180285.71428568001</v>
      </c>
      <c r="CG38" s="10">
        <f t="shared" si="23"/>
        <v>2</v>
      </c>
      <c r="CH38" s="12">
        <f t="shared" si="24"/>
        <v>26095.238095230015</v>
      </c>
      <c r="CI38" s="11">
        <f t="shared" si="25"/>
        <v>0.16924027177267556</v>
      </c>
      <c r="CK38" s="14"/>
      <c r="CL38" s="13" t="s">
        <v>3</v>
      </c>
      <c r="CM38" s="10">
        <v>14</v>
      </c>
      <c r="CN38" s="12">
        <v>246190.47619043995</v>
      </c>
      <c r="CO38" s="10">
        <f t="shared" si="26"/>
        <v>3</v>
      </c>
      <c r="CP38" s="12">
        <f t="shared" si="27"/>
        <v>65904.761904759944</v>
      </c>
      <c r="CQ38" s="11">
        <f t="shared" si="28"/>
        <v>0.36555731642900741</v>
      </c>
      <c r="CS38" s="14"/>
      <c r="CT38" s="13" t="s">
        <v>3</v>
      </c>
      <c r="CU38" s="10">
        <v>7</v>
      </c>
      <c r="CV38" s="12">
        <v>145523.80952379</v>
      </c>
      <c r="CW38" s="10">
        <f t="shared" si="29"/>
        <v>-7</v>
      </c>
      <c r="CX38" s="12">
        <f t="shared" si="30"/>
        <v>-100666.66666664995</v>
      </c>
      <c r="CY38" s="11">
        <f t="shared" si="31"/>
        <v>-0.40889748549322247</v>
      </c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 t="s">
        <v>2</v>
      </c>
      <c r="BO39" s="10">
        <v>7</v>
      </c>
      <c r="BP39" s="12">
        <v>260285.7142857</v>
      </c>
      <c r="BQ39" s="10">
        <f t="shared" si="17"/>
        <v>-51</v>
      </c>
      <c r="BR39" s="12">
        <f t="shared" si="18"/>
        <v>-1722596.1904761498</v>
      </c>
      <c r="BS39" s="11">
        <f t="shared" si="19"/>
        <v>-0.86873362772607421</v>
      </c>
      <c r="BU39" s="14"/>
      <c r="BV39" s="13" t="s">
        <v>2</v>
      </c>
      <c r="BW39" s="10">
        <v>11</v>
      </c>
      <c r="BX39" s="12">
        <v>379739.04761903</v>
      </c>
      <c r="BY39" s="10">
        <f t="shared" si="32"/>
        <v>4</v>
      </c>
      <c r="BZ39" s="12">
        <f t="shared" si="21"/>
        <v>119453.33333333</v>
      </c>
      <c r="CA39" s="11">
        <f t="shared" si="22"/>
        <v>0.45893157702160037</v>
      </c>
      <c r="CC39" s="14"/>
      <c r="CD39" s="13" t="s">
        <v>2</v>
      </c>
      <c r="CE39" s="10">
        <v>15</v>
      </c>
      <c r="CF39" s="12">
        <v>454761.90476189001</v>
      </c>
      <c r="CG39" s="10">
        <f t="shared" si="23"/>
        <v>4</v>
      </c>
      <c r="CH39" s="12">
        <f t="shared" si="24"/>
        <v>75022.857142860012</v>
      </c>
      <c r="CI39" s="11">
        <f t="shared" si="25"/>
        <v>0.19756424211114065</v>
      </c>
      <c r="CK39" s="14"/>
      <c r="CL39" s="13" t="s">
        <v>2</v>
      </c>
      <c r="CM39" s="10">
        <v>13</v>
      </c>
      <c r="CN39" s="12">
        <v>457809.52380949992</v>
      </c>
      <c r="CO39" s="10">
        <f t="shared" si="26"/>
        <v>-2</v>
      </c>
      <c r="CP39" s="12">
        <f t="shared" si="27"/>
        <v>3047.6190476099146</v>
      </c>
      <c r="CQ39" s="11">
        <f t="shared" si="28"/>
        <v>6.7015706806084069E-3</v>
      </c>
      <c r="CS39" s="14"/>
      <c r="CT39" s="13" t="s">
        <v>2</v>
      </c>
      <c r="CU39" s="10">
        <v>21</v>
      </c>
      <c r="CV39" s="12">
        <v>737020.95238092006</v>
      </c>
      <c r="CW39" s="10">
        <f t="shared" si="29"/>
        <v>8</v>
      </c>
      <c r="CX39" s="12">
        <f t="shared" si="30"/>
        <v>279211.42857142014</v>
      </c>
      <c r="CY39" s="11">
        <f t="shared" si="31"/>
        <v>0.60988558352404088</v>
      </c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 t="s">
        <v>12</v>
      </c>
      <c r="BN40" s="9"/>
      <c r="BO40" s="8">
        <v>250</v>
      </c>
      <c r="BP40" s="7">
        <v>760320.95238043007</v>
      </c>
      <c r="BQ40" s="27">
        <f t="shared" si="17"/>
        <v>-459</v>
      </c>
      <c r="BR40" s="28">
        <f t="shared" si="18"/>
        <v>-3009739.9999991599</v>
      </c>
      <c r="BS40" s="29">
        <f t="shared" si="19"/>
        <v>-0.79832661540908778</v>
      </c>
      <c r="BU40" s="9" t="s">
        <v>12</v>
      </c>
      <c r="BV40" s="9"/>
      <c r="BW40" s="8">
        <v>249</v>
      </c>
      <c r="BX40" s="7">
        <v>1201897.14285643</v>
      </c>
      <c r="BY40" s="27">
        <f t="shared" si="32"/>
        <v>-1</v>
      </c>
      <c r="BZ40" s="28">
        <f t="shared" si="21"/>
        <v>441576.19047599996</v>
      </c>
      <c r="CA40" s="29">
        <f t="shared" si="22"/>
        <v>0.5807760381895346</v>
      </c>
      <c r="CC40" s="9" t="s">
        <v>12</v>
      </c>
      <c r="CD40" s="9"/>
      <c r="CE40" s="8">
        <v>227</v>
      </c>
      <c r="CF40" s="7">
        <v>1116997.1428565499</v>
      </c>
      <c r="CG40" s="27">
        <f t="shared" si="23"/>
        <v>-22</v>
      </c>
      <c r="CH40" s="28">
        <f t="shared" si="24"/>
        <v>-84899.999999880092</v>
      </c>
      <c r="CI40" s="29">
        <f t="shared" si="25"/>
        <v>-7.0638324173154007E-2</v>
      </c>
      <c r="CK40" s="9" t="s">
        <v>12</v>
      </c>
      <c r="CL40" s="9"/>
      <c r="CM40" s="8">
        <v>213</v>
      </c>
      <c r="CN40" s="7">
        <v>1203807.6190470899</v>
      </c>
      <c r="CO40" s="27">
        <f t="shared" si="26"/>
        <v>-14</v>
      </c>
      <c r="CP40" s="28">
        <f t="shared" si="27"/>
        <v>86810.476190540008</v>
      </c>
      <c r="CQ40" s="29">
        <f t="shared" si="28"/>
        <v>7.7717724477374628E-2</v>
      </c>
      <c r="CS40" s="9" t="s">
        <v>12</v>
      </c>
      <c r="CT40" s="9"/>
      <c r="CU40" s="8">
        <v>221</v>
      </c>
      <c r="CV40" s="7">
        <v>1257073.3333327202</v>
      </c>
      <c r="CW40" s="27">
        <f t="shared" si="29"/>
        <v>8</v>
      </c>
      <c r="CX40" s="28">
        <f t="shared" si="30"/>
        <v>53265.714285630267</v>
      </c>
      <c r="CY40" s="29">
        <f t="shared" si="31"/>
        <v>4.4247696594406291E-2</v>
      </c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1597</v>
      </c>
      <c r="BP41" s="35"/>
      <c r="BQ41" s="10">
        <f t="shared" si="17"/>
        <v>-2022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1054</v>
      </c>
      <c r="BX41" s="33"/>
      <c r="BY41" s="10">
        <f t="shared" si="32"/>
        <v>-543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1285</v>
      </c>
      <c r="CF41" s="33"/>
      <c r="CG41" s="10">
        <f t="shared" si="23"/>
        <v>231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>
        <v>1323</v>
      </c>
      <c r="CN41" s="33"/>
      <c r="CO41" s="10">
        <f t="shared" si="26"/>
        <v>38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>
        <v>1229</v>
      </c>
      <c r="CV41" s="33"/>
      <c r="CW41" s="10">
        <f t="shared" si="29"/>
        <v>-94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9</v>
      </c>
      <c r="BP42" s="35"/>
      <c r="BQ42" s="10">
        <f t="shared" si="17"/>
        <v>-1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5</v>
      </c>
      <c r="BX42" s="33"/>
      <c r="BY42" s="10">
        <f t="shared" si="32"/>
        <v>-4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>
        <v>7</v>
      </c>
      <c r="CF42" s="33"/>
      <c r="CG42" s="10">
        <f t="shared" si="23"/>
        <v>2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>
        <v>6</v>
      </c>
      <c r="CN42" s="33"/>
      <c r="CO42" s="10">
        <f t="shared" si="26"/>
        <v>-1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>
        <v>4</v>
      </c>
      <c r="CV42" s="33"/>
      <c r="CW42" s="10">
        <f t="shared" si="29"/>
        <v>-2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 t="s">
        <v>10</v>
      </c>
      <c r="BO43" s="10">
        <v>133</v>
      </c>
      <c r="BP43" s="12">
        <v>111602.85714242996</v>
      </c>
      <c r="BQ43" s="10">
        <f t="shared" si="17"/>
        <v>-114</v>
      </c>
      <c r="BR43" s="12">
        <f t="shared" si="18"/>
        <v>-109135.23809491003</v>
      </c>
      <c r="BS43" s="11">
        <f t="shared" si="19"/>
        <v>-0.4944105274513973</v>
      </c>
      <c r="BU43" s="14"/>
      <c r="BV43" s="13" t="s">
        <v>10</v>
      </c>
      <c r="BW43" s="10">
        <v>78</v>
      </c>
      <c r="BX43" s="12">
        <v>82412.380952079999</v>
      </c>
      <c r="BY43" s="10">
        <f t="shared" si="32"/>
        <v>-55</v>
      </c>
      <c r="BZ43" s="12">
        <f t="shared" si="21"/>
        <v>-29190.47619034996</v>
      </c>
      <c r="CA43" s="11">
        <f t="shared" si="22"/>
        <v>-0.26155671044421785</v>
      </c>
      <c r="CC43" s="14"/>
      <c r="CD43" s="13" t="s">
        <v>10</v>
      </c>
      <c r="CE43" s="10">
        <v>110</v>
      </c>
      <c r="CF43" s="12">
        <v>85552.380951930012</v>
      </c>
      <c r="CG43" s="10">
        <f t="shared" si="23"/>
        <v>32</v>
      </c>
      <c r="CH43" s="12">
        <f t="shared" si="24"/>
        <v>3139.9999998500134</v>
      </c>
      <c r="CI43" s="11">
        <f t="shared" si="25"/>
        <v>3.8101071265928071E-2</v>
      </c>
      <c r="CK43" s="14"/>
      <c r="CL43" s="13" t="s">
        <v>10</v>
      </c>
      <c r="CM43" s="10">
        <v>98</v>
      </c>
      <c r="CN43" s="12">
        <v>89394.285713870035</v>
      </c>
      <c r="CO43" s="10">
        <f t="shared" si="26"/>
        <v>-12</v>
      </c>
      <c r="CP43" s="12">
        <f t="shared" si="27"/>
        <v>3841.9047619400226</v>
      </c>
      <c r="CQ43" s="11">
        <f t="shared" si="28"/>
        <v>4.4907046644309105E-2</v>
      </c>
      <c r="CS43" s="14"/>
      <c r="CT43" s="13" t="s">
        <v>10</v>
      </c>
      <c r="CU43" s="10">
        <v>96</v>
      </c>
      <c r="CV43" s="12">
        <v>85103.809523370001</v>
      </c>
      <c r="CW43" s="10">
        <f t="shared" si="29"/>
        <v>-2</v>
      </c>
      <c r="CX43" s="12">
        <f t="shared" si="30"/>
        <v>-4290.4761905000341</v>
      </c>
      <c r="CY43" s="11">
        <f t="shared" si="31"/>
        <v>-4.7994971448542402E-2</v>
      </c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 t="s">
        <v>9</v>
      </c>
      <c r="BO44" s="10">
        <v>82</v>
      </c>
      <c r="BP44" s="12">
        <v>76159.047618940007</v>
      </c>
      <c r="BQ44" s="10">
        <f t="shared" si="17"/>
        <v>-85</v>
      </c>
      <c r="BR44" s="12">
        <f t="shared" si="18"/>
        <v>-81958.095238089969</v>
      </c>
      <c r="BS44" s="11">
        <f t="shared" si="19"/>
        <v>-0.51833782066373879</v>
      </c>
      <c r="BU44" s="14"/>
      <c r="BV44" s="13" t="s">
        <v>9</v>
      </c>
      <c r="BW44" s="10">
        <v>85</v>
      </c>
      <c r="BX44" s="12">
        <v>90152.380952249994</v>
      </c>
      <c r="BY44" s="10">
        <f t="shared" si="32"/>
        <v>3</v>
      </c>
      <c r="BZ44" s="12">
        <f t="shared" si="21"/>
        <v>13993.333333309987</v>
      </c>
      <c r="CA44" s="11">
        <f t="shared" si="22"/>
        <v>0.18373829204542183</v>
      </c>
      <c r="CC44" s="14"/>
      <c r="CD44" s="13" t="s">
        <v>9</v>
      </c>
      <c r="CE44" s="10">
        <v>88</v>
      </c>
      <c r="CF44" s="12">
        <v>88811.428571319979</v>
      </c>
      <c r="CG44" s="10">
        <f t="shared" si="23"/>
        <v>3</v>
      </c>
      <c r="CH44" s="12">
        <f t="shared" si="24"/>
        <v>-1340.9523809300154</v>
      </c>
      <c r="CI44" s="11">
        <f t="shared" si="25"/>
        <v>-1.4874286921387718E-2</v>
      </c>
      <c r="CK44" s="14"/>
      <c r="CL44" s="13" t="s">
        <v>9</v>
      </c>
      <c r="CM44" s="10">
        <v>75</v>
      </c>
      <c r="CN44" s="12">
        <v>66047.619047519998</v>
      </c>
      <c r="CO44" s="10">
        <f t="shared" si="26"/>
        <v>-13</v>
      </c>
      <c r="CP44" s="12">
        <f t="shared" si="27"/>
        <v>-22763.809523799981</v>
      </c>
      <c r="CQ44" s="11">
        <f t="shared" si="28"/>
        <v>-0.25631621841911384</v>
      </c>
      <c r="CS44" s="14"/>
      <c r="CT44" s="13" t="s">
        <v>9</v>
      </c>
      <c r="CU44" s="10">
        <v>61</v>
      </c>
      <c r="CV44" s="12">
        <v>57428.571428510018</v>
      </c>
      <c r="CW44" s="10">
        <f t="shared" si="29"/>
        <v>-14</v>
      </c>
      <c r="CX44" s="12">
        <f t="shared" si="30"/>
        <v>-8619.0476190099798</v>
      </c>
      <c r="CY44" s="11">
        <f t="shared" si="31"/>
        <v>-0.13049747656775848</v>
      </c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 t="s">
        <v>8</v>
      </c>
      <c r="BO45" s="10">
        <v>16</v>
      </c>
      <c r="BP45" s="12">
        <v>104990.47619047001</v>
      </c>
      <c r="BQ45" s="10">
        <f t="shared" si="17"/>
        <v>-40</v>
      </c>
      <c r="BR45" s="12">
        <f t="shared" si="18"/>
        <v>-248487.61904761</v>
      </c>
      <c r="BS45" s="11">
        <f t="shared" si="19"/>
        <v>-0.70297883346984991</v>
      </c>
      <c r="BU45" s="14"/>
      <c r="BV45" s="13" t="s">
        <v>8</v>
      </c>
      <c r="BW45" s="10">
        <v>14</v>
      </c>
      <c r="BX45" s="12">
        <v>92723.80952380001</v>
      </c>
      <c r="BY45" s="10">
        <f t="shared" si="32"/>
        <v>-2</v>
      </c>
      <c r="BZ45" s="12">
        <f t="shared" si="21"/>
        <v>-12266.666666670004</v>
      </c>
      <c r="CA45" s="11">
        <f t="shared" si="22"/>
        <v>-0.11683599419452342</v>
      </c>
      <c r="CC45" s="14"/>
      <c r="CD45" s="13" t="s">
        <v>8</v>
      </c>
      <c r="CE45" s="10">
        <v>21</v>
      </c>
      <c r="CF45" s="12">
        <v>139443.80952379998</v>
      </c>
      <c r="CG45" s="10">
        <f t="shared" si="23"/>
        <v>7</v>
      </c>
      <c r="CH45" s="12">
        <f t="shared" si="24"/>
        <v>46719.999999999971</v>
      </c>
      <c r="CI45" s="11">
        <f t="shared" si="25"/>
        <v>0.50386195562864633</v>
      </c>
      <c r="CK45" s="14"/>
      <c r="CL45" s="13" t="s">
        <v>8</v>
      </c>
      <c r="CM45" s="10">
        <v>10</v>
      </c>
      <c r="CN45" s="12">
        <v>62761.904761899998</v>
      </c>
      <c r="CO45" s="10">
        <f t="shared" si="26"/>
        <v>-11</v>
      </c>
      <c r="CP45" s="12">
        <f t="shared" si="27"/>
        <v>-76681.90476189999</v>
      </c>
      <c r="CQ45" s="11">
        <f t="shared" si="28"/>
        <v>-0.54991257786034653</v>
      </c>
      <c r="CS45" s="14"/>
      <c r="CT45" s="13" t="s">
        <v>8</v>
      </c>
      <c r="CU45" s="10">
        <v>12</v>
      </c>
      <c r="CV45" s="12">
        <v>84647.619047610002</v>
      </c>
      <c r="CW45" s="10">
        <f t="shared" si="29"/>
        <v>2</v>
      </c>
      <c r="CX45" s="12">
        <f t="shared" si="30"/>
        <v>21885.714285710004</v>
      </c>
      <c r="CY45" s="11">
        <f t="shared" si="31"/>
        <v>0.34871016691953338</v>
      </c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 t="s">
        <v>7</v>
      </c>
      <c r="BO46" s="10">
        <v>8</v>
      </c>
      <c r="BP46" s="12">
        <v>92571.4285714</v>
      </c>
      <c r="BQ46" s="10">
        <f t="shared" si="17"/>
        <v>-30</v>
      </c>
      <c r="BR46" s="12">
        <f t="shared" si="18"/>
        <v>-383333.33333330997</v>
      </c>
      <c r="BS46" s="11">
        <f t="shared" si="19"/>
        <v>-0.80548328997402319</v>
      </c>
      <c r="BU46" s="14"/>
      <c r="BV46" s="13" t="s">
        <v>7</v>
      </c>
      <c r="BW46" s="10">
        <v>10</v>
      </c>
      <c r="BX46" s="12">
        <v>111428.57142854</v>
      </c>
      <c r="BY46" s="10">
        <f t="shared" si="32"/>
        <v>2</v>
      </c>
      <c r="BZ46" s="12">
        <f t="shared" si="21"/>
        <v>18857.142857140003</v>
      </c>
      <c r="CA46" s="11">
        <f t="shared" si="22"/>
        <v>0.20370370370373575</v>
      </c>
      <c r="CC46" s="14"/>
      <c r="CD46" s="13" t="s">
        <v>7</v>
      </c>
      <c r="CE46" s="10">
        <v>16</v>
      </c>
      <c r="CF46" s="12">
        <v>186095.23809520004</v>
      </c>
      <c r="CG46" s="10">
        <f t="shared" si="23"/>
        <v>6</v>
      </c>
      <c r="CH46" s="12">
        <f t="shared" si="24"/>
        <v>74666.666666660036</v>
      </c>
      <c r="CI46" s="11">
        <f t="shared" si="25"/>
        <v>0.6700854700855996</v>
      </c>
      <c r="CK46" s="14"/>
      <c r="CL46" s="13" t="s">
        <v>7</v>
      </c>
      <c r="CM46" s="10">
        <v>8</v>
      </c>
      <c r="CN46" s="12">
        <v>137333.33333331</v>
      </c>
      <c r="CO46" s="10">
        <f t="shared" si="26"/>
        <v>-8</v>
      </c>
      <c r="CP46" s="12">
        <f t="shared" si="27"/>
        <v>-48761.904761890037</v>
      </c>
      <c r="CQ46" s="11">
        <f t="shared" si="28"/>
        <v>-0.26202661207776362</v>
      </c>
      <c r="CS46" s="14"/>
      <c r="CT46" s="13" t="s">
        <v>7</v>
      </c>
      <c r="CU46" s="10">
        <v>13</v>
      </c>
      <c r="CV46" s="12">
        <v>130190.47619044001</v>
      </c>
      <c r="CW46" s="10">
        <f t="shared" si="29"/>
        <v>5</v>
      </c>
      <c r="CX46" s="12">
        <f t="shared" si="30"/>
        <v>-7142.8571428699943</v>
      </c>
      <c r="CY46" s="11">
        <f t="shared" si="31"/>
        <v>-5.2011095700518505E-2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 t="s">
        <v>6</v>
      </c>
      <c r="BP47" s="12"/>
      <c r="BQ47" s="10">
        <f t="shared" si="17"/>
        <v>-1</v>
      </c>
      <c r="BR47" s="12">
        <f t="shared" si="18"/>
        <v>-8857.1428571399993</v>
      </c>
      <c r="BS47" s="11">
        <f t="shared" si="19"/>
        <v>-1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 t="s">
        <v>5</v>
      </c>
      <c r="BO48" s="10">
        <v>2</v>
      </c>
      <c r="BP48" s="12">
        <v>9780</v>
      </c>
      <c r="BQ48" s="10">
        <f t="shared" si="17"/>
        <v>0</v>
      </c>
      <c r="BR48" s="12">
        <f t="shared" si="18"/>
        <v>1700</v>
      </c>
      <c r="BS48" s="11">
        <f t="shared" si="19"/>
        <v>0.21039603960396039</v>
      </c>
      <c r="BU48" s="14"/>
      <c r="BV48" s="13" t="s">
        <v>5</v>
      </c>
      <c r="BW48" s="10">
        <v>1</v>
      </c>
      <c r="BX48" s="12">
        <v>6290</v>
      </c>
      <c r="BY48" s="10">
        <f t="shared" si="32"/>
        <v>-1</v>
      </c>
      <c r="BZ48" s="12">
        <f t="shared" si="21"/>
        <v>-3490</v>
      </c>
      <c r="CA48" s="11">
        <f t="shared" si="22"/>
        <v>-0.35685071574642124</v>
      </c>
      <c r="CC48" s="14"/>
      <c r="CD48" s="13" t="s">
        <v>5</v>
      </c>
      <c r="CE48" s="10">
        <v>2</v>
      </c>
      <c r="CF48" s="12">
        <v>15380</v>
      </c>
      <c r="CG48" s="10">
        <f t="shared" si="23"/>
        <v>1</v>
      </c>
      <c r="CH48" s="12">
        <f t="shared" si="24"/>
        <v>9090</v>
      </c>
      <c r="CI48" s="11">
        <f t="shared" si="25"/>
        <v>1.4451510333863276</v>
      </c>
      <c r="CK48" s="14"/>
      <c r="CL48" s="13" t="s">
        <v>5</v>
      </c>
      <c r="CM48" s="10">
        <v>4</v>
      </c>
      <c r="CN48" s="12">
        <v>20260</v>
      </c>
      <c r="CO48" s="10">
        <f t="shared" si="26"/>
        <v>2</v>
      </c>
      <c r="CP48" s="12">
        <f t="shared" si="27"/>
        <v>4880</v>
      </c>
      <c r="CQ48" s="11">
        <f t="shared" si="28"/>
        <v>0.31729518855656696</v>
      </c>
      <c r="CS48" s="14"/>
      <c r="CT48" s="13" t="s">
        <v>5</v>
      </c>
      <c r="CV48" s="12"/>
      <c r="CW48" s="10">
        <f t="shared" si="29"/>
        <v>-4</v>
      </c>
      <c r="CX48" s="12">
        <f t="shared" si="30"/>
        <v>-20260</v>
      </c>
      <c r="CY48" s="11">
        <f t="shared" si="31"/>
        <v>-1</v>
      </c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 t="s">
        <v>4</v>
      </c>
      <c r="BO49" s="10">
        <v>3</v>
      </c>
      <c r="BP49" s="12">
        <v>105428.57142856001</v>
      </c>
      <c r="BQ49" s="10">
        <f t="shared" si="17"/>
        <v>-1</v>
      </c>
      <c r="BR49" s="12">
        <f t="shared" si="18"/>
        <v>-57714.285714279977</v>
      </c>
      <c r="BS49" s="11">
        <f t="shared" si="19"/>
        <v>-0.35376532399299676</v>
      </c>
      <c r="BU49" s="14"/>
      <c r="BV49" s="13" t="s">
        <v>4</v>
      </c>
      <c r="BW49" s="10">
        <v>2</v>
      </c>
      <c r="BX49" s="12">
        <v>52168.571428559997</v>
      </c>
      <c r="BY49" s="10">
        <f t="shared" si="32"/>
        <v>-1</v>
      </c>
      <c r="BZ49" s="12">
        <f t="shared" si="21"/>
        <v>-53260.000000000015</v>
      </c>
      <c r="CA49" s="11">
        <f t="shared" si="22"/>
        <v>-0.50517615176157249</v>
      </c>
      <c r="CC49" s="14"/>
      <c r="CD49" s="13" t="s">
        <v>4</v>
      </c>
      <c r="CE49" s="10">
        <v>8</v>
      </c>
      <c r="CF49" s="12">
        <v>227482.85714284002</v>
      </c>
      <c r="CG49" s="10">
        <f t="shared" si="23"/>
        <v>6</v>
      </c>
      <c r="CH49" s="12">
        <f t="shared" si="24"/>
        <v>175314.28571428003</v>
      </c>
      <c r="CI49" s="11">
        <f t="shared" si="25"/>
        <v>3.3605345309168881</v>
      </c>
      <c r="CK49" s="14"/>
      <c r="CL49" s="13" t="s">
        <v>4</v>
      </c>
      <c r="CN49" s="12"/>
      <c r="CO49" s="10">
        <f t="shared" si="26"/>
        <v>-8</v>
      </c>
      <c r="CP49" s="12">
        <f t="shared" si="27"/>
        <v>-227482.85714284002</v>
      </c>
      <c r="CQ49" s="11">
        <f t="shared" si="28"/>
        <v>-1</v>
      </c>
      <c r="CS49" s="14"/>
      <c r="CT49" s="13" t="s">
        <v>4</v>
      </c>
      <c r="CU49" s="10">
        <v>1</v>
      </c>
      <c r="CV49" s="12">
        <v>25619.04761904</v>
      </c>
      <c r="CW49" s="10">
        <f t="shared" si="29"/>
        <v>1</v>
      </c>
      <c r="CX49" s="12">
        <f t="shared" si="30"/>
        <v>25619.04761904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 t="s">
        <v>3</v>
      </c>
      <c r="BO50" s="10">
        <v>16</v>
      </c>
      <c r="BP50" s="12">
        <v>252666.66666663002</v>
      </c>
      <c r="BQ50" s="10">
        <f t="shared" si="17"/>
        <v>-9</v>
      </c>
      <c r="BR50" s="12">
        <f t="shared" si="18"/>
        <v>-148666.66666665999</v>
      </c>
      <c r="BS50" s="11">
        <f t="shared" si="19"/>
        <v>-0.370431893687731</v>
      </c>
      <c r="BU50" s="14"/>
      <c r="BV50" s="13" t="s">
        <v>3</v>
      </c>
      <c r="BW50" s="10">
        <v>10</v>
      </c>
      <c r="BX50" s="12">
        <v>166761.90476188</v>
      </c>
      <c r="BY50" s="10">
        <f t="shared" si="32"/>
        <v>-6</v>
      </c>
      <c r="BZ50" s="12">
        <f t="shared" si="21"/>
        <v>-85904.761904750019</v>
      </c>
      <c r="CA50" s="11">
        <f t="shared" si="22"/>
        <v>-0.33999246136449529</v>
      </c>
      <c r="CC50" s="14"/>
      <c r="CD50" s="13" t="s">
        <v>3</v>
      </c>
      <c r="CE50" s="10">
        <v>14</v>
      </c>
      <c r="CF50" s="12">
        <v>210761.90476186998</v>
      </c>
      <c r="CG50" s="10">
        <f t="shared" si="23"/>
        <v>4</v>
      </c>
      <c r="CH50" s="12">
        <f t="shared" si="24"/>
        <v>43999.999999989988</v>
      </c>
      <c r="CI50" s="11">
        <f t="shared" si="25"/>
        <v>0.26384922901197227</v>
      </c>
      <c r="CK50" s="14"/>
      <c r="CL50" s="13" t="s">
        <v>3</v>
      </c>
      <c r="CM50" s="10">
        <v>7</v>
      </c>
      <c r="CN50" s="12">
        <v>91333.333333310002</v>
      </c>
      <c r="CO50" s="10">
        <f t="shared" si="26"/>
        <v>-7</v>
      </c>
      <c r="CP50" s="12">
        <f t="shared" si="27"/>
        <v>-119428.57142855998</v>
      </c>
      <c r="CQ50" s="11">
        <f t="shared" si="28"/>
        <v>-0.56665160415729177</v>
      </c>
      <c r="CS50" s="14"/>
      <c r="CT50" s="13" t="s">
        <v>3</v>
      </c>
      <c r="CU50" s="10">
        <v>11</v>
      </c>
      <c r="CV50" s="12">
        <v>191142.85714283001</v>
      </c>
      <c r="CW50" s="10">
        <f t="shared" si="29"/>
        <v>4</v>
      </c>
      <c r="CX50" s="12">
        <f t="shared" si="30"/>
        <v>99809.523809520004</v>
      </c>
      <c r="CY50" s="11">
        <f t="shared" si="31"/>
        <v>1.0928050052140019</v>
      </c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 t="s">
        <v>2</v>
      </c>
      <c r="BO51" s="10">
        <v>24</v>
      </c>
      <c r="BP51" s="12">
        <v>751047.61904759996</v>
      </c>
      <c r="BQ51" s="10">
        <f t="shared" si="17"/>
        <v>-28</v>
      </c>
      <c r="BR51" s="12">
        <f t="shared" si="18"/>
        <v>-868761.90476187028</v>
      </c>
      <c r="BS51" s="11">
        <f t="shared" si="19"/>
        <v>-0.53633584195672268</v>
      </c>
      <c r="BU51" s="14"/>
      <c r="BV51" s="13" t="s">
        <v>2</v>
      </c>
      <c r="BW51" s="10">
        <v>12</v>
      </c>
      <c r="BX51" s="12">
        <v>370285.7142857</v>
      </c>
      <c r="BY51" s="10">
        <f t="shared" si="32"/>
        <v>-12</v>
      </c>
      <c r="BZ51" s="12">
        <f t="shared" si="21"/>
        <v>-380761.90476189996</v>
      </c>
      <c r="CA51" s="11">
        <f t="shared" si="22"/>
        <v>-0.50697438498605774</v>
      </c>
      <c r="CC51" s="14"/>
      <c r="CD51" s="13" t="s">
        <v>2</v>
      </c>
      <c r="CE51" s="10">
        <v>32</v>
      </c>
      <c r="CF51" s="12">
        <v>1105523.8095237699</v>
      </c>
      <c r="CG51" s="10">
        <f t="shared" si="23"/>
        <v>20</v>
      </c>
      <c r="CH51" s="12">
        <f t="shared" si="24"/>
        <v>735238.09523806989</v>
      </c>
      <c r="CI51" s="11">
        <f t="shared" si="25"/>
        <v>1.9855967078189383</v>
      </c>
      <c r="CK51" s="14"/>
      <c r="CL51" s="13" t="s">
        <v>2</v>
      </c>
      <c r="CM51" s="10">
        <v>26</v>
      </c>
      <c r="CN51" s="12">
        <v>965142.85714284005</v>
      </c>
      <c r="CO51" s="10">
        <f t="shared" si="26"/>
        <v>-6</v>
      </c>
      <c r="CP51" s="12">
        <f t="shared" si="27"/>
        <v>-140380.95238092984</v>
      </c>
      <c r="CQ51" s="11">
        <f t="shared" si="28"/>
        <v>-0.12698139214333357</v>
      </c>
      <c r="CS51" s="14"/>
      <c r="CT51" s="13" t="s">
        <v>2</v>
      </c>
      <c r="CU51" s="10">
        <v>24</v>
      </c>
      <c r="CV51" s="12">
        <v>868190.47619043</v>
      </c>
      <c r="CW51" s="10">
        <f t="shared" si="29"/>
        <v>-2</v>
      </c>
      <c r="CX51" s="12">
        <f t="shared" si="30"/>
        <v>-96952.380952410051</v>
      </c>
      <c r="CY51" s="11">
        <f t="shared" si="31"/>
        <v>-0.10045391750545921</v>
      </c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 t="s">
        <v>11</v>
      </c>
      <c r="BN52" s="9"/>
      <c r="BO52" s="8">
        <v>284</v>
      </c>
      <c r="BP52" s="7">
        <v>1504246.66666603</v>
      </c>
      <c r="BQ52" s="27">
        <f t="shared" si="17"/>
        <v>-308</v>
      </c>
      <c r="BR52" s="28">
        <f t="shared" si="18"/>
        <v>-1905214.2857138701</v>
      </c>
      <c r="BS52" s="29">
        <f t="shared" si="19"/>
        <v>-0.55880220138141679</v>
      </c>
      <c r="BU52" s="9" t="s">
        <v>11</v>
      </c>
      <c r="BV52" s="9"/>
      <c r="BW52" s="8">
        <v>212</v>
      </c>
      <c r="BX52" s="7">
        <v>972223.33333280997</v>
      </c>
      <c r="BY52" s="27">
        <f t="shared" si="32"/>
        <v>-72</v>
      </c>
      <c r="BZ52" s="28">
        <f t="shared" si="21"/>
        <v>-532023.33333321998</v>
      </c>
      <c r="CA52" s="29">
        <f t="shared" si="22"/>
        <v>-0.35368091226180448</v>
      </c>
      <c r="CC52" s="9" t="s">
        <v>11</v>
      </c>
      <c r="CD52" s="9"/>
      <c r="CE52" s="8">
        <v>291</v>
      </c>
      <c r="CF52" s="7">
        <v>2059051.4285707299</v>
      </c>
      <c r="CG52" s="27">
        <f t="shared" si="23"/>
        <v>79</v>
      </c>
      <c r="CH52" s="28">
        <f t="shared" si="24"/>
        <v>1086828.0952379201</v>
      </c>
      <c r="CI52" s="29">
        <f t="shared" si="25"/>
        <v>1.1178790489549779</v>
      </c>
      <c r="CK52" s="9" t="s">
        <v>11</v>
      </c>
      <c r="CL52" s="9"/>
      <c r="CM52" s="8">
        <v>228</v>
      </c>
      <c r="CN52" s="7">
        <v>1432273.33333275</v>
      </c>
      <c r="CO52" s="27">
        <f t="shared" si="26"/>
        <v>-63</v>
      </c>
      <c r="CP52" s="28">
        <f t="shared" si="27"/>
        <v>-626778.0952379799</v>
      </c>
      <c r="CQ52" s="29">
        <f t="shared" si="28"/>
        <v>-0.30440137946095486</v>
      </c>
      <c r="CS52" s="9" t="s">
        <v>11</v>
      </c>
      <c r="CT52" s="9"/>
      <c r="CU52" s="8">
        <v>218</v>
      </c>
      <c r="CV52" s="7">
        <v>1442322.85714223</v>
      </c>
      <c r="CW52" s="27">
        <f t="shared" si="29"/>
        <v>-10</v>
      </c>
      <c r="CX52" s="28">
        <f t="shared" si="30"/>
        <v>10049.523809480015</v>
      </c>
      <c r="CY52" s="29">
        <f t="shared" si="31"/>
        <v>7.016484616170173E-3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3</v>
      </c>
      <c r="BP54" s="35"/>
      <c r="BQ54" s="10">
        <f t="shared" si="17"/>
        <v>-5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32"/>
        <v>-3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>
        <v>0</v>
      </c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>
        <v>2</v>
      </c>
      <c r="CN54" s="33"/>
      <c r="CO54" s="10">
        <f t="shared" si="26"/>
        <v>2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>
        <v>1</v>
      </c>
      <c r="CV54" s="33"/>
      <c r="CW54" s="10">
        <f t="shared" si="29"/>
        <v>-1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 t="s">
        <v>10</v>
      </c>
      <c r="BO55" s="10">
        <v>150</v>
      </c>
      <c r="BP55" s="12">
        <v>142848.57142798998</v>
      </c>
      <c r="BQ55" s="10">
        <f t="shared" si="17"/>
        <v>-137</v>
      </c>
      <c r="BR55" s="12">
        <f t="shared" si="18"/>
        <v>-115009.52380903991</v>
      </c>
      <c r="BS55" s="11">
        <f t="shared" si="19"/>
        <v>-0.44601866659768874</v>
      </c>
      <c r="BU55" s="14"/>
      <c r="BV55" s="13" t="s">
        <v>10</v>
      </c>
      <c r="BW55" s="10">
        <v>118</v>
      </c>
      <c r="BX55" s="12">
        <v>102147.61904713005</v>
      </c>
      <c r="BY55" s="10">
        <f t="shared" si="32"/>
        <v>-32</v>
      </c>
      <c r="BZ55" s="12">
        <f t="shared" si="21"/>
        <v>-40700.952380859933</v>
      </c>
      <c r="CA55" s="11">
        <f t="shared" si="22"/>
        <v>-0.28492376209290476</v>
      </c>
      <c r="CC55" s="14"/>
      <c r="CD55" s="13" t="s">
        <v>10</v>
      </c>
      <c r="CE55" s="10">
        <v>114</v>
      </c>
      <c r="CF55" s="12">
        <v>112772.38095190004</v>
      </c>
      <c r="CG55" s="10">
        <f t="shared" si="23"/>
        <v>-4</v>
      </c>
      <c r="CH55" s="12">
        <f t="shared" si="24"/>
        <v>10624.761904769985</v>
      </c>
      <c r="CI55" s="11">
        <f t="shared" si="25"/>
        <v>0.10401379889107165</v>
      </c>
      <c r="CK55" s="14"/>
      <c r="CL55" s="13" t="s">
        <v>10</v>
      </c>
      <c r="CM55" s="10">
        <v>75</v>
      </c>
      <c r="CN55" s="12">
        <v>75446.666666359975</v>
      </c>
      <c r="CO55" s="10">
        <f t="shared" si="26"/>
        <v>-39</v>
      </c>
      <c r="CP55" s="12">
        <f t="shared" si="27"/>
        <v>-37325.71428554006</v>
      </c>
      <c r="CQ55" s="11">
        <f t="shared" si="28"/>
        <v>-0.33098276342556177</v>
      </c>
      <c r="CS55" s="14"/>
      <c r="CT55" s="13" t="s">
        <v>10</v>
      </c>
      <c r="CU55" s="10">
        <v>86</v>
      </c>
      <c r="CV55" s="12">
        <v>90476.190475840005</v>
      </c>
      <c r="CW55" s="10">
        <f t="shared" si="29"/>
        <v>11</v>
      </c>
      <c r="CX55" s="12">
        <f t="shared" si="30"/>
        <v>15029.52380948003</v>
      </c>
      <c r="CY55" s="11">
        <f t="shared" si="31"/>
        <v>0.1992072608846133</v>
      </c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 t="s">
        <v>9</v>
      </c>
      <c r="BO56" s="10">
        <v>104</v>
      </c>
      <c r="BP56" s="12">
        <v>99019.047618960001</v>
      </c>
      <c r="BQ56" s="10">
        <f t="shared" si="17"/>
        <v>-48</v>
      </c>
      <c r="BR56" s="12">
        <f t="shared" si="18"/>
        <v>-57220.95238095001</v>
      </c>
      <c r="BS56" s="11">
        <f t="shared" si="19"/>
        <v>-0.36623753444049517</v>
      </c>
      <c r="BU56" s="14"/>
      <c r="BV56" s="13" t="s">
        <v>9</v>
      </c>
      <c r="BW56" s="10">
        <v>89</v>
      </c>
      <c r="BX56" s="12">
        <v>100334.28571419</v>
      </c>
      <c r="BY56" s="10">
        <f t="shared" si="32"/>
        <v>-15</v>
      </c>
      <c r="BZ56" s="12">
        <f t="shared" si="21"/>
        <v>1315.2380952300009</v>
      </c>
      <c r="CA56" s="11">
        <f t="shared" si="22"/>
        <v>1.3282677695419092E-2</v>
      </c>
      <c r="CC56" s="14"/>
      <c r="CD56" s="13" t="s">
        <v>9</v>
      </c>
      <c r="CE56" s="10">
        <v>68</v>
      </c>
      <c r="CF56" s="12">
        <v>77828.571428499999</v>
      </c>
      <c r="CG56" s="10">
        <f t="shared" si="23"/>
        <v>-21</v>
      </c>
      <c r="CH56" s="12">
        <f t="shared" si="24"/>
        <v>-22505.714285690003</v>
      </c>
      <c r="CI56" s="11">
        <f t="shared" si="25"/>
        <v>-0.22430731554514952</v>
      </c>
      <c r="CK56" s="14"/>
      <c r="CL56" s="13" t="s">
        <v>9</v>
      </c>
      <c r="CM56" s="10">
        <v>59</v>
      </c>
      <c r="CN56" s="12">
        <v>68485.714285609996</v>
      </c>
      <c r="CO56" s="10">
        <f t="shared" si="26"/>
        <v>-9</v>
      </c>
      <c r="CP56" s="12">
        <f t="shared" si="27"/>
        <v>-9342.8571428900032</v>
      </c>
      <c r="CQ56" s="11">
        <f t="shared" si="28"/>
        <v>-0.12004405286396851</v>
      </c>
      <c r="CS56" s="14"/>
      <c r="CT56" s="13" t="s">
        <v>9</v>
      </c>
      <c r="CU56" s="10">
        <v>78</v>
      </c>
      <c r="CV56" s="12">
        <v>79542.857142770008</v>
      </c>
      <c r="CW56" s="10">
        <f t="shared" si="29"/>
        <v>19</v>
      </c>
      <c r="CX56" s="12">
        <f t="shared" si="30"/>
        <v>11057.142857160012</v>
      </c>
      <c r="CY56" s="11">
        <f t="shared" si="31"/>
        <v>0.16145181476895692</v>
      </c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 t="s">
        <v>8</v>
      </c>
      <c r="BO57" s="10">
        <v>26</v>
      </c>
      <c r="BP57" s="12">
        <v>166323.80952379</v>
      </c>
      <c r="BQ57" s="10">
        <f t="shared" si="17"/>
        <v>-4</v>
      </c>
      <c r="BR57" s="12">
        <f t="shared" si="18"/>
        <v>-47996.190476179996</v>
      </c>
      <c r="BS57" s="11">
        <f t="shared" si="19"/>
        <v>-0.22394639079967674</v>
      </c>
      <c r="BU57" s="14"/>
      <c r="BV57" s="13" t="s">
        <v>8</v>
      </c>
      <c r="BW57" s="10">
        <v>19</v>
      </c>
      <c r="BX57" s="12">
        <v>131247.61904760002</v>
      </c>
      <c r="BY57" s="10">
        <f t="shared" si="32"/>
        <v>-7</v>
      </c>
      <c r="BZ57" s="12">
        <f t="shared" si="21"/>
        <v>-35076.190476189979</v>
      </c>
      <c r="CA57" s="11">
        <f t="shared" si="22"/>
        <v>-0.21089097572150597</v>
      </c>
      <c r="CC57" s="14"/>
      <c r="CD57" s="13" t="s">
        <v>8</v>
      </c>
      <c r="CE57" s="10">
        <v>26</v>
      </c>
      <c r="CF57" s="12">
        <v>161180.95238094003</v>
      </c>
      <c r="CG57" s="10">
        <f t="shared" si="23"/>
        <v>7</v>
      </c>
      <c r="CH57" s="12">
        <f t="shared" si="24"/>
        <v>29933.333333340008</v>
      </c>
      <c r="CI57" s="11">
        <f t="shared" si="25"/>
        <v>0.22806762934483393</v>
      </c>
      <c r="CK57" s="14"/>
      <c r="CL57" s="13" t="s">
        <v>8</v>
      </c>
      <c r="CM57" s="10">
        <v>11</v>
      </c>
      <c r="CN57" s="12">
        <v>69895.238095230001</v>
      </c>
      <c r="CO57" s="10">
        <f t="shared" si="26"/>
        <v>-15</v>
      </c>
      <c r="CP57" s="12">
        <f t="shared" si="27"/>
        <v>-91285.714285710026</v>
      </c>
      <c r="CQ57" s="11">
        <f t="shared" si="28"/>
        <v>-0.5663554715197523</v>
      </c>
      <c r="CS57" s="14"/>
      <c r="CT57" s="13" t="s">
        <v>8</v>
      </c>
      <c r="CU57" s="10">
        <v>10</v>
      </c>
      <c r="CV57" s="12">
        <v>67047.619047610002</v>
      </c>
      <c r="CW57" s="10">
        <f t="shared" si="29"/>
        <v>-1</v>
      </c>
      <c r="CX57" s="12">
        <f t="shared" si="30"/>
        <v>-2847.619047619999</v>
      </c>
      <c r="CY57" s="11">
        <f t="shared" si="31"/>
        <v>-4.0741245401299156E-2</v>
      </c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 t="s">
        <v>7</v>
      </c>
      <c r="BO58" s="10">
        <v>15</v>
      </c>
      <c r="BP58" s="12">
        <v>179999.99999996001</v>
      </c>
      <c r="BQ58" s="10">
        <f t="shared" si="17"/>
        <v>-15</v>
      </c>
      <c r="BR58" s="12">
        <f t="shared" si="18"/>
        <v>-238094.28571423003</v>
      </c>
      <c r="BS58" s="11">
        <f t="shared" si="19"/>
        <v>-0.56947510131002288</v>
      </c>
      <c r="BU58" s="14"/>
      <c r="BV58" s="13" t="s">
        <v>7</v>
      </c>
      <c r="BW58" s="10">
        <v>4</v>
      </c>
      <c r="BX58" s="12">
        <v>42476.190476169999</v>
      </c>
      <c r="BY58" s="10">
        <f t="shared" si="32"/>
        <v>-11</v>
      </c>
      <c r="BZ58" s="12">
        <f t="shared" si="21"/>
        <v>-137523.80952379003</v>
      </c>
      <c r="CA58" s="11">
        <f t="shared" si="22"/>
        <v>-0.76402116402122544</v>
      </c>
      <c r="CC58" s="14"/>
      <c r="CD58" s="13" t="s">
        <v>7</v>
      </c>
      <c r="CE58" s="10">
        <v>9</v>
      </c>
      <c r="CF58" s="12">
        <v>97714.28571425</v>
      </c>
      <c r="CG58" s="10">
        <f t="shared" si="23"/>
        <v>5</v>
      </c>
      <c r="CH58" s="12">
        <f t="shared" si="24"/>
        <v>55238.095238080001</v>
      </c>
      <c r="CI58" s="11">
        <f t="shared" si="25"/>
        <v>1.3004484304935418</v>
      </c>
      <c r="CK58" s="14"/>
      <c r="CL58" s="13" t="s">
        <v>7</v>
      </c>
      <c r="CM58" s="10">
        <v>8</v>
      </c>
      <c r="CN58" s="12">
        <v>90190.47619044999</v>
      </c>
      <c r="CO58" s="10">
        <f t="shared" si="26"/>
        <v>-1</v>
      </c>
      <c r="CP58" s="12">
        <f t="shared" si="27"/>
        <v>-7523.8095238000096</v>
      </c>
      <c r="CQ58" s="11">
        <f t="shared" si="28"/>
        <v>-7.6998050682191982E-2</v>
      </c>
      <c r="CS58" s="14"/>
      <c r="CT58" s="13" t="s">
        <v>7</v>
      </c>
      <c r="CU58" s="10">
        <v>8</v>
      </c>
      <c r="CV58" s="12">
        <v>98285.714285690003</v>
      </c>
      <c r="CW58" s="10">
        <f t="shared" si="29"/>
        <v>0</v>
      </c>
      <c r="CX58" s="12">
        <f t="shared" si="30"/>
        <v>8095.2380952400126</v>
      </c>
      <c r="CY58" s="11">
        <f t="shared" si="31"/>
        <v>8.9757127771958628E-2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-2</v>
      </c>
      <c r="BR59" s="12">
        <f t="shared" si="18"/>
        <v>-11714.285714279999</v>
      </c>
      <c r="BS59" s="11">
        <f t="shared" si="19"/>
        <v>-1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 t="s">
        <v>5</v>
      </c>
      <c r="BP60" s="12"/>
      <c r="BQ60" s="10">
        <f t="shared" si="17"/>
        <v>-4</v>
      </c>
      <c r="BR60" s="12">
        <f t="shared" si="18"/>
        <v>-17360</v>
      </c>
      <c r="BS60" s="11">
        <f t="shared" si="19"/>
        <v>-1</v>
      </c>
      <c r="BU60" s="14"/>
      <c r="BV60" s="13" t="s">
        <v>5</v>
      </c>
      <c r="BW60" s="10">
        <v>1</v>
      </c>
      <c r="BX60" s="12">
        <v>6290</v>
      </c>
      <c r="BY60" s="10">
        <f t="shared" si="32"/>
        <v>1</v>
      </c>
      <c r="BZ60" s="12">
        <f t="shared" si="21"/>
        <v>6290</v>
      </c>
      <c r="CA60" s="11" t="e">
        <f t="shared" si="22"/>
        <v>#DIV/0!</v>
      </c>
      <c r="CC60" s="14"/>
      <c r="CD60" s="13" t="s">
        <v>5</v>
      </c>
      <c r="CE60" s="10">
        <v>2</v>
      </c>
      <c r="CF60" s="12">
        <v>8780</v>
      </c>
      <c r="CG60" s="10">
        <f t="shared" si="23"/>
        <v>1</v>
      </c>
      <c r="CH60" s="12">
        <f t="shared" si="24"/>
        <v>2490</v>
      </c>
      <c r="CI60" s="11">
        <f t="shared" si="25"/>
        <v>0.3958664546899841</v>
      </c>
      <c r="CK60" s="14"/>
      <c r="CL60" s="13" t="s">
        <v>5</v>
      </c>
      <c r="CN60" s="12"/>
      <c r="CO60" s="10">
        <f t="shared" si="26"/>
        <v>-2</v>
      </c>
      <c r="CP60" s="12">
        <f t="shared" si="27"/>
        <v>-8780</v>
      </c>
      <c r="CQ60" s="11">
        <f t="shared" si="28"/>
        <v>-1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 t="s">
        <v>4</v>
      </c>
      <c r="BO61" s="10">
        <v>6</v>
      </c>
      <c r="BP61" s="12">
        <v>239999.99999996001</v>
      </c>
      <c r="BQ61" s="10">
        <f t="shared" si="17"/>
        <v>0</v>
      </c>
      <c r="BR61" s="12">
        <f t="shared" si="18"/>
        <v>57709.523809489998</v>
      </c>
      <c r="BS61" s="11">
        <f t="shared" si="19"/>
        <v>0.31658002664489721</v>
      </c>
      <c r="BU61" s="14"/>
      <c r="BV61" s="13" t="s">
        <v>4</v>
      </c>
      <c r="BW61" s="10">
        <v>3</v>
      </c>
      <c r="BX61" s="12">
        <v>83142.857142840003</v>
      </c>
      <c r="BY61" s="10">
        <f t="shared" si="32"/>
        <v>-3</v>
      </c>
      <c r="BZ61" s="12">
        <f t="shared" si="21"/>
        <v>-156857.14285712002</v>
      </c>
      <c r="CA61" s="11">
        <f t="shared" si="22"/>
        <v>-0.65357142857144235</v>
      </c>
      <c r="CC61" s="14"/>
      <c r="CD61" s="13" t="s">
        <v>4</v>
      </c>
      <c r="CE61" s="10">
        <v>3</v>
      </c>
      <c r="CF61" s="12">
        <v>91142.857142840003</v>
      </c>
      <c r="CG61" s="10">
        <f t="shared" si="23"/>
        <v>0</v>
      </c>
      <c r="CH61" s="12">
        <f t="shared" si="24"/>
        <v>8000</v>
      </c>
      <c r="CI61" s="11">
        <f t="shared" si="25"/>
        <v>9.62199312714975E-2</v>
      </c>
      <c r="CK61" s="14"/>
      <c r="CL61" s="13" t="s">
        <v>4</v>
      </c>
      <c r="CM61" s="10">
        <v>1</v>
      </c>
      <c r="CN61" s="12">
        <v>27523.809523799999</v>
      </c>
      <c r="CO61" s="10">
        <f t="shared" si="26"/>
        <v>-2</v>
      </c>
      <c r="CP61" s="12">
        <f t="shared" si="27"/>
        <v>-63619.047619040008</v>
      </c>
      <c r="CQ61" s="11">
        <f t="shared" si="28"/>
        <v>-0.69801462904915956</v>
      </c>
      <c r="CS61" s="14"/>
      <c r="CT61" s="13" t="s">
        <v>4</v>
      </c>
      <c r="CU61" s="10">
        <v>2</v>
      </c>
      <c r="CV61" s="12">
        <v>96952.380952370004</v>
      </c>
      <c r="CW61" s="10">
        <f t="shared" si="29"/>
        <v>1</v>
      </c>
      <c r="CX61" s="12">
        <f t="shared" si="30"/>
        <v>69428.571428570009</v>
      </c>
      <c r="CY61" s="11">
        <f t="shared" si="31"/>
        <v>2.5224913494817902</v>
      </c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 t="s">
        <v>3</v>
      </c>
      <c r="BO62" s="10">
        <v>16</v>
      </c>
      <c r="BP62" s="12">
        <v>271333.33333329001</v>
      </c>
      <c r="BQ62" s="10">
        <f t="shared" si="17"/>
        <v>-14</v>
      </c>
      <c r="BR62" s="12">
        <f t="shared" si="18"/>
        <v>-301523.80952378007</v>
      </c>
      <c r="BS62" s="11">
        <f t="shared" si="19"/>
        <v>-0.52635078969245108</v>
      </c>
      <c r="BU62" s="14"/>
      <c r="BV62" s="13" t="s">
        <v>3</v>
      </c>
      <c r="BW62" s="10">
        <v>10</v>
      </c>
      <c r="BX62" s="12">
        <v>217142.85714284002</v>
      </c>
      <c r="BY62" s="10">
        <f t="shared" si="32"/>
        <v>-6</v>
      </c>
      <c r="BZ62" s="12">
        <f t="shared" si="21"/>
        <v>-54190.47619044999</v>
      </c>
      <c r="CA62" s="11">
        <f t="shared" si="22"/>
        <v>-0.19971919971913504</v>
      </c>
      <c r="CC62" s="14"/>
      <c r="CD62" s="13" t="s">
        <v>3</v>
      </c>
      <c r="CE62" s="10">
        <v>29</v>
      </c>
      <c r="CF62" s="12">
        <v>380761.90476187004</v>
      </c>
      <c r="CG62" s="10">
        <f t="shared" si="23"/>
        <v>19</v>
      </c>
      <c r="CH62" s="12">
        <f t="shared" si="24"/>
        <v>163619.04761903003</v>
      </c>
      <c r="CI62" s="11">
        <f t="shared" si="25"/>
        <v>0.75350877192980292</v>
      </c>
      <c r="CK62" s="14"/>
      <c r="CL62" s="13" t="s">
        <v>3</v>
      </c>
      <c r="CM62" s="10">
        <v>7</v>
      </c>
      <c r="CN62" s="12">
        <v>91333.333333310002</v>
      </c>
      <c r="CO62" s="10">
        <f t="shared" si="26"/>
        <v>-22</v>
      </c>
      <c r="CP62" s="12">
        <f t="shared" si="27"/>
        <v>-289428.57142856007</v>
      </c>
      <c r="CQ62" s="11">
        <f t="shared" si="28"/>
        <v>-0.76013006503255576</v>
      </c>
      <c r="CS62" s="14"/>
      <c r="CT62" s="13" t="s">
        <v>3</v>
      </c>
      <c r="CU62" s="10">
        <v>6</v>
      </c>
      <c r="CV62" s="12">
        <v>83974.285714259997</v>
      </c>
      <c r="CW62" s="10">
        <f t="shared" si="29"/>
        <v>-1</v>
      </c>
      <c r="CX62" s="12">
        <f t="shared" si="30"/>
        <v>-7359.0476190500049</v>
      </c>
      <c r="CY62" s="11">
        <f t="shared" si="31"/>
        <v>-8.0573514077210417E-2</v>
      </c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 t="s">
        <v>2</v>
      </c>
      <c r="BO63" s="10">
        <v>23</v>
      </c>
      <c r="BP63" s="12">
        <v>714004.76190474001</v>
      </c>
      <c r="BQ63" s="10">
        <f t="shared" si="17"/>
        <v>-17</v>
      </c>
      <c r="BR63" s="12">
        <f t="shared" si="18"/>
        <v>-576471.42857141001</v>
      </c>
      <c r="BS63" s="11">
        <f t="shared" si="19"/>
        <v>-0.44671217712177086</v>
      </c>
      <c r="BU63" s="14"/>
      <c r="BV63" s="13" t="s">
        <v>2</v>
      </c>
      <c r="BW63" s="10">
        <v>14</v>
      </c>
      <c r="BX63" s="12">
        <v>456340.95238093007</v>
      </c>
      <c r="BY63" s="10">
        <f t="shared" si="32"/>
        <v>-9</v>
      </c>
      <c r="BZ63" s="12">
        <f t="shared" si="21"/>
        <v>-257663.80952380993</v>
      </c>
      <c r="CA63" s="11">
        <f t="shared" si="22"/>
        <v>-0.36087127603525215</v>
      </c>
      <c r="CC63" s="14"/>
      <c r="CD63" s="13" t="s">
        <v>2</v>
      </c>
      <c r="CE63" s="10">
        <v>18</v>
      </c>
      <c r="CF63" s="12">
        <v>585904.76190473</v>
      </c>
      <c r="CG63" s="10">
        <f t="shared" si="23"/>
        <v>4</v>
      </c>
      <c r="CH63" s="12">
        <f t="shared" si="24"/>
        <v>129563.80952379992</v>
      </c>
      <c r="CI63" s="11">
        <f t="shared" si="25"/>
        <v>0.28391887435876384</v>
      </c>
      <c r="CK63" s="14"/>
      <c r="CL63" s="13" t="s">
        <v>2</v>
      </c>
      <c r="CM63" s="10">
        <v>20</v>
      </c>
      <c r="CN63" s="12">
        <v>659047.61904759007</v>
      </c>
      <c r="CO63" s="10">
        <f t="shared" si="26"/>
        <v>2</v>
      </c>
      <c r="CP63" s="12">
        <f t="shared" si="27"/>
        <v>73142.85714286007</v>
      </c>
      <c r="CQ63" s="11">
        <f t="shared" si="28"/>
        <v>0.12483745123538241</v>
      </c>
      <c r="CS63" s="14"/>
      <c r="CT63" s="13" t="s">
        <v>2</v>
      </c>
      <c r="CU63" s="10">
        <v>15</v>
      </c>
      <c r="CV63" s="12">
        <v>526812.38095234998</v>
      </c>
      <c r="CW63" s="10">
        <f t="shared" si="29"/>
        <v>-5</v>
      </c>
      <c r="CX63" s="12">
        <f t="shared" si="30"/>
        <v>-132235.23809524009</v>
      </c>
      <c r="CY63" s="11">
        <f t="shared" si="31"/>
        <v>-0.20064595375723729</v>
      </c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 t="s">
        <v>1</v>
      </c>
      <c r="BN64" s="9"/>
      <c r="BO64" s="8">
        <v>340</v>
      </c>
      <c r="BP64" s="7">
        <v>1813529.52380869</v>
      </c>
      <c r="BQ64" s="27">
        <f t="shared" si="17"/>
        <v>-241</v>
      </c>
      <c r="BR64" s="28">
        <f t="shared" si="18"/>
        <v>-1307680.9523803804</v>
      </c>
      <c r="BS64" s="29">
        <f t="shared" si="19"/>
        <v>-0.41896596283920917</v>
      </c>
      <c r="BU64" s="9" t="s">
        <v>1</v>
      </c>
      <c r="BV64" s="9"/>
      <c r="BW64" s="8">
        <v>258</v>
      </c>
      <c r="BX64" s="7">
        <v>1139122.3809517003</v>
      </c>
      <c r="BY64" s="27">
        <f t="shared" si="32"/>
        <v>-82</v>
      </c>
      <c r="BZ64" s="28">
        <f t="shared" si="21"/>
        <v>-674407.14285698975</v>
      </c>
      <c r="CA64" s="29">
        <f t="shared" si="22"/>
        <v>-0.371875469355818</v>
      </c>
      <c r="CC64" s="9" t="s">
        <v>1</v>
      </c>
      <c r="CD64" s="9"/>
      <c r="CE64" s="8">
        <v>269</v>
      </c>
      <c r="CF64" s="7">
        <v>1516085.71428503</v>
      </c>
      <c r="CG64" s="27">
        <f t="shared" si="23"/>
        <v>11</v>
      </c>
      <c r="CH64" s="28">
        <f t="shared" si="24"/>
        <v>376963.33333332976</v>
      </c>
      <c r="CI64" s="29">
        <f t="shared" si="25"/>
        <v>0.33092434986519093</v>
      </c>
      <c r="CK64" s="9" t="s">
        <v>1</v>
      </c>
      <c r="CL64" s="9"/>
      <c r="CM64" s="8">
        <v>181</v>
      </c>
      <c r="CN64" s="7">
        <v>1081922.8571423502</v>
      </c>
      <c r="CO64" s="27">
        <f t="shared" si="26"/>
        <v>-88</v>
      </c>
      <c r="CP64" s="28">
        <f t="shared" si="27"/>
        <v>-434162.85714267986</v>
      </c>
      <c r="CQ64" s="29">
        <f t="shared" si="28"/>
        <v>-0.28637091758853916</v>
      </c>
      <c r="CS64" s="9" t="s">
        <v>1</v>
      </c>
      <c r="CT64" s="9"/>
      <c r="CU64" s="8">
        <v>205</v>
      </c>
      <c r="CV64" s="7">
        <v>1043091.4285708901</v>
      </c>
      <c r="CW64" s="27">
        <f t="shared" si="29"/>
        <v>24</v>
      </c>
      <c r="CX64" s="28">
        <f t="shared" si="30"/>
        <v>-38831.42857146007</v>
      </c>
      <c r="CY64" s="29">
        <f t="shared" si="31"/>
        <v>-3.5891125060454256E-2</v>
      </c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 t="s">
        <v>0</v>
      </c>
      <c r="BN65" s="4"/>
      <c r="BO65" s="3">
        <v>2562</v>
      </c>
      <c r="BP65" s="2">
        <v>17037617.14285263</v>
      </c>
      <c r="BQ65" s="6">
        <f t="shared" si="17"/>
        <v>-1514</v>
      </c>
      <c r="BR65" s="5">
        <f t="shared" si="18"/>
        <v>-10732949.0476164</v>
      </c>
      <c r="BS65" s="30">
        <f t="shared" si="19"/>
        <v>-0.38648650423627268</v>
      </c>
      <c r="BU65" s="4" t="s">
        <v>0</v>
      </c>
      <c r="BV65" s="4"/>
      <c r="BW65" s="3">
        <v>1893</v>
      </c>
      <c r="BX65" s="2">
        <v>11122184.761900868</v>
      </c>
      <c r="BY65" s="6">
        <f t="shared" si="32"/>
        <v>-669</v>
      </c>
      <c r="BZ65" s="5">
        <f t="shared" si="21"/>
        <v>-5915432.3809517622</v>
      </c>
      <c r="CA65" s="30">
        <f t="shared" si="22"/>
        <v>-0.34719833949510465</v>
      </c>
      <c r="CC65" s="4" t="s">
        <v>0</v>
      </c>
      <c r="CD65" s="4"/>
      <c r="CE65" s="3">
        <v>2305</v>
      </c>
      <c r="CF65" s="2">
        <v>21361582.380947892</v>
      </c>
      <c r="CG65" s="6">
        <f t="shared" si="23"/>
        <v>412</v>
      </c>
      <c r="CH65" s="5">
        <f t="shared" si="24"/>
        <v>10239397.619047023</v>
      </c>
      <c r="CI65" s="30">
        <f t="shared" si="25"/>
        <v>0.92062826128569275</v>
      </c>
      <c r="CK65" s="4" t="s">
        <v>0</v>
      </c>
      <c r="CL65" s="4"/>
      <c r="CM65" s="3">
        <v>2060</v>
      </c>
      <c r="CN65" s="2">
        <v>19139967.142853197</v>
      </c>
      <c r="CO65" s="6">
        <f t="shared" si="26"/>
        <v>-245</v>
      </c>
      <c r="CP65" s="5">
        <f t="shared" si="27"/>
        <v>-2221615.2380946949</v>
      </c>
      <c r="CQ65" s="30">
        <f t="shared" si="28"/>
        <v>-0.10400049951712022</v>
      </c>
      <c r="CS65" s="4" t="s">
        <v>0</v>
      </c>
      <c r="CT65" s="4"/>
      <c r="CU65" s="3">
        <v>2238</v>
      </c>
      <c r="CV65" s="2">
        <v>27538164.761900596</v>
      </c>
      <c r="CW65" s="6">
        <f t="shared" si="29"/>
        <v>178</v>
      </c>
      <c r="CX65" s="5">
        <f t="shared" si="30"/>
        <v>8398197.6190473996</v>
      </c>
      <c r="CY65" s="30">
        <f t="shared" si="31"/>
        <v>0.43877805830942923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2026-03-30T09:03:33Z</dcterms:modified>
</cp:coreProperties>
</file>