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F6D95B3F-D256-5146-9600-18AC193C94EB}" xr6:coauthVersionLast="47" xr6:coauthVersionMax="47" xr10:uidLastSave="{00000000-0000-0000-0000-000000000000}"/>
  <bookViews>
    <workbookView xWindow="13980" yWindow="7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5" i="2" l="1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<sst xmlns="http://schemas.openxmlformats.org/spreadsheetml/2006/main" count="322" uniqueCount="32">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</sst>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Y1" activePane="topRight" state="frozen"/>
      <selection pane="topRight" activeCell="AG1" sqref="AG1:AG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 t="s">
        <v>28</v>
      </c>
      <c r="Z1" s="28"/>
      <c r="AB1" s="27"/>
      <c r="AG1" s="28" t="s">
        <v>30</v>
      </c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Y2" s="22" t="s">
        <v>29</v>
      </c>
      <c r="Z2" s="24"/>
      <c r="AB2" s="23"/>
      <c r="AG2" s="22" t="s">
        <v>31</v>
      </c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>
        <v>75</v>
      </c>
      <c r="Z5" s="34" t="s">
        <v>20</v>
      </c>
      <c r="AA5" s="42">
        <v>7342</v>
      </c>
      <c r="AB5" s="1"/>
      <c r="AC5" s="12">
        <f t="shared" ref="AC5:AD65" si="5">AA5-S5</f>
        <v>1366</v>
      </c>
      <c r="AD5" s="14">
        <f t="shared" si="5"/>
        <v>0</v>
      </c>
      <c r="AE5" s="13" t="e">
        <f t="shared" ref="AE5:AE65" si="6">(AB5-T5)/T5</f>
        <v>#DIV/0!</v>
      </c>
      <c r="AF5" s="1"/>
      <c r="AG5" s="16">
        <v>75</v>
      </c>
      <c r="AH5" s="34" t="s">
        <v>20</v>
      </c>
      <c r="AI5" s="34">
        <v>8034</v>
      </c>
      <c r="AJ5" s="42"/>
      <c r="AK5" s="12">
        <f t="shared" ref="AK5:AL65" si="7">AI5-AA5</f>
        <v>692</v>
      </c>
      <c r="AL5" s="14">
        <f t="shared" si="7"/>
        <v>0</v>
      </c>
      <c r="AM5" s="13" t="e">
        <f t="shared" ref="AM5:AM65" si="8">(AJ5-AB5)/AB5</f>
        <v>#DIV/0!</v>
      </c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 t="s">
        <v>21</v>
      </c>
      <c r="AA6" s="17">
        <v>24</v>
      </c>
      <c r="AB6" s="35"/>
      <c r="AC6" s="12">
        <f t="shared" si="5"/>
        <v>5</v>
      </c>
      <c r="AD6" s="14">
        <f t="shared" si="5"/>
        <v>0</v>
      </c>
      <c r="AE6" s="13" t="e">
        <f t="shared" si="6"/>
        <v>#DIV/0!</v>
      </c>
      <c r="AG6" s="16"/>
      <c r="AH6" s="34" t="s">
        <v>21</v>
      </c>
      <c r="AI6" s="34">
        <v>25</v>
      </c>
      <c r="AK6" s="12">
        <f t="shared" si="7"/>
        <v>1</v>
      </c>
      <c r="AL6" s="14">
        <f t="shared" si="7"/>
        <v>0</v>
      </c>
      <c r="AM6" s="13" t="e">
        <f t="shared" si="8"/>
        <v>#DIV/0!</v>
      </c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 t="s">
        <v>10</v>
      </c>
      <c r="AA7" s="12">
        <v>295</v>
      </c>
      <c r="AB7" s="14">
        <v>296708.57142756984</v>
      </c>
      <c r="AC7" s="12">
        <f t="shared" si="5"/>
        <v>-31</v>
      </c>
      <c r="AD7" s="14">
        <f t="shared" si="5"/>
        <v>-41511.428571499826</v>
      </c>
      <c r="AE7" s="13">
        <f t="shared" si="6"/>
        <v>-0.12273499075044057</v>
      </c>
      <c r="AG7" s="16"/>
      <c r="AH7" s="15" t="s">
        <v>10</v>
      </c>
      <c r="AI7" s="15">
        <v>350</v>
      </c>
      <c r="AJ7" s="12">
        <v>352479.99999889999</v>
      </c>
      <c r="AK7" s="12">
        <f t="shared" si="7"/>
        <v>55</v>
      </c>
      <c r="AL7" s="14">
        <f t="shared" si="7"/>
        <v>55771.428571330151</v>
      </c>
      <c r="AM7" s="13">
        <f t="shared" si="8"/>
        <v>0.1879670287346068</v>
      </c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 t="s">
        <v>9</v>
      </c>
      <c r="AA8" s="12">
        <v>331</v>
      </c>
      <c r="AB8" s="14">
        <v>474830.47619021981</v>
      </c>
      <c r="AC8" s="12">
        <f t="shared" si="5"/>
        <v>41</v>
      </c>
      <c r="AD8" s="14">
        <f t="shared" si="5"/>
        <v>108703.80952373991</v>
      </c>
      <c r="AE8" s="13">
        <f t="shared" si="6"/>
        <v>0.2969021910189425</v>
      </c>
      <c r="AG8" s="16"/>
      <c r="AH8" s="15" t="s">
        <v>9</v>
      </c>
      <c r="AI8" s="15">
        <v>364</v>
      </c>
      <c r="AJ8" s="12">
        <v>510521.9047616999</v>
      </c>
      <c r="AK8" s="12">
        <f t="shared" si="7"/>
        <v>33</v>
      </c>
      <c r="AL8" s="14">
        <f t="shared" si="7"/>
        <v>35691.428571480094</v>
      </c>
      <c r="AM8" s="13">
        <f t="shared" si="8"/>
        <v>7.5166676026881443E-2</v>
      </c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 t="s">
        <v>8</v>
      </c>
      <c r="AA9" s="12">
        <v>144</v>
      </c>
      <c r="AB9" s="14">
        <v>952819.04761901998</v>
      </c>
      <c r="AC9" s="12">
        <f t="shared" si="5"/>
        <v>-7</v>
      </c>
      <c r="AD9" s="14">
        <f t="shared" si="5"/>
        <v>923.80952380003873</v>
      </c>
      <c r="AE9" s="13">
        <f t="shared" si="6"/>
        <v>9.7049495241579122E-4</v>
      </c>
      <c r="AG9" s="16"/>
      <c r="AH9" s="15" t="s">
        <v>8</v>
      </c>
      <c r="AI9" s="15">
        <v>147</v>
      </c>
      <c r="AJ9" s="12">
        <v>990885.71428568999</v>
      </c>
      <c r="AK9" s="12">
        <f t="shared" si="7"/>
        <v>3</v>
      </c>
      <c r="AL9" s="14">
        <f t="shared" si="7"/>
        <v>38066.666666670004</v>
      </c>
      <c r="AM9" s="13">
        <f t="shared" si="8"/>
        <v>3.9951622253767929E-2</v>
      </c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 t="s">
        <v>7</v>
      </c>
      <c r="AA10" s="12">
        <v>93</v>
      </c>
      <c r="AB10" s="14">
        <v>1138761.9047617901</v>
      </c>
      <c r="AC10" s="12">
        <f t="shared" si="5"/>
        <v>46</v>
      </c>
      <c r="AD10" s="14">
        <f t="shared" si="5"/>
        <v>444190.47619045002</v>
      </c>
      <c r="AE10" s="13">
        <f t="shared" si="6"/>
        <v>0.63951734539974214</v>
      </c>
      <c r="AG10" s="16"/>
      <c r="AH10" s="15" t="s">
        <v>7</v>
      </c>
      <c r="AI10" s="15">
        <v>84</v>
      </c>
      <c r="AJ10" s="12">
        <v>1227238.0952379901</v>
      </c>
      <c r="AK10" s="12">
        <f t="shared" si="7"/>
        <v>-9</v>
      </c>
      <c r="AL10" s="14">
        <f t="shared" si="7"/>
        <v>88476.190476200078</v>
      </c>
      <c r="AM10" s="13">
        <f t="shared" si="8"/>
        <v>7.7695074015237467E-2</v>
      </c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 t="s">
        <v>6</v>
      </c>
      <c r="AA11" s="12">
        <v>11</v>
      </c>
      <c r="AB11" s="14">
        <v>43428.571428559997</v>
      </c>
      <c r="AC11" s="12">
        <f t="shared" si="5"/>
        <v>9</v>
      </c>
      <c r="AD11" s="14">
        <f t="shared" si="5"/>
        <v>31714.285714279999</v>
      </c>
      <c r="AE11" s="13">
        <f t="shared" si="6"/>
        <v>2.7073170731715646</v>
      </c>
      <c r="AG11" s="16"/>
      <c r="AH11" s="15" t="s">
        <v>6</v>
      </c>
      <c r="AI11" s="15">
        <v>2</v>
      </c>
      <c r="AJ11" s="12">
        <v>17714.285714279999</v>
      </c>
      <c r="AK11" s="12">
        <f t="shared" si="7"/>
        <v>-9</v>
      </c>
      <c r="AL11" s="14">
        <f t="shared" si="7"/>
        <v>-25714.285714279999</v>
      </c>
      <c r="AM11" s="13">
        <f t="shared" si="8"/>
        <v>-0.592105263157919</v>
      </c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 t="s">
        <v>5</v>
      </c>
      <c r="AA12" s="12">
        <v>12</v>
      </c>
      <c r="AB12" s="14">
        <v>74380</v>
      </c>
      <c r="AC12" s="12">
        <f t="shared" si="5"/>
        <v>9</v>
      </c>
      <c r="AD12" s="14">
        <f t="shared" si="5"/>
        <v>55310</v>
      </c>
      <c r="AE12" s="13">
        <f t="shared" si="6"/>
        <v>2.9003670686942842</v>
      </c>
      <c r="AG12" s="16"/>
      <c r="AH12" s="15" t="s">
        <v>5</v>
      </c>
      <c r="AI12" s="15">
        <v>18</v>
      </c>
      <c r="AJ12" s="12">
        <v>87420</v>
      </c>
      <c r="AK12" s="12">
        <f t="shared" si="7"/>
        <v>6</v>
      </c>
      <c r="AL12" s="14">
        <f t="shared" si="7"/>
        <v>13040</v>
      </c>
      <c r="AM12" s="13">
        <f t="shared" si="8"/>
        <v>0.17531594514654478</v>
      </c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 t="s">
        <v>4</v>
      </c>
      <c r="AA13" s="12">
        <v>22</v>
      </c>
      <c r="AB13" s="14">
        <v>809685.71428565995</v>
      </c>
      <c r="AC13" s="12">
        <f t="shared" si="5"/>
        <v>6</v>
      </c>
      <c r="AD13" s="14">
        <f t="shared" si="5"/>
        <v>171347.61904761998</v>
      </c>
      <c r="AE13" s="13">
        <f t="shared" si="6"/>
        <v>0.26842768796952887</v>
      </c>
      <c r="AG13" s="16"/>
      <c r="AH13" s="15" t="s">
        <v>4</v>
      </c>
      <c r="AI13" s="15">
        <v>20</v>
      </c>
      <c r="AJ13" s="12">
        <v>724261.90476185002</v>
      </c>
      <c r="AK13" s="12">
        <f t="shared" si="7"/>
        <v>-2</v>
      </c>
      <c r="AL13" s="14">
        <f t="shared" si="7"/>
        <v>-85423.809523809934</v>
      </c>
      <c r="AM13" s="13">
        <f t="shared" si="8"/>
        <v>-0.1055024289259871</v>
      </c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 t="s">
        <v>3</v>
      </c>
      <c r="AA14" s="12">
        <v>124</v>
      </c>
      <c r="AB14" s="14">
        <v>2393238.0952379904</v>
      </c>
      <c r="AC14" s="12">
        <f t="shared" si="5"/>
        <v>45</v>
      </c>
      <c r="AD14" s="14">
        <f t="shared" si="5"/>
        <v>779619.04761910043</v>
      </c>
      <c r="AE14" s="13">
        <f t="shared" si="6"/>
        <v>0.483149383226191</v>
      </c>
      <c r="AG14" s="16"/>
      <c r="AH14" s="15" t="s">
        <v>3</v>
      </c>
      <c r="AI14" s="15">
        <v>69</v>
      </c>
      <c r="AJ14" s="12">
        <v>1315428.5714284203</v>
      </c>
      <c r="AK14" s="12">
        <f t="shared" si="7"/>
        <v>-55</v>
      </c>
      <c r="AL14" s="14">
        <f t="shared" si="7"/>
        <v>-1077809.5238095701</v>
      </c>
      <c r="AM14" s="13">
        <f t="shared" si="8"/>
        <v>-0.45035616220307145</v>
      </c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 t="s">
        <v>2</v>
      </c>
      <c r="AA15" s="12">
        <v>311</v>
      </c>
      <c r="AB15" s="14">
        <v>11922905.71428556</v>
      </c>
      <c r="AC15" s="12">
        <f t="shared" si="5"/>
        <v>152</v>
      </c>
      <c r="AD15" s="14">
        <f t="shared" si="5"/>
        <v>5809953.3333332697</v>
      </c>
      <c r="AE15" s="13">
        <f t="shared" si="6"/>
        <v>0.95043327205309935</v>
      </c>
      <c r="AG15" s="16"/>
      <c r="AH15" s="15" t="s">
        <v>2</v>
      </c>
      <c r="AI15" s="15">
        <v>200</v>
      </c>
      <c r="AJ15" s="12">
        <v>7349541.9047618201</v>
      </c>
      <c r="AK15" s="12">
        <f t="shared" si="7"/>
        <v>-111</v>
      </c>
      <c r="AL15" s="14">
        <f t="shared" si="7"/>
        <v>-4573363.8095237399</v>
      </c>
      <c r="AM15" s="13">
        <f t="shared" si="8"/>
        <v>-0.38357795650804433</v>
      </c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 t="s">
        <v>19</v>
      </c>
      <c r="Z16" s="11"/>
      <c r="AA16" s="10">
        <v>1343</v>
      </c>
      <c r="AB16" s="9">
        <v>18106758.095236368</v>
      </c>
      <c r="AC16" s="29">
        <f t="shared" si="5"/>
        <v>270</v>
      </c>
      <c r="AD16" s="30">
        <f t="shared" si="5"/>
        <v>7360250.9523807578</v>
      </c>
      <c r="AE16" s="31">
        <f t="shared" si="6"/>
        <v>0.68489704185177314</v>
      </c>
      <c r="AG16" s="11" t="s">
        <v>19</v>
      </c>
      <c r="AH16" s="11"/>
      <c r="AI16" s="11">
        <v>1254</v>
      </c>
      <c r="AJ16" s="10">
        <v>12575492.38095065</v>
      </c>
      <c r="AK16" s="29">
        <f t="shared" si="7"/>
        <v>-89</v>
      </c>
      <c r="AL16" s="30">
        <f t="shared" si="7"/>
        <v>-5531265.7142857183</v>
      </c>
      <c r="AM16" s="31">
        <f t="shared" si="8"/>
        <v>-0.30548073184569224</v>
      </c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>
        <v>76</v>
      </c>
      <c r="Z17" s="34" t="s">
        <v>20</v>
      </c>
      <c r="AA17" s="1">
        <v>4057</v>
      </c>
      <c r="AB17" s="37"/>
      <c r="AC17" s="12">
        <f t="shared" si="5"/>
        <v>108</v>
      </c>
      <c r="AD17" s="14">
        <f t="shared" si="5"/>
        <v>0</v>
      </c>
      <c r="AE17" s="13" t="e">
        <f t="shared" si="6"/>
        <v>#DIV/0!</v>
      </c>
      <c r="AG17" s="16">
        <v>76</v>
      </c>
      <c r="AH17" s="34" t="s">
        <v>20</v>
      </c>
      <c r="AI17" s="34">
        <v>4264</v>
      </c>
      <c r="AK17" s="12">
        <f t="shared" si="7"/>
        <v>207</v>
      </c>
      <c r="AL17" s="14">
        <f t="shared" si="7"/>
        <v>0</v>
      </c>
      <c r="AM17" s="13" t="e">
        <f t="shared" si="8"/>
        <v>#DIV/0!</v>
      </c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 t="s">
        <v>21</v>
      </c>
      <c r="AA18" s="1">
        <v>12</v>
      </c>
      <c r="AB18" s="37"/>
      <c r="AC18" s="12">
        <f t="shared" si="5"/>
        <v>4</v>
      </c>
      <c r="AD18" s="14">
        <f t="shared" si="5"/>
        <v>0</v>
      </c>
      <c r="AE18" s="13" t="e">
        <f t="shared" si="6"/>
        <v>#DIV/0!</v>
      </c>
      <c r="AG18" s="16"/>
      <c r="AH18" s="34" t="s">
        <v>21</v>
      </c>
      <c r="AI18" s="34">
        <v>10</v>
      </c>
      <c r="AK18" s="12">
        <f t="shared" si="7"/>
        <v>-2</v>
      </c>
      <c r="AL18" s="14">
        <f t="shared" si="7"/>
        <v>0</v>
      </c>
      <c r="AM18" s="13" t="e">
        <f t="shared" si="8"/>
        <v>#DIV/0!</v>
      </c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 t="s">
        <v>10</v>
      </c>
      <c r="AA19" s="12">
        <v>183</v>
      </c>
      <c r="AB19" s="14">
        <v>175820.95238023982</v>
      </c>
      <c r="AC19" s="12">
        <f t="shared" si="5"/>
        <v>23</v>
      </c>
      <c r="AD19" s="14">
        <f t="shared" si="5"/>
        <v>11740.952380859788</v>
      </c>
      <c r="AE19" s="13">
        <f t="shared" si="6"/>
        <v>7.155626755792388E-2</v>
      </c>
      <c r="AG19" s="16"/>
      <c r="AH19" s="15" t="s">
        <v>10</v>
      </c>
      <c r="AI19" s="15">
        <v>181</v>
      </c>
      <c r="AJ19" s="12">
        <v>165837.14285643995</v>
      </c>
      <c r="AK19" s="12">
        <f t="shared" si="7"/>
        <v>-2</v>
      </c>
      <c r="AL19" s="14">
        <f t="shared" si="7"/>
        <v>-9983.8095237998641</v>
      </c>
      <c r="AM19" s="13">
        <f t="shared" si="8"/>
        <v>-5.6783957706066465E-2</v>
      </c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 t="s">
        <v>9</v>
      </c>
      <c r="AA20" s="12">
        <v>198</v>
      </c>
      <c r="AB20" s="14">
        <v>233128.57142843999</v>
      </c>
      <c r="AC20" s="12">
        <f t="shared" si="5"/>
        <v>-11</v>
      </c>
      <c r="AD20" s="14">
        <f t="shared" si="5"/>
        <v>769.52380954995169</v>
      </c>
      <c r="AE20" s="13">
        <f t="shared" si="6"/>
        <v>3.3117875866495502E-3</v>
      </c>
      <c r="AG20" s="16"/>
      <c r="AH20" s="15" t="s">
        <v>9</v>
      </c>
      <c r="AI20" s="15">
        <v>197</v>
      </c>
      <c r="AJ20" s="12">
        <v>188994.28571413</v>
      </c>
      <c r="AK20" s="12">
        <f t="shared" si="7"/>
        <v>-1</v>
      </c>
      <c r="AL20" s="14">
        <f t="shared" si="7"/>
        <v>-44134.285714309983</v>
      </c>
      <c r="AM20" s="13">
        <f t="shared" si="8"/>
        <v>-0.18931307065404993</v>
      </c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 t="s">
        <v>8</v>
      </c>
      <c r="AA21" s="12">
        <v>62</v>
      </c>
      <c r="AB21" s="14">
        <v>411028.57142855</v>
      </c>
      <c r="AC21" s="12">
        <f t="shared" si="5"/>
        <v>7</v>
      </c>
      <c r="AD21" s="14">
        <f t="shared" si="5"/>
        <v>50123.809523799981</v>
      </c>
      <c r="AE21" s="13">
        <f t="shared" si="6"/>
        <v>0.13888375775166042</v>
      </c>
      <c r="AG21" s="16"/>
      <c r="AH21" s="15" t="s">
        <v>8</v>
      </c>
      <c r="AI21" s="15">
        <v>41</v>
      </c>
      <c r="AJ21" s="12">
        <v>268180.95238093997</v>
      </c>
      <c r="AK21" s="12">
        <f t="shared" si="7"/>
        <v>-21</v>
      </c>
      <c r="AL21" s="14">
        <f t="shared" si="7"/>
        <v>-142847.61904761003</v>
      </c>
      <c r="AM21" s="13">
        <f t="shared" si="8"/>
        <v>-0.34753695722692979</v>
      </c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 t="s">
        <v>7</v>
      </c>
      <c r="AA22" s="12">
        <v>40</v>
      </c>
      <c r="AB22" s="14">
        <v>497619.04761896003</v>
      </c>
      <c r="AC22" s="12">
        <f t="shared" si="5"/>
        <v>9</v>
      </c>
      <c r="AD22" s="14">
        <f t="shared" si="5"/>
        <v>121999.99999997002</v>
      </c>
      <c r="AE22" s="13">
        <f t="shared" si="6"/>
        <v>0.32479716024337774</v>
      </c>
      <c r="AG22" s="16"/>
      <c r="AH22" s="15" t="s">
        <v>7</v>
      </c>
      <c r="AI22" s="15">
        <v>33</v>
      </c>
      <c r="AJ22" s="12">
        <v>425428.57142851001</v>
      </c>
      <c r="AK22" s="12">
        <f t="shared" si="7"/>
        <v>-7</v>
      </c>
      <c r="AL22" s="14">
        <f t="shared" si="7"/>
        <v>-72190.476190450019</v>
      </c>
      <c r="AM22" s="13">
        <f t="shared" si="8"/>
        <v>-0.14507177033490118</v>
      </c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 t="s">
        <v>6</v>
      </c>
      <c r="AA23" s="12">
        <v>2</v>
      </c>
      <c r="AB23" s="14">
        <v>5714.2857142800003</v>
      </c>
      <c r="AC23" s="12">
        <f t="shared" si="5"/>
        <v>0</v>
      </c>
      <c r="AD23" s="14">
        <f t="shared" si="5"/>
        <v>-11999.999999999998</v>
      </c>
      <c r="AE23" s="13">
        <f t="shared" si="6"/>
        <v>-0.67741935483892812</v>
      </c>
      <c r="AG23" s="16"/>
      <c r="AH23" s="15" t="s">
        <v>6</v>
      </c>
      <c r="AI23" s="15">
        <v>1</v>
      </c>
      <c r="AJ23" s="12">
        <v>5237.1428571400002</v>
      </c>
      <c r="AK23" s="12">
        <f t="shared" si="7"/>
        <v>-1</v>
      </c>
      <c r="AL23" s="14">
        <f t="shared" si="7"/>
        <v>-477.14285714000016</v>
      </c>
      <c r="AM23" s="13">
        <f t="shared" si="8"/>
        <v>-8.3499999999583518E-2</v>
      </c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 t="s">
        <v>5</v>
      </c>
      <c r="AA24" s="12">
        <v>9</v>
      </c>
      <c r="AB24" s="14">
        <v>50710</v>
      </c>
      <c r="AC24" s="12">
        <f t="shared" si="5"/>
        <v>-2</v>
      </c>
      <c r="AD24" s="14">
        <f t="shared" si="5"/>
        <v>-16280</v>
      </c>
      <c r="AE24" s="13">
        <f t="shared" si="6"/>
        <v>-0.24302134646962234</v>
      </c>
      <c r="AG24" s="16"/>
      <c r="AH24" s="15" t="s">
        <v>5</v>
      </c>
      <c r="AI24" s="15">
        <v>8</v>
      </c>
      <c r="AJ24" s="12">
        <v>46120</v>
      </c>
      <c r="AK24" s="12">
        <f t="shared" si="7"/>
        <v>-1</v>
      </c>
      <c r="AL24" s="14">
        <f t="shared" si="7"/>
        <v>-4590</v>
      </c>
      <c r="AM24" s="13">
        <f t="shared" si="8"/>
        <v>-9.0514691382370338E-2</v>
      </c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 t="s">
        <v>4</v>
      </c>
      <c r="AA25" s="12">
        <v>8</v>
      </c>
      <c r="AB25" s="14">
        <v>274819.04761903</v>
      </c>
      <c r="AC25" s="12">
        <f t="shared" si="5"/>
        <v>1</v>
      </c>
      <c r="AD25" s="14">
        <f t="shared" si="5"/>
        <v>-30142.857142839988</v>
      </c>
      <c r="AE25" s="13">
        <f t="shared" si="6"/>
        <v>-9.884138534082508E-2</v>
      </c>
      <c r="AG25" s="16"/>
      <c r="AH25" s="15" t="s">
        <v>4</v>
      </c>
      <c r="AI25" s="15">
        <v>7</v>
      </c>
      <c r="AJ25" s="12">
        <v>256342.85714284002</v>
      </c>
      <c r="AK25" s="12">
        <f t="shared" si="7"/>
        <v>-1</v>
      </c>
      <c r="AL25" s="14">
        <f t="shared" si="7"/>
        <v>-18476.190476189979</v>
      </c>
      <c r="AM25" s="13">
        <f t="shared" si="8"/>
        <v>-6.7230385361799011E-2</v>
      </c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 t="s">
        <v>3</v>
      </c>
      <c r="AA26" s="12">
        <v>35</v>
      </c>
      <c r="AB26" s="14">
        <v>637333.33333325014</v>
      </c>
      <c r="AC26" s="12">
        <f t="shared" si="5"/>
        <v>2</v>
      </c>
      <c r="AD26" s="14">
        <f t="shared" si="5"/>
        <v>-7523.809523809934</v>
      </c>
      <c r="AE26" s="13">
        <f t="shared" si="6"/>
        <v>-1.1667405110030196E-2</v>
      </c>
      <c r="AG26" s="16"/>
      <c r="AH26" s="15" t="s">
        <v>3</v>
      </c>
      <c r="AI26" s="15">
        <v>38</v>
      </c>
      <c r="AJ26" s="12">
        <v>697619.04761896003</v>
      </c>
      <c r="AK26" s="12">
        <f t="shared" si="7"/>
        <v>3</v>
      </c>
      <c r="AL26" s="14">
        <f t="shared" si="7"/>
        <v>60285.714285709895</v>
      </c>
      <c r="AM26" s="13">
        <f t="shared" si="8"/>
        <v>9.4590555887632474E-2</v>
      </c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 t="s">
        <v>2</v>
      </c>
      <c r="AA27" s="12">
        <v>77</v>
      </c>
      <c r="AB27" s="14">
        <v>3000285.71428564</v>
      </c>
      <c r="AC27" s="12">
        <f t="shared" si="5"/>
        <v>-11</v>
      </c>
      <c r="AD27" s="14">
        <f t="shared" si="5"/>
        <v>-282761.90476190019</v>
      </c>
      <c r="AE27" s="13">
        <f t="shared" si="6"/>
        <v>-8.6127871896032243E-2</v>
      </c>
      <c r="AG27" s="16"/>
      <c r="AH27" s="15" t="s">
        <v>2</v>
      </c>
      <c r="AI27" s="15">
        <v>97</v>
      </c>
      <c r="AJ27" s="12">
        <v>3679333.3333332399</v>
      </c>
      <c r="AK27" s="12">
        <f t="shared" si="7"/>
        <v>20</v>
      </c>
      <c r="AL27" s="14">
        <f t="shared" si="7"/>
        <v>679047.61904759984</v>
      </c>
      <c r="AM27" s="13">
        <f t="shared" si="8"/>
        <v>0.22632765133479271</v>
      </c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 t="s">
        <v>13</v>
      </c>
      <c r="Z28" s="11"/>
      <c r="AA28" s="10">
        <v>614</v>
      </c>
      <c r="AB28" s="9">
        <v>5286459.5238083899</v>
      </c>
      <c r="AC28" s="29">
        <f t="shared" si="5"/>
        <v>18</v>
      </c>
      <c r="AD28" s="30">
        <f t="shared" si="5"/>
        <v>-164074.2857143702</v>
      </c>
      <c r="AE28" s="31">
        <f t="shared" si="6"/>
        <v>-3.0102425092329861E-2</v>
      </c>
      <c r="AG28" s="11" t="s">
        <v>13</v>
      </c>
      <c r="AH28" s="11"/>
      <c r="AI28" s="11">
        <v>603</v>
      </c>
      <c r="AJ28" s="10">
        <v>5733093.3333321996</v>
      </c>
      <c r="AK28" s="29">
        <f t="shared" si="7"/>
        <v>-11</v>
      </c>
      <c r="AL28" s="30">
        <f t="shared" si="7"/>
        <v>446633.8095238097</v>
      </c>
      <c r="AM28" s="31">
        <f t="shared" si="8"/>
        <v>8.4486376470362654E-2</v>
      </c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>
        <v>77</v>
      </c>
      <c r="Z29" s="34" t="s">
        <v>20</v>
      </c>
      <c r="AA29" s="1">
        <v>3660</v>
      </c>
      <c r="AB29" s="37"/>
      <c r="AC29" s="12">
        <f t="shared" si="5"/>
        <v>94</v>
      </c>
      <c r="AD29" s="14">
        <f t="shared" si="5"/>
        <v>0</v>
      </c>
      <c r="AE29" s="13" t="e">
        <f t="shared" si="6"/>
        <v>#DIV/0!</v>
      </c>
      <c r="AG29" s="16">
        <v>77</v>
      </c>
      <c r="AH29" s="34" t="s">
        <v>20</v>
      </c>
      <c r="AI29" s="34">
        <v>3926</v>
      </c>
      <c r="AK29" s="12">
        <f t="shared" si="7"/>
        <v>266</v>
      </c>
      <c r="AL29" s="14">
        <f t="shared" si="7"/>
        <v>0</v>
      </c>
      <c r="AM29" s="13" t="e">
        <f t="shared" si="8"/>
        <v>#DIV/0!</v>
      </c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 t="s">
        <v>21</v>
      </c>
      <c r="AA30" s="1">
        <v>8</v>
      </c>
      <c r="AB30" s="37"/>
      <c r="AC30" s="12">
        <f t="shared" si="5"/>
        <v>5</v>
      </c>
      <c r="AD30" s="14">
        <f t="shared" si="5"/>
        <v>0</v>
      </c>
      <c r="AE30" s="13" t="e">
        <f t="shared" si="6"/>
        <v>#DIV/0!</v>
      </c>
      <c r="AG30" s="16"/>
      <c r="AH30" s="34" t="s">
        <v>21</v>
      </c>
      <c r="AI30" s="34">
        <v>4</v>
      </c>
      <c r="AK30" s="12">
        <f t="shared" si="7"/>
        <v>-4</v>
      </c>
      <c r="AL30" s="14">
        <f t="shared" si="7"/>
        <v>0</v>
      </c>
      <c r="AM30" s="13" t="e">
        <f t="shared" si="8"/>
        <v>#DIV/0!</v>
      </c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 t="s">
        <v>10</v>
      </c>
      <c r="AA31" s="12">
        <v>153</v>
      </c>
      <c r="AB31" s="14">
        <v>156716.19047567999</v>
      </c>
      <c r="AC31" s="12">
        <f t="shared" si="5"/>
        <v>27</v>
      </c>
      <c r="AD31" s="14">
        <f t="shared" si="5"/>
        <v>46073.333333280039</v>
      </c>
      <c r="AE31" s="13">
        <f t="shared" si="6"/>
        <v>0.41641489132897735</v>
      </c>
      <c r="AG31" s="16"/>
      <c r="AH31" s="15" t="s">
        <v>10</v>
      </c>
      <c r="AI31" s="15">
        <v>122</v>
      </c>
      <c r="AJ31" s="12">
        <v>126194.28571375999</v>
      </c>
      <c r="AK31" s="12">
        <f t="shared" si="7"/>
        <v>-31</v>
      </c>
      <c r="AL31" s="14">
        <f t="shared" si="7"/>
        <v>-30521.904761919999</v>
      </c>
      <c r="AM31" s="13">
        <f t="shared" si="8"/>
        <v>-0.19475910350600656</v>
      </c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 t="s">
        <v>9</v>
      </c>
      <c r="AA32" s="12">
        <v>78</v>
      </c>
      <c r="AB32" s="14">
        <v>85080.952380859992</v>
      </c>
      <c r="AC32" s="12">
        <f t="shared" si="5"/>
        <v>-16</v>
      </c>
      <c r="AD32" s="14">
        <f t="shared" si="5"/>
        <v>-4459.9999999900028</v>
      </c>
      <c r="AE32" s="13">
        <f t="shared" si="6"/>
        <v>-4.9809610925512754E-2</v>
      </c>
      <c r="AG32" s="16"/>
      <c r="AH32" s="15" t="s">
        <v>9</v>
      </c>
      <c r="AI32" s="15">
        <v>96</v>
      </c>
      <c r="AJ32" s="12">
        <v>110429.52380939998</v>
      </c>
      <c r="AK32" s="12">
        <f t="shared" si="7"/>
        <v>18</v>
      </c>
      <c r="AL32" s="14">
        <f t="shared" si="7"/>
        <v>25348.571428539988</v>
      </c>
      <c r="AM32" s="13">
        <f t="shared" si="8"/>
        <v>0.29793474002346104</v>
      </c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 t="s">
        <v>8</v>
      </c>
      <c r="AA33" s="12">
        <v>32</v>
      </c>
      <c r="AB33" s="14">
        <v>227506.66666663997</v>
      </c>
      <c r="AC33" s="12">
        <f t="shared" si="5"/>
        <v>13</v>
      </c>
      <c r="AD33" s="14">
        <f t="shared" si="5"/>
        <v>107211.42857140995</v>
      </c>
      <c r="AE33" s="13">
        <f t="shared" si="6"/>
        <v>0.89123584830961933</v>
      </c>
      <c r="AG33" s="16"/>
      <c r="AH33" s="15" t="s">
        <v>8</v>
      </c>
      <c r="AI33" s="15">
        <v>32</v>
      </c>
      <c r="AJ33" s="12">
        <v>216553.33333330997</v>
      </c>
      <c r="AK33" s="12">
        <f t="shared" si="7"/>
        <v>0</v>
      </c>
      <c r="AL33" s="14">
        <f t="shared" si="7"/>
        <v>-10953.333333329996</v>
      </c>
      <c r="AM33" s="13">
        <f t="shared" si="8"/>
        <v>-4.8145109300817328E-2</v>
      </c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 t="s">
        <v>7</v>
      </c>
      <c r="AA34" s="12">
        <v>10</v>
      </c>
      <c r="AB34" s="14">
        <v>125714.28571426</v>
      </c>
      <c r="AC34" s="12">
        <f t="shared" si="5"/>
        <v>-2</v>
      </c>
      <c r="AD34" s="14">
        <f t="shared" si="5"/>
        <v>-45047.619047600005</v>
      </c>
      <c r="AE34" s="13">
        <f t="shared" si="6"/>
        <v>-0.26380368098155271</v>
      </c>
      <c r="AG34" s="16"/>
      <c r="AH34" s="15" t="s">
        <v>7</v>
      </c>
      <c r="AI34" s="15">
        <v>20</v>
      </c>
      <c r="AJ34" s="12">
        <v>271278.09523804998</v>
      </c>
      <c r="AK34" s="12">
        <f t="shared" si="7"/>
        <v>10</v>
      </c>
      <c r="AL34" s="14">
        <f t="shared" si="7"/>
        <v>145563.80952378997</v>
      </c>
      <c r="AM34" s="13">
        <f t="shared" si="8"/>
        <v>1.1578939393940206</v>
      </c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 t="s">
        <v>6</v>
      </c>
      <c r="AA35" s="12">
        <v>2</v>
      </c>
      <c r="AB35" s="14">
        <v>5314.2857142800003</v>
      </c>
      <c r="AC35" s="12">
        <f t="shared" si="5"/>
        <v>1</v>
      </c>
      <c r="AD35" s="14">
        <f t="shared" si="5"/>
        <v>-3542.8571428599989</v>
      </c>
      <c r="AE35" s="13">
        <f t="shared" si="6"/>
        <v>-0.40000000000045155</v>
      </c>
      <c r="AG35" s="16"/>
      <c r="AH35" s="15" t="s">
        <v>6</v>
      </c>
      <c r="AI35" s="15">
        <v>3</v>
      </c>
      <c r="AJ35" s="12">
        <v>8371.4285714200014</v>
      </c>
      <c r="AK35" s="12">
        <f t="shared" si="7"/>
        <v>1</v>
      </c>
      <c r="AL35" s="14">
        <f t="shared" si="7"/>
        <v>3057.1428571400011</v>
      </c>
      <c r="AM35" s="13">
        <f t="shared" si="8"/>
        <v>0.57526881720438217</v>
      </c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 t="s">
        <v>5</v>
      </c>
      <c r="AA36" s="12">
        <v>1</v>
      </c>
      <c r="AB36" s="14">
        <v>2590</v>
      </c>
      <c r="AC36" s="12">
        <f t="shared" si="5"/>
        <v>-1</v>
      </c>
      <c r="AD36" s="14">
        <f t="shared" si="5"/>
        <v>-5490</v>
      </c>
      <c r="AE36" s="13">
        <f t="shared" si="6"/>
        <v>-0.6794554455445545</v>
      </c>
      <c r="AG36" s="16"/>
      <c r="AH36" s="15" t="s">
        <v>5</v>
      </c>
      <c r="AI36" s="15">
        <v>2</v>
      </c>
      <c r="AJ36" s="12">
        <v>7780</v>
      </c>
      <c r="AK36" s="12">
        <f t="shared" si="7"/>
        <v>1</v>
      </c>
      <c r="AL36" s="14">
        <f t="shared" si="7"/>
        <v>5190</v>
      </c>
      <c r="AM36" s="13">
        <f t="shared" si="8"/>
        <v>2.0038610038610041</v>
      </c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 t="s">
        <v>4</v>
      </c>
      <c r="AA37" s="12">
        <v>2</v>
      </c>
      <c r="AB37" s="14">
        <v>161714.28571427002</v>
      </c>
      <c r="AC37" s="12">
        <f t="shared" si="5"/>
        <v>1</v>
      </c>
      <c r="AD37" s="14">
        <f t="shared" si="5"/>
        <v>130380.95238094003</v>
      </c>
      <c r="AE37" s="13">
        <f t="shared" si="6"/>
        <v>4.161094224924061</v>
      </c>
      <c r="AG37" s="16"/>
      <c r="AH37" s="15" t="s">
        <v>4</v>
      </c>
      <c r="AI37" s="15">
        <v>2</v>
      </c>
      <c r="AJ37" s="12">
        <v>56000</v>
      </c>
      <c r="AK37" s="12">
        <f t="shared" si="7"/>
        <v>0</v>
      </c>
      <c r="AL37" s="14">
        <f t="shared" si="7"/>
        <v>-105714.28571427002</v>
      </c>
      <c r="AM37" s="13">
        <f t="shared" si="8"/>
        <v>-0.65371024734978977</v>
      </c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 t="s">
        <v>3</v>
      </c>
      <c r="AA38" s="12">
        <v>18</v>
      </c>
      <c r="AB38" s="14">
        <v>312095.23809518997</v>
      </c>
      <c r="AC38" s="12">
        <f t="shared" si="5"/>
        <v>6</v>
      </c>
      <c r="AD38" s="14">
        <f t="shared" si="5"/>
        <v>123428.57142854997</v>
      </c>
      <c r="AE38" s="13">
        <f t="shared" si="6"/>
        <v>0.65421504290760113</v>
      </c>
      <c r="AG38" s="16"/>
      <c r="AH38" s="15" t="s">
        <v>3</v>
      </c>
      <c r="AI38" s="15">
        <v>14</v>
      </c>
      <c r="AJ38" s="12">
        <v>311212.38095233997</v>
      </c>
      <c r="AK38" s="12">
        <f t="shared" si="7"/>
        <v>-4</v>
      </c>
      <c r="AL38" s="14">
        <f t="shared" si="7"/>
        <v>-882.85714284999995</v>
      </c>
      <c r="AM38" s="13">
        <f t="shared" si="8"/>
        <v>-2.828806835497842E-3</v>
      </c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 t="s">
        <v>2</v>
      </c>
      <c r="AA39" s="12">
        <v>30</v>
      </c>
      <c r="AB39" s="14">
        <v>1149523.8095237801</v>
      </c>
      <c r="AC39" s="12">
        <f t="shared" si="5"/>
        <v>-7</v>
      </c>
      <c r="AD39" s="14">
        <f t="shared" si="5"/>
        <v>-284095.23809522996</v>
      </c>
      <c r="AE39" s="13">
        <f t="shared" si="6"/>
        <v>-0.19816647844283483</v>
      </c>
      <c r="AG39" s="16"/>
      <c r="AH39" s="15" t="s">
        <v>2</v>
      </c>
      <c r="AI39" s="15">
        <v>30</v>
      </c>
      <c r="AJ39" s="12">
        <v>1074098.09523806</v>
      </c>
      <c r="AK39" s="12">
        <f t="shared" si="7"/>
        <v>0</v>
      </c>
      <c r="AL39" s="14">
        <f t="shared" si="7"/>
        <v>-75425.71428572014</v>
      </c>
      <c r="AM39" s="13">
        <f t="shared" si="8"/>
        <v>-6.5614747307380428E-2</v>
      </c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 t="s">
        <v>12</v>
      </c>
      <c r="Z40" s="11"/>
      <c r="AA40" s="10">
        <v>326</v>
      </c>
      <c r="AB40" s="9">
        <v>2226255.7142849602</v>
      </c>
      <c r="AC40" s="29">
        <f t="shared" si="5"/>
        <v>22</v>
      </c>
      <c r="AD40" s="30">
        <f t="shared" si="5"/>
        <v>64458.571428500116</v>
      </c>
      <c r="AE40" s="31">
        <f t="shared" si="6"/>
        <v>2.9817123055000755E-2</v>
      </c>
      <c r="AG40" s="11" t="s">
        <v>12</v>
      </c>
      <c r="AH40" s="11"/>
      <c r="AI40" s="11">
        <v>321</v>
      </c>
      <c r="AJ40" s="10">
        <v>2181917.1428563399</v>
      </c>
      <c r="AK40" s="29">
        <f t="shared" si="7"/>
        <v>-5</v>
      </c>
      <c r="AL40" s="30">
        <f t="shared" si="7"/>
        <v>-44338.571428620256</v>
      </c>
      <c r="AM40" s="31">
        <f t="shared" si="8"/>
        <v>-1.9916207803136909E-2</v>
      </c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>
        <v>81</v>
      </c>
      <c r="Z41" s="34" t="s">
        <v>20</v>
      </c>
      <c r="AA41" s="1">
        <v>1265</v>
      </c>
      <c r="AB41" s="37"/>
      <c r="AC41" s="12">
        <f t="shared" si="5"/>
        <v>-240</v>
      </c>
      <c r="AD41" s="14">
        <f t="shared" si="5"/>
        <v>0</v>
      </c>
      <c r="AE41" s="13" t="e">
        <f t="shared" si="6"/>
        <v>#DIV/0!</v>
      </c>
      <c r="AG41" s="16">
        <v>81</v>
      </c>
      <c r="AH41" s="34" t="s">
        <v>20</v>
      </c>
      <c r="AI41" s="34">
        <v>1427</v>
      </c>
      <c r="AK41" s="12">
        <f t="shared" si="7"/>
        <v>162</v>
      </c>
      <c r="AL41" s="14">
        <f t="shared" si="7"/>
        <v>0</v>
      </c>
      <c r="AM41" s="13" t="e">
        <f t="shared" si="8"/>
        <v>#DIV/0!</v>
      </c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 t="s">
        <v>21</v>
      </c>
      <c r="AA42" s="1">
        <v>4</v>
      </c>
      <c r="AB42" s="37"/>
      <c r="AC42" s="12">
        <f t="shared" si="5"/>
        <v>-4</v>
      </c>
      <c r="AD42" s="14">
        <f t="shared" si="5"/>
        <v>0</v>
      </c>
      <c r="AE42" s="13" t="e">
        <f t="shared" si="6"/>
        <v>#DIV/0!</v>
      </c>
      <c r="AG42" s="16"/>
      <c r="AH42" s="34" t="s">
        <v>21</v>
      </c>
      <c r="AI42" s="34">
        <v>6</v>
      </c>
      <c r="AK42" s="12">
        <f t="shared" si="7"/>
        <v>2</v>
      </c>
      <c r="AL42" s="14">
        <f t="shared" si="7"/>
        <v>0</v>
      </c>
      <c r="AM42" s="13" t="e">
        <f t="shared" si="8"/>
        <v>#DIV/0!</v>
      </c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 t="s">
        <v>10</v>
      </c>
      <c r="AA43" s="12">
        <v>100</v>
      </c>
      <c r="AB43" s="14">
        <v>91869.523809129969</v>
      </c>
      <c r="AC43" s="12">
        <f t="shared" si="5"/>
        <v>-11</v>
      </c>
      <c r="AD43" s="14">
        <f t="shared" si="5"/>
        <v>-10973.333333360046</v>
      </c>
      <c r="AE43" s="13">
        <f t="shared" si="6"/>
        <v>-0.10670000463091336</v>
      </c>
      <c r="AG43" s="16"/>
      <c r="AH43" s="15" t="s">
        <v>10</v>
      </c>
      <c r="AI43" s="15">
        <v>121</v>
      </c>
      <c r="AJ43" s="12">
        <v>111367.61904711997</v>
      </c>
      <c r="AK43" s="12">
        <f t="shared" si="7"/>
        <v>21</v>
      </c>
      <c r="AL43" s="14">
        <f t="shared" si="7"/>
        <v>19498.095237989997</v>
      </c>
      <c r="AM43" s="13">
        <f t="shared" si="8"/>
        <v>0.21223681618835474</v>
      </c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 t="s">
        <v>9</v>
      </c>
      <c r="AA44" s="12">
        <v>69</v>
      </c>
      <c r="AB44" s="14">
        <v>61968.57142848002</v>
      </c>
      <c r="AC44" s="12">
        <f t="shared" si="5"/>
        <v>-4</v>
      </c>
      <c r="AD44" s="14">
        <f t="shared" si="5"/>
        <v>-7269.5238094999804</v>
      </c>
      <c r="AE44" s="13">
        <f t="shared" si="6"/>
        <v>-0.10499312242073842</v>
      </c>
      <c r="AG44" s="16"/>
      <c r="AH44" s="15" t="s">
        <v>9</v>
      </c>
      <c r="AI44" s="15">
        <v>95</v>
      </c>
      <c r="AJ44" s="12">
        <v>93963.809523709991</v>
      </c>
      <c r="AK44" s="12">
        <f t="shared" si="7"/>
        <v>26</v>
      </c>
      <c r="AL44" s="14">
        <f t="shared" si="7"/>
        <v>31995.238095229972</v>
      </c>
      <c r="AM44" s="13">
        <f t="shared" si="8"/>
        <v>0.51631395331029595</v>
      </c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 t="s">
        <v>8</v>
      </c>
      <c r="AA45" s="12">
        <v>16</v>
      </c>
      <c r="AB45" s="14">
        <v>104419.04761903</v>
      </c>
      <c r="AC45" s="12">
        <f t="shared" si="5"/>
        <v>6</v>
      </c>
      <c r="AD45" s="14">
        <f t="shared" si="5"/>
        <v>28799.999999989988</v>
      </c>
      <c r="AE45" s="13">
        <f t="shared" si="6"/>
        <v>0.38085642317370949</v>
      </c>
      <c r="AG45" s="16"/>
      <c r="AH45" s="15" t="s">
        <v>8</v>
      </c>
      <c r="AI45" s="15">
        <v>30</v>
      </c>
      <c r="AJ45" s="12">
        <v>192952.38095237</v>
      </c>
      <c r="AK45" s="12">
        <f t="shared" si="7"/>
        <v>14</v>
      </c>
      <c r="AL45" s="14">
        <f t="shared" si="7"/>
        <v>88533.333333340008</v>
      </c>
      <c r="AM45" s="13">
        <f t="shared" si="8"/>
        <v>0.84786574242997714</v>
      </c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 t="s">
        <v>7</v>
      </c>
      <c r="AA46" s="12">
        <v>12</v>
      </c>
      <c r="AB46" s="14">
        <v>145047.61904759001</v>
      </c>
      <c r="AC46" s="12">
        <f t="shared" si="5"/>
        <v>-3</v>
      </c>
      <c r="AD46" s="14">
        <f t="shared" si="5"/>
        <v>-25904.761904739978</v>
      </c>
      <c r="AE46" s="13">
        <f t="shared" si="6"/>
        <v>-0.15153203342610075</v>
      </c>
      <c r="AG46" s="16"/>
      <c r="AH46" s="15" t="s">
        <v>7</v>
      </c>
      <c r="AI46" s="15">
        <v>15</v>
      </c>
      <c r="AJ46" s="12">
        <v>200476.19047614001</v>
      </c>
      <c r="AK46" s="12">
        <f t="shared" si="7"/>
        <v>3</v>
      </c>
      <c r="AL46" s="14">
        <f t="shared" si="7"/>
        <v>55428.57142855</v>
      </c>
      <c r="AM46" s="13">
        <f t="shared" si="8"/>
        <v>0.38214051214700689</v>
      </c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 t="s">
        <v>6</v>
      </c>
      <c r="AA47" s="12">
        <v>3</v>
      </c>
      <c r="AB47" s="14">
        <v>8571.4285714200014</v>
      </c>
      <c r="AC47" s="12">
        <f t="shared" si="5"/>
        <v>2</v>
      </c>
      <c r="AD47" s="14">
        <f t="shared" si="5"/>
        <v>5914.2857142800012</v>
      </c>
      <c r="AE47" s="13">
        <f t="shared" si="6"/>
        <v>2.2258064516131464</v>
      </c>
      <c r="AG47" s="16"/>
      <c r="AH47" s="15" t="s">
        <v>6</v>
      </c>
      <c r="AI47" s="15">
        <v>1</v>
      </c>
      <c r="AJ47" s="12">
        <v>8857.1428571399993</v>
      </c>
      <c r="AK47" s="12">
        <f t="shared" si="7"/>
        <v>-2</v>
      </c>
      <c r="AL47" s="14">
        <f t="shared" si="7"/>
        <v>285.71428571999786</v>
      </c>
      <c r="AM47" s="13">
        <f t="shared" si="8"/>
        <v>3.3333333334033079E-2</v>
      </c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 t="s">
        <v>5</v>
      </c>
      <c r="AA48" s="12">
        <v>5</v>
      </c>
      <c r="AB48" s="14">
        <v>18350</v>
      </c>
      <c r="AC48" s="12">
        <f t="shared" si="5"/>
        <v>3</v>
      </c>
      <c r="AD48" s="14">
        <f t="shared" si="5"/>
        <v>3770</v>
      </c>
      <c r="AE48" s="13">
        <f t="shared" si="6"/>
        <v>0.25857338820301784</v>
      </c>
      <c r="AG48" s="16"/>
      <c r="AH48" s="15" t="s">
        <v>5</v>
      </c>
      <c r="AI48" s="15">
        <v>5</v>
      </c>
      <c r="AJ48" s="12">
        <v>21850</v>
      </c>
      <c r="AK48" s="12">
        <f t="shared" si="7"/>
        <v>0</v>
      </c>
      <c r="AL48" s="14">
        <f t="shared" si="7"/>
        <v>3500</v>
      </c>
      <c r="AM48" s="13">
        <f t="shared" si="8"/>
        <v>0.1907356948228883</v>
      </c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 t="s">
        <v>4</v>
      </c>
      <c r="AA49" s="12">
        <v>2</v>
      </c>
      <c r="AB49" s="14">
        <v>79333.333333329996</v>
      </c>
      <c r="AC49" s="12">
        <f t="shared" si="5"/>
        <v>-2</v>
      </c>
      <c r="AD49" s="14">
        <f t="shared" si="5"/>
        <v>-66206.666666659992</v>
      </c>
      <c r="AE49" s="13">
        <f t="shared" si="6"/>
        <v>-0.45490357748154836</v>
      </c>
      <c r="AG49" s="16"/>
      <c r="AH49" s="15" t="s">
        <v>4</v>
      </c>
      <c r="AI49" s="15">
        <v>2</v>
      </c>
      <c r="AJ49" s="12">
        <v>76000</v>
      </c>
      <c r="AK49" s="12">
        <f t="shared" si="7"/>
        <v>0</v>
      </c>
      <c r="AL49" s="14">
        <f t="shared" si="7"/>
        <v>-3333.3333333299961</v>
      </c>
      <c r="AM49" s="13">
        <f t="shared" si="8"/>
        <v>-4.2016806722648778E-2</v>
      </c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 t="s">
        <v>3</v>
      </c>
      <c r="AA50" s="12">
        <v>12</v>
      </c>
      <c r="AB50" s="14">
        <v>210380.95238090001</v>
      </c>
      <c r="AC50" s="12">
        <f t="shared" si="5"/>
        <v>-2</v>
      </c>
      <c r="AD50" s="14">
        <f t="shared" si="5"/>
        <v>-32857.142857169994</v>
      </c>
      <c r="AE50" s="13">
        <f t="shared" si="6"/>
        <v>-0.1350822239625375</v>
      </c>
      <c r="AG50" s="16"/>
      <c r="AH50" s="15" t="s">
        <v>3</v>
      </c>
      <c r="AI50" s="15">
        <v>18</v>
      </c>
      <c r="AJ50" s="12">
        <v>352190.47619044001</v>
      </c>
      <c r="AK50" s="12">
        <f t="shared" si="7"/>
        <v>6</v>
      </c>
      <c r="AL50" s="14">
        <f t="shared" si="7"/>
        <v>141809.52380954</v>
      </c>
      <c r="AM50" s="13">
        <f t="shared" si="8"/>
        <v>0.67406066093279338</v>
      </c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 t="s">
        <v>2</v>
      </c>
      <c r="AA51" s="12">
        <v>23</v>
      </c>
      <c r="AB51" s="14">
        <v>832095.23809519992</v>
      </c>
      <c r="AC51" s="12">
        <f t="shared" si="5"/>
        <v>-9</v>
      </c>
      <c r="AD51" s="14">
        <f t="shared" si="5"/>
        <v>-427714.2857142901</v>
      </c>
      <c r="AE51" s="13">
        <f t="shared" si="6"/>
        <v>-0.33950710613850671</v>
      </c>
      <c r="AG51" s="16"/>
      <c r="AH51" s="15" t="s">
        <v>2</v>
      </c>
      <c r="AI51" s="15">
        <v>47</v>
      </c>
      <c r="AJ51" s="12">
        <v>1709809.5238094702</v>
      </c>
      <c r="AK51" s="12">
        <f t="shared" si="7"/>
        <v>24</v>
      </c>
      <c r="AL51" s="14">
        <f t="shared" si="7"/>
        <v>877714.28571427031</v>
      </c>
      <c r="AM51" s="13">
        <f t="shared" si="8"/>
        <v>1.0548243104040587</v>
      </c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 t="s">
        <v>11</v>
      </c>
      <c r="Z52" s="11"/>
      <c r="AA52" s="10">
        <v>242</v>
      </c>
      <c r="AB52" s="9">
        <v>1552035.7142850799</v>
      </c>
      <c r="AC52" s="29">
        <f t="shared" si="5"/>
        <v>-20</v>
      </c>
      <c r="AD52" s="30">
        <f t="shared" si="5"/>
        <v>-532441.42857145006</v>
      </c>
      <c r="AE52" s="31">
        <f t="shared" si="6"/>
        <v>-0.25543164644242722</v>
      </c>
      <c r="AG52" s="11" t="s">
        <v>11</v>
      </c>
      <c r="AH52" s="11"/>
      <c r="AI52" s="11">
        <v>334</v>
      </c>
      <c r="AJ52" s="10">
        <v>2767467.1428563902</v>
      </c>
      <c r="AK52" s="29">
        <f t="shared" si="7"/>
        <v>92</v>
      </c>
      <c r="AL52" s="30">
        <f t="shared" si="7"/>
        <v>1215431.4285713104</v>
      </c>
      <c r="AM52" s="31">
        <f t="shared" si="8"/>
        <v>0.78312078606462943</v>
      </c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>
        <v>84</v>
      </c>
      <c r="Z53" s="34" t="s">
        <v>20</v>
      </c>
      <c r="AB53" s="37"/>
      <c r="AC53" s="12">
        <f t="shared" si="5"/>
        <v>0</v>
      </c>
      <c r="AD53" s="14">
        <f t="shared" si="5"/>
        <v>0</v>
      </c>
      <c r="AE53" s="13" t="e">
        <f t="shared" si="6"/>
        <v>#DIV/0!</v>
      </c>
      <c r="AG53" s="16">
        <v>84</v>
      </c>
      <c r="AH53" s="34" t="s">
        <v>20</v>
      </c>
      <c r="AI53" s="34"/>
      <c r="AK53" s="12">
        <f t="shared" si="7"/>
        <v>0</v>
      </c>
      <c r="AL53" s="14">
        <f t="shared" si="7"/>
        <v>0</v>
      </c>
      <c r="AM53" s="13" t="e">
        <f t="shared" si="8"/>
        <v>#DIV/0!</v>
      </c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 t="s">
        <v>21</v>
      </c>
      <c r="AA54" s="1">
        <v>2</v>
      </c>
      <c r="AB54" s="37"/>
      <c r="AC54" s="12">
        <f t="shared" si="5"/>
        <v>-4</v>
      </c>
      <c r="AD54" s="14">
        <f t="shared" si="5"/>
        <v>0</v>
      </c>
      <c r="AE54" s="13" t="e">
        <f t="shared" si="6"/>
        <v>#DIV/0!</v>
      </c>
      <c r="AG54" s="16"/>
      <c r="AH54" s="34" t="s">
        <v>21</v>
      </c>
      <c r="AI54" s="34">
        <v>5</v>
      </c>
      <c r="AK54" s="12">
        <f t="shared" si="7"/>
        <v>3</v>
      </c>
      <c r="AL54" s="14">
        <f t="shared" si="7"/>
        <v>0</v>
      </c>
      <c r="AM54" s="13" t="e">
        <f t="shared" si="8"/>
        <v>#DIV/0!</v>
      </c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 t="s">
        <v>10</v>
      </c>
      <c r="AA55" s="12">
        <v>166</v>
      </c>
      <c r="AB55" s="14">
        <v>154430.47618988011</v>
      </c>
      <c r="AC55" s="12">
        <f t="shared" si="5"/>
        <v>48</v>
      </c>
      <c r="AD55" s="14">
        <f t="shared" si="5"/>
        <v>47456.190476070158</v>
      </c>
      <c r="AE55" s="13">
        <f t="shared" si="6"/>
        <v>0.44362241037094163</v>
      </c>
      <c r="AG55" s="16"/>
      <c r="AH55" s="15" t="s">
        <v>10</v>
      </c>
      <c r="AI55" s="15">
        <v>209</v>
      </c>
      <c r="AJ55" s="12">
        <v>186364.76190395991</v>
      </c>
      <c r="AK55" s="12">
        <f t="shared" si="7"/>
        <v>43</v>
      </c>
      <c r="AL55" s="14">
        <f t="shared" si="7"/>
        <v>31934.285714079801</v>
      </c>
      <c r="AM55" s="13">
        <f t="shared" si="8"/>
        <v>0.20678745868020879</v>
      </c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 t="s">
        <v>9</v>
      </c>
      <c r="AA56" s="12">
        <v>72</v>
      </c>
      <c r="AB56" s="14">
        <v>74877.142857059996</v>
      </c>
      <c r="AC56" s="12">
        <f t="shared" si="5"/>
        <v>-8</v>
      </c>
      <c r="AD56" s="14">
        <f t="shared" si="5"/>
        <v>7924.7619047499902</v>
      </c>
      <c r="AE56" s="13">
        <f t="shared" si="6"/>
        <v>0.11836415362725899</v>
      </c>
      <c r="AG56" s="16"/>
      <c r="AH56" s="15" t="s">
        <v>9</v>
      </c>
      <c r="AI56" s="15">
        <v>102</v>
      </c>
      <c r="AJ56" s="12">
        <v>128504.76190465</v>
      </c>
      <c r="AK56" s="12">
        <f t="shared" si="7"/>
        <v>30</v>
      </c>
      <c r="AL56" s="14">
        <f t="shared" si="7"/>
        <v>53627.619047590008</v>
      </c>
      <c r="AM56" s="13">
        <f t="shared" si="8"/>
        <v>0.71620813777529946</v>
      </c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 t="s">
        <v>8</v>
      </c>
      <c r="AA57" s="12">
        <v>24</v>
      </c>
      <c r="AB57" s="14">
        <v>160819.04761903</v>
      </c>
      <c r="AC57" s="12">
        <f t="shared" si="5"/>
        <v>2</v>
      </c>
      <c r="AD57" s="14">
        <f t="shared" si="5"/>
        <v>24241.90476189999</v>
      </c>
      <c r="AE57" s="13">
        <f t="shared" si="6"/>
        <v>0.17749606013693559</v>
      </c>
      <c r="AG57" s="16"/>
      <c r="AH57" s="15" t="s">
        <v>8</v>
      </c>
      <c r="AI57" s="15">
        <v>19</v>
      </c>
      <c r="AJ57" s="12">
        <v>115319.99999997999</v>
      </c>
      <c r="AK57" s="12">
        <f t="shared" si="7"/>
        <v>-5</v>
      </c>
      <c r="AL57" s="14">
        <f t="shared" si="7"/>
        <v>-45499.047619050005</v>
      </c>
      <c r="AM57" s="13">
        <f t="shared" si="8"/>
        <v>-0.28292076276209727</v>
      </c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 t="s">
        <v>7</v>
      </c>
      <c r="AA58" s="12">
        <v>10</v>
      </c>
      <c r="AB58" s="14">
        <v>114285.71428569</v>
      </c>
      <c r="AC58" s="12">
        <f t="shared" si="5"/>
        <v>3</v>
      </c>
      <c r="AD58" s="14">
        <f t="shared" si="5"/>
        <v>19238.09523810001</v>
      </c>
      <c r="AE58" s="13">
        <f t="shared" si="6"/>
        <v>0.20240480961935056</v>
      </c>
      <c r="AG58" s="16"/>
      <c r="AH58" s="15" t="s">
        <v>7</v>
      </c>
      <c r="AI58" s="15">
        <v>14</v>
      </c>
      <c r="AJ58" s="12">
        <v>163904.76190473</v>
      </c>
      <c r="AK58" s="12">
        <f t="shared" si="7"/>
        <v>4</v>
      </c>
      <c r="AL58" s="14">
        <f t="shared" si="7"/>
        <v>49619.047619039993</v>
      </c>
      <c r="AM58" s="13">
        <f t="shared" si="8"/>
        <v>0.43416666666669218</v>
      </c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 t="s">
        <v>6</v>
      </c>
      <c r="AB59" s="14"/>
      <c r="AC59" s="12">
        <f t="shared" si="5"/>
        <v>-1</v>
      </c>
      <c r="AD59" s="14">
        <f t="shared" si="5"/>
        <v>-2857.1428571400002</v>
      </c>
      <c r="AE59" s="13">
        <f t="shared" si="6"/>
        <v>-1</v>
      </c>
      <c r="AG59" s="16"/>
      <c r="AH59" s="15" t="s">
        <v>6</v>
      </c>
      <c r="AI59" s="15">
        <v>2</v>
      </c>
      <c r="AJ59" s="12">
        <v>5714.2857142800003</v>
      </c>
      <c r="AK59" s="12">
        <f t="shared" si="7"/>
        <v>2</v>
      </c>
      <c r="AL59" s="14">
        <f t="shared" si="7"/>
        <v>5714.2857142800003</v>
      </c>
      <c r="AM59" s="13" t="e">
        <f t="shared" si="8"/>
        <v>#DIV/0!</v>
      </c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 t="s">
        <v>5</v>
      </c>
      <c r="AA60" s="12">
        <v>1</v>
      </c>
      <c r="AB60" s="14">
        <v>4890</v>
      </c>
      <c r="AC60" s="12">
        <f t="shared" si="5"/>
        <v>1</v>
      </c>
      <c r="AD60" s="14">
        <f t="shared" si="5"/>
        <v>4890</v>
      </c>
      <c r="AE60" s="13" t="e">
        <f t="shared" si="6"/>
        <v>#DIV/0!</v>
      </c>
      <c r="AG60" s="16"/>
      <c r="AH60" s="15" t="s">
        <v>5</v>
      </c>
      <c r="AI60" s="15">
        <v>2</v>
      </c>
      <c r="AJ60" s="12">
        <v>11180</v>
      </c>
      <c r="AK60" s="12">
        <f t="shared" si="7"/>
        <v>1</v>
      </c>
      <c r="AL60" s="14">
        <f t="shared" si="7"/>
        <v>6290</v>
      </c>
      <c r="AM60" s="13">
        <f t="shared" si="8"/>
        <v>1.2862985685071575</v>
      </c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 t="s">
        <v>4</v>
      </c>
      <c r="AA61" s="12">
        <v>2</v>
      </c>
      <c r="AB61" s="14">
        <v>75999.999999990003</v>
      </c>
      <c r="AC61" s="12">
        <f t="shared" si="5"/>
        <v>-1</v>
      </c>
      <c r="AD61" s="14">
        <f t="shared" si="5"/>
        <v>-57047.619047619999</v>
      </c>
      <c r="AE61" s="13">
        <f t="shared" si="6"/>
        <v>-0.42877594846102413</v>
      </c>
      <c r="AG61" s="16"/>
      <c r="AH61" s="15" t="s">
        <v>4</v>
      </c>
      <c r="AI61" s="15">
        <v>2</v>
      </c>
      <c r="AJ61" s="12">
        <v>80147.619047610002</v>
      </c>
      <c r="AK61" s="12">
        <f t="shared" si="7"/>
        <v>0</v>
      </c>
      <c r="AL61" s="14">
        <f t="shared" si="7"/>
        <v>4147.619047619999</v>
      </c>
      <c r="AM61" s="13">
        <f t="shared" si="8"/>
        <v>5.4573934837112432E-2</v>
      </c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 t="s">
        <v>3</v>
      </c>
      <c r="AA62" s="12">
        <v>15</v>
      </c>
      <c r="AB62" s="14">
        <v>280476.19047614001</v>
      </c>
      <c r="AC62" s="12">
        <f t="shared" si="5"/>
        <v>4</v>
      </c>
      <c r="AD62" s="14">
        <f t="shared" si="5"/>
        <v>131047.61904760002</v>
      </c>
      <c r="AE62" s="13">
        <f t="shared" si="6"/>
        <v>0.87699171446787105</v>
      </c>
      <c r="AG62" s="16"/>
      <c r="AH62" s="15" t="s">
        <v>3</v>
      </c>
      <c r="AI62" s="15">
        <v>32</v>
      </c>
      <c r="AJ62" s="12">
        <v>579809.52380945021</v>
      </c>
      <c r="AK62" s="12">
        <f t="shared" si="7"/>
        <v>17</v>
      </c>
      <c r="AL62" s="14">
        <f t="shared" si="7"/>
        <v>299333.33333331021</v>
      </c>
      <c r="AM62" s="13">
        <f t="shared" si="8"/>
        <v>1.0672325976231996</v>
      </c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 t="s">
        <v>2</v>
      </c>
      <c r="AA63" s="12">
        <v>66</v>
      </c>
      <c r="AB63" s="14">
        <v>2531809.52380946</v>
      </c>
      <c r="AC63" s="12">
        <f t="shared" si="5"/>
        <v>42</v>
      </c>
      <c r="AD63" s="14">
        <f t="shared" si="5"/>
        <v>1608380.9523809198</v>
      </c>
      <c r="AE63" s="13">
        <f t="shared" si="6"/>
        <v>1.7417491749175158</v>
      </c>
      <c r="AG63" s="16"/>
      <c r="AH63" s="15" t="s">
        <v>2</v>
      </c>
      <c r="AI63" s="15">
        <v>51</v>
      </c>
      <c r="AJ63" s="12">
        <v>1968476.19047614</v>
      </c>
      <c r="AK63" s="12">
        <f t="shared" si="7"/>
        <v>-15</v>
      </c>
      <c r="AL63" s="14">
        <f t="shared" si="7"/>
        <v>-563333.33333331998</v>
      </c>
      <c r="AM63" s="13">
        <f t="shared" si="8"/>
        <v>-0.22250225699669007</v>
      </c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 t="s">
        <v>1</v>
      </c>
      <c r="Z64" s="11"/>
      <c r="AA64" s="10">
        <v>356</v>
      </c>
      <c r="AB64" s="9">
        <v>3397588.09523725</v>
      </c>
      <c r="AC64" s="29">
        <f t="shared" si="5"/>
        <v>90</v>
      </c>
      <c r="AD64" s="30">
        <f t="shared" si="5"/>
        <v>1783274.7619045801</v>
      </c>
      <c r="AE64" s="31">
        <f t="shared" si="6"/>
        <v>1.1046645809603131</v>
      </c>
      <c r="AG64" s="11" t="s">
        <v>1</v>
      </c>
      <c r="AH64" s="11"/>
      <c r="AI64" s="11">
        <v>433</v>
      </c>
      <c r="AJ64" s="10">
        <v>3239421.9047608003</v>
      </c>
      <c r="AK64" s="29">
        <f t="shared" si="7"/>
        <v>77</v>
      </c>
      <c r="AL64" s="30">
        <f t="shared" si="7"/>
        <v>-158166.19047644967</v>
      </c>
      <c r="AM64" s="31">
        <f t="shared" si="8"/>
        <v>-4.6552491368264316E-2</v>
      </c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 t="s">
        <v>0</v>
      </c>
      <c r="Z65" s="5"/>
      <c r="AA65" s="4">
        <v>2881</v>
      </c>
      <c r="AB65" s="3">
        <v>30569097.142852049</v>
      </c>
      <c r="AC65" s="7">
        <f t="shared" si="5"/>
        <v>380</v>
      </c>
      <c r="AD65" s="6">
        <f t="shared" si="5"/>
        <v>8511468.5714280121</v>
      </c>
      <c r="AE65" s="32">
        <f t="shared" si="6"/>
        <v>0.38587414525851332</v>
      </c>
      <c r="AG65" s="5" t="s">
        <v>0</v>
      </c>
      <c r="AH65" s="5"/>
      <c r="AI65" s="5">
        <v>2945</v>
      </c>
      <c r="AJ65" s="4">
        <v>26497391.904756375</v>
      </c>
      <c r="AK65" s="7">
        <f t="shared" si="7"/>
        <v>64</v>
      </c>
      <c r="AL65" s="6">
        <f t="shared" si="7"/>
        <v>-4071705.2380956747</v>
      </c>
      <c r="AM65" s="32">
        <f t="shared" si="8"/>
        <v>-0.13319677774807159</v>
      </c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2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5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4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3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5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4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11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0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9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8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7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6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2" operator="containsText" id="{3DDAC2FC-4887-E941-AF80-601C10F2FCF3}">
            <xm:f>NOT(ISERROR(SEARCH("-",AM5)))</xm:f>
            <xm:f>"-"</xm:f>
            <x14:dxf>
              <font>
                <color rgb="FFFF0000"/>
              </font>
            </x14:dxf>
          </x14:cfRule>
          <xm:sqref>AM5:AM65</xm:sqref>
        </x14:conditionalFormatting>
        <x14:conditionalFormatting xmlns:xm="http://schemas.microsoft.com/office/excel/2006/main">
          <x14:cfRule type="containsText" priority="1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2026-02-02T12:21:18Z</dcterms:modified>
</cp:coreProperties>
</file>