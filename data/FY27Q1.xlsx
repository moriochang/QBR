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orio/GitHub/QBR/data/"/>
    </mc:Choice>
  </mc:AlternateContent>
  <xr:revisionPtr revIDLastSave="0" documentId="13_ncr:1_{BA5314C4-9DD8-404B-B559-055F868EE544}" xr6:coauthVersionLast="47" xr6:coauthVersionMax="47" xr10:uidLastSave="{00000000-0000-0000-0000-000000000000}"/>
  <bookViews>
    <workbookView xWindow="16760" yWindow="680" windowWidth="18640" windowHeight="20260" xr2:uid="{021FACC0-6583-9245-81B4-0A7BE4D712CF}"/>
  </bookViews>
  <sheets>
    <sheet name="27Q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2" l="1"/>
  <c r="N5" i="2"/>
  <c r="O5" i="2"/>
  <c r="U5" i="2"/>
  <c r="V5" i="2"/>
  <c r="W5" i="2"/>
  <c r="AC5" i="2"/>
  <c r="AD5" i="2"/>
  <c r="AE5" i="2"/>
  <c r="AK5" i="2"/>
  <c r="AL5" i="2"/>
  <c r="AM5" i="2"/>
  <c r="AS5" i="2"/>
  <c r="AT5" i="2"/>
  <c r="AU5" i="2"/>
  <c r="BA5" i="2"/>
  <c r="BB5" i="2"/>
  <c r="BC5" i="2"/>
  <c r="BI5" i="2"/>
  <c r="BJ5" i="2"/>
  <c r="BK5" i="2"/>
  <c r="BQ5" i="2"/>
  <c r="BR5" i="2"/>
  <c r="BS5" i="2"/>
  <c r="BY5" i="2"/>
  <c r="BZ5" i="2"/>
  <c r="CA5" i="2"/>
  <c r="CO5" i="2"/>
  <c r="CP5" i="2"/>
  <c r="CQ5" i="2"/>
  <c r="CW5" i="2"/>
  <c r="CX5" i="2"/>
  <c r="CY5" i="2"/>
  <c r="M6" i="2"/>
  <c r="N6" i="2"/>
  <c r="O6" i="2"/>
  <c r="U6" i="2"/>
  <c r="V6" i="2"/>
  <c r="W6" i="2"/>
  <c r="AC6" i="2"/>
  <c r="AD6" i="2"/>
  <c r="AE6" i="2"/>
  <c r="AK6" i="2"/>
  <c r="AL6" i="2"/>
  <c r="AM6" i="2"/>
  <c r="AS6" i="2"/>
  <c r="AT6" i="2"/>
  <c r="AU6" i="2"/>
  <c r="BA6" i="2"/>
  <c r="BB6" i="2"/>
  <c r="BC6" i="2"/>
  <c r="BI6" i="2"/>
  <c r="BJ6" i="2"/>
  <c r="BK6" i="2"/>
  <c r="BQ6" i="2"/>
  <c r="BR6" i="2"/>
  <c r="BS6" i="2"/>
  <c r="BY6" i="2"/>
  <c r="BZ6" i="2"/>
  <c r="CA6" i="2"/>
  <c r="CO6" i="2"/>
  <c r="CP6" i="2"/>
  <c r="CQ6" i="2"/>
  <c r="CW6" i="2"/>
  <c r="CX6" i="2"/>
  <c r="CY6" i="2"/>
  <c r="M7" i="2"/>
  <c r="N7" i="2"/>
  <c r="O7" i="2"/>
  <c r="U7" i="2"/>
  <c r="V7" i="2"/>
  <c r="W7" i="2"/>
  <c r="AC7" i="2"/>
  <c r="AD7" i="2"/>
  <c r="AE7" i="2"/>
  <c r="AK7" i="2"/>
  <c r="AL7" i="2"/>
  <c r="AM7" i="2"/>
  <c r="AS7" i="2"/>
  <c r="AT7" i="2"/>
  <c r="AU7" i="2"/>
  <c r="BA7" i="2"/>
  <c r="BB7" i="2"/>
  <c r="BC7" i="2"/>
  <c r="BI7" i="2"/>
  <c r="BJ7" i="2"/>
  <c r="BK7" i="2"/>
  <c r="BQ7" i="2"/>
  <c r="BR7" i="2"/>
  <c r="BS7" i="2"/>
  <c r="BY7" i="2"/>
  <c r="BZ7" i="2"/>
  <c r="CA7" i="2"/>
  <c r="CO7" i="2"/>
  <c r="CP7" i="2"/>
  <c r="CQ7" i="2"/>
  <c r="CW7" i="2"/>
  <c r="CX7" i="2"/>
  <c r="CY7" i="2"/>
  <c r="M8" i="2"/>
  <c r="N8" i="2"/>
  <c r="O8" i="2"/>
  <c r="U8" i="2"/>
  <c r="V8" i="2"/>
  <c r="W8" i="2"/>
  <c r="AC8" i="2"/>
  <c r="AD8" i="2"/>
  <c r="AE8" i="2"/>
  <c r="AK8" i="2"/>
  <c r="AL8" i="2"/>
  <c r="AM8" i="2"/>
  <c r="AS8" i="2"/>
  <c r="AT8" i="2"/>
  <c r="AU8" i="2"/>
  <c r="BA8" i="2"/>
  <c r="BB8" i="2"/>
  <c r="BC8" i="2"/>
  <c r="BI8" i="2"/>
  <c r="BJ8" i="2"/>
  <c r="BK8" i="2"/>
  <c r="BQ8" i="2"/>
  <c r="BR8" i="2"/>
  <c r="BS8" i="2"/>
  <c r="BY8" i="2"/>
  <c r="BZ8" i="2"/>
  <c r="CA8" i="2"/>
  <c r="CO8" i="2"/>
  <c r="CP8" i="2"/>
  <c r="CQ8" i="2"/>
  <c r="CW8" i="2"/>
  <c r="CX8" i="2"/>
  <c r="CY8" i="2"/>
  <c r="M9" i="2"/>
  <c r="N9" i="2"/>
  <c r="O9" i="2"/>
  <c r="U9" i="2"/>
  <c r="V9" i="2"/>
  <c r="W9" i="2"/>
  <c r="AC9" i="2"/>
  <c r="AD9" i="2"/>
  <c r="AE9" i="2"/>
  <c r="AK9" i="2"/>
  <c r="AL9" i="2"/>
  <c r="AM9" i="2"/>
  <c r="AS9" i="2"/>
  <c r="AT9" i="2"/>
  <c r="AU9" i="2"/>
  <c r="BA9" i="2"/>
  <c r="BB9" i="2"/>
  <c r="BC9" i="2"/>
  <c r="BI9" i="2"/>
  <c r="BJ9" i="2"/>
  <c r="BK9" i="2"/>
  <c r="BQ9" i="2"/>
  <c r="BR9" i="2"/>
  <c r="BS9" i="2"/>
  <c r="BY9" i="2"/>
  <c r="BZ9" i="2"/>
  <c r="CA9" i="2"/>
  <c r="CO9" i="2"/>
  <c r="CP9" i="2"/>
  <c r="CQ9" i="2"/>
  <c r="CW9" i="2"/>
  <c r="CX9" i="2"/>
  <c r="CY9" i="2"/>
  <c r="M10" i="2"/>
  <c r="N10" i="2"/>
  <c r="O10" i="2"/>
  <c r="U10" i="2"/>
  <c r="V10" i="2"/>
  <c r="W10" i="2"/>
  <c r="AC10" i="2"/>
  <c r="AD10" i="2"/>
  <c r="AE10" i="2"/>
  <c r="AK10" i="2"/>
  <c r="AL10" i="2"/>
  <c r="AM10" i="2"/>
  <c r="AS10" i="2"/>
  <c r="AT10" i="2"/>
  <c r="AU10" i="2"/>
  <c r="BA10" i="2"/>
  <c r="BB10" i="2"/>
  <c r="BC10" i="2"/>
  <c r="BI10" i="2"/>
  <c r="BJ10" i="2"/>
  <c r="BK10" i="2"/>
  <c r="BQ10" i="2"/>
  <c r="BR10" i="2"/>
  <c r="BS10" i="2"/>
  <c r="BY10" i="2"/>
  <c r="BZ10" i="2"/>
  <c r="CA10" i="2"/>
  <c r="CO10" i="2"/>
  <c r="CP10" i="2"/>
  <c r="CQ10" i="2"/>
  <c r="CW10" i="2"/>
  <c r="CX10" i="2"/>
  <c r="CY10" i="2"/>
  <c r="M11" i="2"/>
  <c r="N11" i="2"/>
  <c r="O11" i="2"/>
  <c r="U11" i="2"/>
  <c r="V11" i="2"/>
  <c r="W11" i="2"/>
  <c r="AC11" i="2"/>
  <c r="AD11" i="2"/>
  <c r="AE11" i="2"/>
  <c r="AK11" i="2"/>
  <c r="AL11" i="2"/>
  <c r="AM11" i="2"/>
  <c r="AS11" i="2"/>
  <c r="AT11" i="2"/>
  <c r="AU11" i="2"/>
  <c r="BA11" i="2"/>
  <c r="BB11" i="2"/>
  <c r="BC11" i="2"/>
  <c r="BI11" i="2"/>
  <c r="BJ11" i="2"/>
  <c r="BK11" i="2"/>
  <c r="BQ11" i="2"/>
  <c r="BR11" i="2"/>
  <c r="BS11" i="2"/>
  <c r="BY11" i="2"/>
  <c r="BZ11" i="2"/>
  <c r="CA11" i="2"/>
  <c r="CO11" i="2"/>
  <c r="CP11" i="2"/>
  <c r="CQ11" i="2"/>
  <c r="CW11" i="2"/>
  <c r="CX11" i="2"/>
  <c r="CY11" i="2"/>
  <c r="M12" i="2"/>
  <c r="N12" i="2"/>
  <c r="O12" i="2"/>
  <c r="U12" i="2"/>
  <c r="V12" i="2"/>
  <c r="W12" i="2"/>
  <c r="AC12" i="2"/>
  <c r="AD12" i="2"/>
  <c r="AE12" i="2"/>
  <c r="AK12" i="2"/>
  <c r="AL12" i="2"/>
  <c r="AM12" i="2"/>
  <c r="AS12" i="2"/>
  <c r="AT12" i="2"/>
  <c r="AU12" i="2"/>
  <c r="BA12" i="2"/>
  <c r="BB12" i="2"/>
  <c r="BC12" i="2"/>
  <c r="BI12" i="2"/>
  <c r="BJ12" i="2"/>
  <c r="BK12" i="2"/>
  <c r="BQ12" i="2"/>
  <c r="BR12" i="2"/>
  <c r="BS12" i="2"/>
  <c r="BY12" i="2"/>
  <c r="BZ12" i="2"/>
  <c r="CA12" i="2"/>
  <c r="CO12" i="2"/>
  <c r="CP12" i="2"/>
  <c r="CQ12" i="2"/>
  <c r="CW12" i="2"/>
  <c r="CX12" i="2"/>
  <c r="CY12" i="2"/>
  <c r="M13" i="2"/>
  <c r="N13" i="2"/>
  <c r="O13" i="2"/>
  <c r="U13" i="2"/>
  <c r="V13" i="2"/>
  <c r="W13" i="2"/>
  <c r="AC13" i="2"/>
  <c r="AD13" i="2"/>
  <c r="AE13" i="2"/>
  <c r="AK13" i="2"/>
  <c r="AL13" i="2"/>
  <c r="AM13" i="2"/>
  <c r="AS13" i="2"/>
  <c r="AT13" i="2"/>
  <c r="AU13" i="2"/>
  <c r="BA13" i="2"/>
  <c r="BB13" i="2"/>
  <c r="BC13" i="2"/>
  <c r="BI13" i="2"/>
  <c r="BJ13" i="2"/>
  <c r="BK13" i="2"/>
  <c r="BQ13" i="2"/>
  <c r="BR13" i="2"/>
  <c r="BS13" i="2"/>
  <c r="BY13" i="2"/>
  <c r="BZ13" i="2"/>
  <c r="CA13" i="2"/>
  <c r="CO13" i="2"/>
  <c r="CP13" i="2"/>
  <c r="CQ13" i="2"/>
  <c r="CW13" i="2"/>
  <c r="CX13" i="2"/>
  <c r="CY13" i="2"/>
  <c r="M14" i="2"/>
  <c r="N14" i="2"/>
  <c r="O14" i="2"/>
  <c r="U14" i="2"/>
  <c r="V14" i="2"/>
  <c r="W14" i="2"/>
  <c r="AC14" i="2"/>
  <c r="AD14" i="2"/>
  <c r="AE14" i="2"/>
  <c r="AK14" i="2"/>
  <c r="AL14" i="2"/>
  <c r="AM14" i="2"/>
  <c r="AS14" i="2"/>
  <c r="AT14" i="2"/>
  <c r="AU14" i="2"/>
  <c r="BA14" i="2"/>
  <c r="BB14" i="2"/>
  <c r="BC14" i="2"/>
  <c r="BI14" i="2"/>
  <c r="BJ14" i="2"/>
  <c r="BK14" i="2"/>
  <c r="BQ14" i="2"/>
  <c r="BR14" i="2"/>
  <c r="BS14" i="2"/>
  <c r="BY14" i="2"/>
  <c r="BZ14" i="2"/>
  <c r="CA14" i="2"/>
  <c r="CO14" i="2"/>
  <c r="CP14" i="2"/>
  <c r="CQ14" i="2"/>
  <c r="CW14" i="2"/>
  <c r="CX14" i="2"/>
  <c r="CY14" i="2"/>
  <c r="M15" i="2"/>
  <c r="N15" i="2"/>
  <c r="O15" i="2"/>
  <c r="U15" i="2"/>
  <c r="V15" i="2"/>
  <c r="W15" i="2"/>
  <c r="AC15" i="2"/>
  <c r="AD15" i="2"/>
  <c r="AE15" i="2"/>
  <c r="AK15" i="2"/>
  <c r="AL15" i="2"/>
  <c r="AM15" i="2"/>
  <c r="AS15" i="2"/>
  <c r="AT15" i="2"/>
  <c r="AU15" i="2"/>
  <c r="BA15" i="2"/>
  <c r="BB15" i="2"/>
  <c r="BC15" i="2"/>
  <c r="BI15" i="2"/>
  <c r="BJ15" i="2"/>
  <c r="BK15" i="2"/>
  <c r="BQ15" i="2"/>
  <c r="BR15" i="2"/>
  <c r="BS15" i="2"/>
  <c r="BY15" i="2"/>
  <c r="BZ15" i="2"/>
  <c r="CA15" i="2"/>
  <c r="CO15" i="2"/>
  <c r="CP15" i="2"/>
  <c r="CQ15" i="2"/>
  <c r="CW15" i="2"/>
  <c r="CX15" i="2"/>
  <c r="CY15" i="2"/>
  <c r="M16" i="2"/>
  <c r="N16" i="2"/>
  <c r="O16" i="2"/>
  <c r="U16" i="2"/>
  <c r="V16" i="2"/>
  <c r="W16" i="2"/>
  <c r="AC16" i="2"/>
  <c r="AD16" i="2"/>
  <c r="AE16" i="2"/>
  <c r="AK16" i="2"/>
  <c r="AL16" i="2"/>
  <c r="AM16" i="2"/>
  <c r="AS16" i="2"/>
  <c r="AT16" i="2"/>
  <c r="AU16" i="2"/>
  <c r="BA16" i="2"/>
  <c r="BB16" i="2"/>
  <c r="BC16" i="2"/>
  <c r="BI16" i="2"/>
  <c r="BJ16" i="2"/>
  <c r="BK16" i="2"/>
  <c r="BQ16" i="2"/>
  <c r="BR16" i="2"/>
  <c r="BS16" i="2"/>
  <c r="BY16" i="2"/>
  <c r="BZ16" i="2"/>
  <c r="CA16" i="2"/>
  <c r="CO16" i="2"/>
  <c r="CP16" i="2"/>
  <c r="CQ16" i="2"/>
  <c r="CW16" i="2"/>
  <c r="CX16" i="2"/>
  <c r="CY16" i="2"/>
  <c r="M17" i="2"/>
  <c r="N17" i="2"/>
  <c r="O17" i="2"/>
  <c r="U17" i="2"/>
  <c r="V17" i="2"/>
  <c r="W17" i="2"/>
  <c r="AC17" i="2"/>
  <c r="AD17" i="2"/>
  <c r="AE17" i="2"/>
  <c r="AK17" i="2"/>
  <c r="AL17" i="2"/>
  <c r="AM17" i="2"/>
  <c r="AS17" i="2"/>
  <c r="AT17" i="2"/>
  <c r="AU17" i="2"/>
  <c r="BA17" i="2"/>
  <c r="BB17" i="2"/>
  <c r="BC17" i="2"/>
  <c r="BI17" i="2"/>
  <c r="BJ17" i="2"/>
  <c r="BK17" i="2"/>
  <c r="BQ17" i="2"/>
  <c r="BR17" i="2"/>
  <c r="BS17" i="2"/>
  <c r="BY17" i="2"/>
  <c r="BZ17" i="2"/>
  <c r="CA17" i="2"/>
  <c r="CO17" i="2"/>
  <c r="CP17" i="2"/>
  <c r="CQ17" i="2"/>
  <c r="CW17" i="2"/>
  <c r="CX17" i="2"/>
  <c r="CY17" i="2"/>
  <c r="M18" i="2"/>
  <c r="N18" i="2"/>
  <c r="O18" i="2"/>
  <c r="U18" i="2"/>
  <c r="V18" i="2"/>
  <c r="W18" i="2"/>
  <c r="AC18" i="2"/>
  <c r="AD18" i="2"/>
  <c r="AE18" i="2"/>
  <c r="AK18" i="2"/>
  <c r="AL18" i="2"/>
  <c r="AM18" i="2"/>
  <c r="AS18" i="2"/>
  <c r="AT18" i="2"/>
  <c r="AU18" i="2"/>
  <c r="BA18" i="2"/>
  <c r="BB18" i="2"/>
  <c r="BC18" i="2"/>
  <c r="BI18" i="2"/>
  <c r="BJ18" i="2"/>
  <c r="BK18" i="2"/>
  <c r="BQ18" i="2"/>
  <c r="BR18" i="2"/>
  <c r="BS18" i="2"/>
  <c r="BY18" i="2"/>
  <c r="BZ18" i="2"/>
  <c r="CA18" i="2"/>
  <c r="CO18" i="2"/>
  <c r="CP18" i="2"/>
  <c r="CQ18" i="2"/>
  <c r="CW18" i="2"/>
  <c r="CX18" i="2"/>
  <c r="CY18" i="2"/>
  <c r="M19" i="2"/>
  <c r="N19" i="2"/>
  <c r="O19" i="2"/>
  <c r="U19" i="2"/>
  <c r="V19" i="2"/>
  <c r="W19" i="2"/>
  <c r="AC19" i="2"/>
  <c r="AD19" i="2"/>
  <c r="AE19" i="2"/>
  <c r="AK19" i="2"/>
  <c r="AL19" i="2"/>
  <c r="AM19" i="2"/>
  <c r="AS19" i="2"/>
  <c r="AT19" i="2"/>
  <c r="AU19" i="2"/>
  <c r="BA19" i="2"/>
  <c r="BB19" i="2"/>
  <c r="BC19" i="2"/>
  <c r="BI19" i="2"/>
  <c r="BJ19" i="2"/>
  <c r="BK19" i="2"/>
  <c r="BQ19" i="2"/>
  <c r="BR19" i="2"/>
  <c r="BS19" i="2"/>
  <c r="BY19" i="2"/>
  <c r="BZ19" i="2"/>
  <c r="CA19" i="2"/>
  <c r="CO19" i="2"/>
  <c r="CP19" i="2"/>
  <c r="CQ19" i="2"/>
  <c r="CW19" i="2"/>
  <c r="CX19" i="2"/>
  <c r="CY19" i="2"/>
  <c r="M20" i="2"/>
  <c r="N20" i="2"/>
  <c r="O20" i="2"/>
  <c r="U20" i="2"/>
  <c r="V20" i="2"/>
  <c r="W20" i="2"/>
  <c r="AC20" i="2"/>
  <c r="AD20" i="2"/>
  <c r="AE20" i="2"/>
  <c r="AK20" i="2"/>
  <c r="AL20" i="2"/>
  <c r="AM20" i="2"/>
  <c r="AS20" i="2"/>
  <c r="AT20" i="2"/>
  <c r="AU20" i="2"/>
  <c r="BA20" i="2"/>
  <c r="BB20" i="2"/>
  <c r="BC20" i="2"/>
  <c r="BI20" i="2"/>
  <c r="BJ20" i="2"/>
  <c r="BK20" i="2"/>
  <c r="BQ20" i="2"/>
  <c r="BR20" i="2"/>
  <c r="BS20" i="2"/>
  <c r="BY20" i="2"/>
  <c r="BZ20" i="2"/>
  <c r="CA20" i="2"/>
  <c r="CO20" i="2"/>
  <c r="CP20" i="2"/>
  <c r="CQ20" i="2"/>
  <c r="CW20" i="2"/>
  <c r="CX20" i="2"/>
  <c r="CY20" i="2"/>
  <c r="M21" i="2"/>
  <c r="N21" i="2"/>
  <c r="O21" i="2"/>
  <c r="U21" i="2"/>
  <c r="V21" i="2"/>
  <c r="W21" i="2"/>
  <c r="AC21" i="2"/>
  <c r="AD21" i="2"/>
  <c r="AE21" i="2"/>
  <c r="AK21" i="2"/>
  <c r="AL21" i="2"/>
  <c r="AM21" i="2"/>
  <c r="AS21" i="2"/>
  <c r="AT21" i="2"/>
  <c r="AU21" i="2"/>
  <c r="BA21" i="2"/>
  <c r="BB21" i="2"/>
  <c r="BC21" i="2"/>
  <c r="BI21" i="2"/>
  <c r="BJ21" i="2"/>
  <c r="BK21" i="2"/>
  <c r="BQ21" i="2"/>
  <c r="BR21" i="2"/>
  <c r="BS21" i="2"/>
  <c r="BY21" i="2"/>
  <c r="BZ21" i="2"/>
  <c r="CA21" i="2"/>
  <c r="CO21" i="2"/>
  <c r="CP21" i="2"/>
  <c r="CQ21" i="2"/>
  <c r="CW21" i="2"/>
  <c r="CX21" i="2"/>
  <c r="CY21" i="2"/>
  <c r="M22" i="2"/>
  <c r="N22" i="2"/>
  <c r="O22" i="2"/>
  <c r="U22" i="2"/>
  <c r="V22" i="2"/>
  <c r="W22" i="2"/>
  <c r="AC22" i="2"/>
  <c r="AD22" i="2"/>
  <c r="AE22" i="2"/>
  <c r="AK22" i="2"/>
  <c r="AL22" i="2"/>
  <c r="AM22" i="2"/>
  <c r="AS22" i="2"/>
  <c r="AT22" i="2"/>
  <c r="AU22" i="2"/>
  <c r="BA22" i="2"/>
  <c r="BB22" i="2"/>
  <c r="BC22" i="2"/>
  <c r="BI22" i="2"/>
  <c r="BJ22" i="2"/>
  <c r="BK22" i="2"/>
  <c r="BQ22" i="2"/>
  <c r="BR22" i="2"/>
  <c r="BS22" i="2"/>
  <c r="BY22" i="2"/>
  <c r="BZ22" i="2"/>
  <c r="CA22" i="2"/>
  <c r="CO22" i="2"/>
  <c r="CP22" i="2"/>
  <c r="CQ22" i="2"/>
  <c r="CW22" i="2"/>
  <c r="CX22" i="2"/>
  <c r="CY22" i="2"/>
  <c r="M23" i="2"/>
  <c r="N23" i="2"/>
  <c r="O23" i="2"/>
  <c r="U23" i="2"/>
  <c r="V23" i="2"/>
  <c r="W23" i="2"/>
  <c r="AC23" i="2"/>
  <c r="AD23" i="2"/>
  <c r="AE23" i="2"/>
  <c r="AK23" i="2"/>
  <c r="AL23" i="2"/>
  <c r="AM23" i="2"/>
  <c r="AS23" i="2"/>
  <c r="AT23" i="2"/>
  <c r="AU23" i="2"/>
  <c r="BA23" i="2"/>
  <c r="BB23" i="2"/>
  <c r="BC23" i="2"/>
  <c r="BI23" i="2"/>
  <c r="BJ23" i="2"/>
  <c r="BK23" i="2"/>
  <c r="BQ23" i="2"/>
  <c r="BR23" i="2"/>
  <c r="BS23" i="2"/>
  <c r="BY23" i="2"/>
  <c r="BZ23" i="2"/>
  <c r="CA23" i="2"/>
  <c r="CO23" i="2"/>
  <c r="CP23" i="2"/>
  <c r="CQ23" i="2"/>
  <c r="CW23" i="2"/>
  <c r="CX23" i="2"/>
  <c r="CY23" i="2"/>
  <c r="M24" i="2"/>
  <c r="N24" i="2"/>
  <c r="O24" i="2"/>
  <c r="U24" i="2"/>
  <c r="V24" i="2"/>
  <c r="W24" i="2"/>
  <c r="AC24" i="2"/>
  <c r="AD24" i="2"/>
  <c r="AE24" i="2"/>
  <c r="AK24" i="2"/>
  <c r="AL24" i="2"/>
  <c r="AM24" i="2"/>
  <c r="AS24" i="2"/>
  <c r="AT24" i="2"/>
  <c r="AU24" i="2"/>
  <c r="BA24" i="2"/>
  <c r="BB24" i="2"/>
  <c r="BC24" i="2"/>
  <c r="BI24" i="2"/>
  <c r="BJ24" i="2"/>
  <c r="BK24" i="2"/>
  <c r="BQ24" i="2"/>
  <c r="BR24" i="2"/>
  <c r="BS24" i="2"/>
  <c r="BY24" i="2"/>
  <c r="BZ24" i="2"/>
  <c r="CA24" i="2"/>
  <c r="CO24" i="2"/>
  <c r="CP24" i="2"/>
  <c r="CQ24" i="2"/>
  <c r="CW24" i="2"/>
  <c r="CX24" i="2"/>
  <c r="CY24" i="2"/>
  <c r="M25" i="2"/>
  <c r="N25" i="2"/>
  <c r="O25" i="2"/>
  <c r="U25" i="2"/>
  <c r="V25" i="2"/>
  <c r="W25" i="2"/>
  <c r="AC25" i="2"/>
  <c r="AD25" i="2"/>
  <c r="AE25" i="2"/>
  <c r="AK25" i="2"/>
  <c r="AL25" i="2"/>
  <c r="AM25" i="2"/>
  <c r="AS25" i="2"/>
  <c r="AT25" i="2"/>
  <c r="AU25" i="2"/>
  <c r="BA25" i="2"/>
  <c r="BB25" i="2"/>
  <c r="BC25" i="2"/>
  <c r="BI25" i="2"/>
  <c r="BJ25" i="2"/>
  <c r="BK25" i="2"/>
  <c r="BQ25" i="2"/>
  <c r="BR25" i="2"/>
  <c r="BS25" i="2"/>
  <c r="BY25" i="2"/>
  <c r="BZ25" i="2"/>
  <c r="CA25" i="2"/>
  <c r="CO25" i="2"/>
  <c r="CP25" i="2"/>
  <c r="CQ25" i="2"/>
  <c r="CW25" i="2"/>
  <c r="CX25" i="2"/>
  <c r="CY25" i="2"/>
  <c r="M26" i="2"/>
  <c r="N26" i="2"/>
  <c r="O26" i="2"/>
  <c r="U26" i="2"/>
  <c r="V26" i="2"/>
  <c r="W26" i="2"/>
  <c r="AC26" i="2"/>
  <c r="AD26" i="2"/>
  <c r="AE26" i="2"/>
  <c r="AK26" i="2"/>
  <c r="AL26" i="2"/>
  <c r="AM26" i="2"/>
  <c r="AS26" i="2"/>
  <c r="AT26" i="2"/>
  <c r="AU26" i="2"/>
  <c r="BA26" i="2"/>
  <c r="BB26" i="2"/>
  <c r="BC26" i="2"/>
  <c r="BI26" i="2"/>
  <c r="BJ26" i="2"/>
  <c r="BK26" i="2"/>
  <c r="BQ26" i="2"/>
  <c r="BR26" i="2"/>
  <c r="BS26" i="2"/>
  <c r="BY26" i="2"/>
  <c r="BZ26" i="2"/>
  <c r="CA26" i="2"/>
  <c r="CO26" i="2"/>
  <c r="CP26" i="2"/>
  <c r="CQ26" i="2"/>
  <c r="CW26" i="2"/>
  <c r="CX26" i="2"/>
  <c r="CY26" i="2"/>
  <c r="M27" i="2"/>
  <c r="N27" i="2"/>
  <c r="O27" i="2"/>
  <c r="U27" i="2"/>
  <c r="V27" i="2"/>
  <c r="W27" i="2"/>
  <c r="AC27" i="2"/>
  <c r="AD27" i="2"/>
  <c r="AE27" i="2"/>
  <c r="AK27" i="2"/>
  <c r="AL27" i="2"/>
  <c r="AM27" i="2"/>
  <c r="AS27" i="2"/>
  <c r="AT27" i="2"/>
  <c r="AU27" i="2"/>
  <c r="BA27" i="2"/>
  <c r="BB27" i="2"/>
  <c r="BC27" i="2"/>
  <c r="BI27" i="2"/>
  <c r="BJ27" i="2"/>
  <c r="BK27" i="2"/>
  <c r="BQ27" i="2"/>
  <c r="BR27" i="2"/>
  <c r="BS27" i="2"/>
  <c r="BY27" i="2"/>
  <c r="BZ27" i="2"/>
  <c r="CA27" i="2"/>
  <c r="CO27" i="2"/>
  <c r="CP27" i="2"/>
  <c r="CQ27" i="2"/>
  <c r="CW27" i="2"/>
  <c r="CX27" i="2"/>
  <c r="CY27" i="2"/>
  <c r="M28" i="2"/>
  <c r="N28" i="2"/>
  <c r="O28" i="2"/>
  <c r="U28" i="2"/>
  <c r="V28" i="2"/>
  <c r="W28" i="2"/>
  <c r="AC28" i="2"/>
  <c r="AD28" i="2"/>
  <c r="AE28" i="2"/>
  <c r="AK28" i="2"/>
  <c r="AL28" i="2"/>
  <c r="AM28" i="2"/>
  <c r="AS28" i="2"/>
  <c r="AT28" i="2"/>
  <c r="AU28" i="2"/>
  <c r="BA28" i="2"/>
  <c r="BB28" i="2"/>
  <c r="BC28" i="2"/>
  <c r="BI28" i="2"/>
  <c r="BJ28" i="2"/>
  <c r="BK28" i="2"/>
  <c r="BQ28" i="2"/>
  <c r="BR28" i="2"/>
  <c r="BS28" i="2"/>
  <c r="BY28" i="2"/>
  <c r="BZ28" i="2"/>
  <c r="CA28" i="2"/>
  <c r="CO28" i="2"/>
  <c r="CP28" i="2"/>
  <c r="CQ28" i="2"/>
  <c r="CW28" i="2"/>
  <c r="CX28" i="2"/>
  <c r="CY28" i="2"/>
  <c r="M29" i="2"/>
  <c r="N29" i="2"/>
  <c r="O29" i="2"/>
  <c r="U29" i="2"/>
  <c r="V29" i="2"/>
  <c r="W29" i="2"/>
  <c r="AC29" i="2"/>
  <c r="AD29" i="2"/>
  <c r="AE29" i="2"/>
  <c r="AK29" i="2"/>
  <c r="AL29" i="2"/>
  <c r="AM29" i="2"/>
  <c r="AS29" i="2"/>
  <c r="AT29" i="2"/>
  <c r="AU29" i="2"/>
  <c r="BA29" i="2"/>
  <c r="BB29" i="2"/>
  <c r="BC29" i="2"/>
  <c r="BI29" i="2"/>
  <c r="BJ29" i="2"/>
  <c r="BK29" i="2"/>
  <c r="BQ29" i="2"/>
  <c r="BR29" i="2"/>
  <c r="BS29" i="2"/>
  <c r="BY29" i="2"/>
  <c r="BZ29" i="2"/>
  <c r="CA29" i="2"/>
  <c r="CO29" i="2"/>
  <c r="CP29" i="2"/>
  <c r="CQ29" i="2"/>
  <c r="CW29" i="2"/>
  <c r="CX29" i="2"/>
  <c r="CY29" i="2"/>
  <c r="M30" i="2"/>
  <c r="N30" i="2"/>
  <c r="O30" i="2"/>
  <c r="U30" i="2"/>
  <c r="V30" i="2"/>
  <c r="W30" i="2"/>
  <c r="AC30" i="2"/>
  <c r="AD30" i="2"/>
  <c r="AE30" i="2"/>
  <c r="AK30" i="2"/>
  <c r="AL30" i="2"/>
  <c r="AM30" i="2"/>
  <c r="AS30" i="2"/>
  <c r="AT30" i="2"/>
  <c r="AU30" i="2"/>
  <c r="BA30" i="2"/>
  <c r="BB30" i="2"/>
  <c r="BC30" i="2"/>
  <c r="BI30" i="2"/>
  <c r="BJ30" i="2"/>
  <c r="BK30" i="2"/>
  <c r="BQ30" i="2"/>
  <c r="BR30" i="2"/>
  <c r="BS30" i="2"/>
  <c r="BY30" i="2"/>
  <c r="BZ30" i="2"/>
  <c r="CA30" i="2"/>
  <c r="CO30" i="2"/>
  <c r="CP30" i="2"/>
  <c r="CQ30" i="2"/>
  <c r="CW30" i="2"/>
  <c r="CX30" i="2"/>
  <c r="CY30" i="2"/>
  <c r="M31" i="2"/>
  <c r="N31" i="2"/>
  <c r="O31" i="2"/>
  <c r="U31" i="2"/>
  <c r="V31" i="2"/>
  <c r="W31" i="2"/>
  <c r="AC31" i="2"/>
  <c r="AD31" i="2"/>
  <c r="AE31" i="2"/>
  <c r="AK31" i="2"/>
  <c r="AL31" i="2"/>
  <c r="AM31" i="2"/>
  <c r="AS31" i="2"/>
  <c r="AT31" i="2"/>
  <c r="AU31" i="2"/>
  <c r="BA31" i="2"/>
  <c r="BB31" i="2"/>
  <c r="BC31" i="2"/>
  <c r="BI31" i="2"/>
  <c r="BJ31" i="2"/>
  <c r="BK31" i="2"/>
  <c r="BQ31" i="2"/>
  <c r="BR31" i="2"/>
  <c r="BS31" i="2"/>
  <c r="BY31" i="2"/>
  <c r="BZ31" i="2"/>
  <c r="CA31" i="2"/>
  <c r="CO31" i="2"/>
  <c r="CP31" i="2"/>
  <c r="CQ31" i="2"/>
  <c r="CW31" i="2"/>
  <c r="CX31" i="2"/>
  <c r="CY31" i="2"/>
  <c r="M32" i="2"/>
  <c r="N32" i="2"/>
  <c r="O32" i="2"/>
  <c r="U32" i="2"/>
  <c r="V32" i="2"/>
  <c r="W32" i="2"/>
  <c r="AC32" i="2"/>
  <c r="AD32" i="2"/>
  <c r="AE32" i="2"/>
  <c r="AK32" i="2"/>
  <c r="AL32" i="2"/>
  <c r="AM32" i="2"/>
  <c r="AS32" i="2"/>
  <c r="AT32" i="2"/>
  <c r="AU32" i="2"/>
  <c r="BA32" i="2"/>
  <c r="BB32" i="2"/>
  <c r="BC32" i="2"/>
  <c r="BI32" i="2"/>
  <c r="BJ32" i="2"/>
  <c r="BK32" i="2"/>
  <c r="BQ32" i="2"/>
  <c r="BR32" i="2"/>
  <c r="BS32" i="2"/>
  <c r="BY32" i="2"/>
  <c r="BZ32" i="2"/>
  <c r="CA32" i="2"/>
  <c r="CO32" i="2"/>
  <c r="CP32" i="2"/>
  <c r="CQ32" i="2"/>
  <c r="CW32" i="2"/>
  <c r="CX32" i="2"/>
  <c r="CY32" i="2"/>
  <c r="M33" i="2"/>
  <c r="N33" i="2"/>
  <c r="O33" i="2"/>
  <c r="U33" i="2"/>
  <c r="V33" i="2"/>
  <c r="W33" i="2"/>
  <c r="AC33" i="2"/>
  <c r="AD33" i="2"/>
  <c r="AE33" i="2"/>
  <c r="AK33" i="2"/>
  <c r="AL33" i="2"/>
  <c r="AM33" i="2"/>
  <c r="AS33" i="2"/>
  <c r="AT33" i="2"/>
  <c r="AU33" i="2"/>
  <c r="BA33" i="2"/>
  <c r="BB33" i="2"/>
  <c r="BC33" i="2"/>
  <c r="BI33" i="2"/>
  <c r="BJ33" i="2"/>
  <c r="BK33" i="2"/>
  <c r="BQ33" i="2"/>
  <c r="BR33" i="2"/>
  <c r="BS33" i="2"/>
  <c r="BY33" i="2"/>
  <c r="BZ33" i="2"/>
  <c r="CA33" i="2"/>
  <c r="CO33" i="2"/>
  <c r="CP33" i="2"/>
  <c r="CQ33" i="2"/>
  <c r="CW33" i="2"/>
  <c r="CX33" i="2"/>
  <c r="CY33" i="2"/>
  <c r="M34" i="2"/>
  <c r="N34" i="2"/>
  <c r="O34" i="2"/>
  <c r="U34" i="2"/>
  <c r="V34" i="2"/>
  <c r="W34" i="2"/>
  <c r="AC34" i="2"/>
  <c r="AD34" i="2"/>
  <c r="AE34" i="2"/>
  <c r="AK34" i="2"/>
  <c r="AL34" i="2"/>
  <c r="AM34" i="2"/>
  <c r="AS34" i="2"/>
  <c r="AT34" i="2"/>
  <c r="AU34" i="2"/>
  <c r="BA34" i="2"/>
  <c r="BB34" i="2"/>
  <c r="BC34" i="2"/>
  <c r="BI34" i="2"/>
  <c r="BJ34" i="2"/>
  <c r="BK34" i="2"/>
  <c r="BQ34" i="2"/>
  <c r="BR34" i="2"/>
  <c r="BS34" i="2"/>
  <c r="BY34" i="2"/>
  <c r="BZ34" i="2"/>
  <c r="CA34" i="2"/>
  <c r="CO34" i="2"/>
  <c r="CP34" i="2"/>
  <c r="CQ34" i="2"/>
  <c r="CW34" i="2"/>
  <c r="CX34" i="2"/>
  <c r="CY34" i="2"/>
  <c r="M35" i="2"/>
  <c r="N35" i="2"/>
  <c r="O35" i="2"/>
  <c r="U35" i="2"/>
  <c r="V35" i="2"/>
  <c r="W35" i="2"/>
  <c r="AC35" i="2"/>
  <c r="AD35" i="2"/>
  <c r="AE35" i="2"/>
  <c r="AK35" i="2"/>
  <c r="AL35" i="2"/>
  <c r="AM35" i="2"/>
  <c r="AS35" i="2"/>
  <c r="AT35" i="2"/>
  <c r="AU35" i="2"/>
  <c r="BA35" i="2"/>
  <c r="BB35" i="2"/>
  <c r="BC35" i="2"/>
  <c r="BI35" i="2"/>
  <c r="BJ35" i="2"/>
  <c r="BK35" i="2"/>
  <c r="BQ35" i="2"/>
  <c r="BR35" i="2"/>
  <c r="BS35" i="2"/>
  <c r="BY35" i="2"/>
  <c r="BZ35" i="2"/>
  <c r="CA35" i="2"/>
  <c r="CO35" i="2"/>
  <c r="CP35" i="2"/>
  <c r="CQ35" i="2"/>
  <c r="CW35" i="2"/>
  <c r="CX35" i="2"/>
  <c r="CY35" i="2"/>
  <c r="M36" i="2"/>
  <c r="N36" i="2"/>
  <c r="O36" i="2"/>
  <c r="U36" i="2"/>
  <c r="V36" i="2"/>
  <c r="W36" i="2"/>
  <c r="AC36" i="2"/>
  <c r="AD36" i="2"/>
  <c r="AE36" i="2"/>
  <c r="AK36" i="2"/>
  <c r="AL36" i="2"/>
  <c r="AM36" i="2"/>
  <c r="AS36" i="2"/>
  <c r="AT36" i="2"/>
  <c r="AU36" i="2"/>
  <c r="BA36" i="2"/>
  <c r="BB36" i="2"/>
  <c r="BC36" i="2"/>
  <c r="BI36" i="2"/>
  <c r="BJ36" i="2"/>
  <c r="BK36" i="2"/>
  <c r="BQ36" i="2"/>
  <c r="BR36" i="2"/>
  <c r="BS36" i="2"/>
  <c r="BY36" i="2"/>
  <c r="BZ36" i="2"/>
  <c r="CA36" i="2"/>
  <c r="CO36" i="2"/>
  <c r="CP36" i="2"/>
  <c r="CQ36" i="2"/>
  <c r="CW36" i="2"/>
  <c r="CX36" i="2"/>
  <c r="CY36" i="2"/>
  <c r="M37" i="2"/>
  <c r="N37" i="2"/>
  <c r="O37" i="2"/>
  <c r="U37" i="2"/>
  <c r="V37" i="2"/>
  <c r="W37" i="2"/>
  <c r="AC37" i="2"/>
  <c r="AD37" i="2"/>
  <c r="AE37" i="2"/>
  <c r="AK37" i="2"/>
  <c r="AL37" i="2"/>
  <c r="AM37" i="2"/>
  <c r="AS37" i="2"/>
  <c r="AT37" i="2"/>
  <c r="AU37" i="2"/>
  <c r="BA37" i="2"/>
  <c r="BB37" i="2"/>
  <c r="BC37" i="2"/>
  <c r="BI37" i="2"/>
  <c r="BJ37" i="2"/>
  <c r="BK37" i="2"/>
  <c r="BQ37" i="2"/>
  <c r="BR37" i="2"/>
  <c r="BS37" i="2"/>
  <c r="BY37" i="2"/>
  <c r="BZ37" i="2"/>
  <c r="CA37" i="2"/>
  <c r="CO37" i="2"/>
  <c r="CP37" i="2"/>
  <c r="CQ37" i="2"/>
  <c r="CW37" i="2"/>
  <c r="CX37" i="2"/>
  <c r="CY37" i="2"/>
  <c r="M38" i="2"/>
  <c r="N38" i="2"/>
  <c r="O38" i="2"/>
  <c r="U38" i="2"/>
  <c r="V38" i="2"/>
  <c r="W38" i="2"/>
  <c r="AC38" i="2"/>
  <c r="AD38" i="2"/>
  <c r="AE38" i="2"/>
  <c r="AK38" i="2"/>
  <c r="AL38" i="2"/>
  <c r="AM38" i="2"/>
  <c r="AS38" i="2"/>
  <c r="AT38" i="2"/>
  <c r="AU38" i="2"/>
  <c r="BA38" i="2"/>
  <c r="BB38" i="2"/>
  <c r="BC38" i="2"/>
  <c r="BI38" i="2"/>
  <c r="BJ38" i="2"/>
  <c r="BK38" i="2"/>
  <c r="BQ38" i="2"/>
  <c r="BR38" i="2"/>
  <c r="BS38" i="2"/>
  <c r="BY38" i="2"/>
  <c r="BZ38" i="2"/>
  <c r="CA38" i="2"/>
  <c r="CO38" i="2"/>
  <c r="CP38" i="2"/>
  <c r="CQ38" i="2"/>
  <c r="CW38" i="2"/>
  <c r="CX38" i="2"/>
  <c r="CY38" i="2"/>
  <c r="M39" i="2"/>
  <c r="N39" i="2"/>
  <c r="O39" i="2"/>
  <c r="U39" i="2"/>
  <c r="V39" i="2"/>
  <c r="W39" i="2"/>
  <c r="AC39" i="2"/>
  <c r="AD39" i="2"/>
  <c r="AE39" i="2"/>
  <c r="AK39" i="2"/>
  <c r="AL39" i="2"/>
  <c r="AM39" i="2"/>
  <c r="AS39" i="2"/>
  <c r="AT39" i="2"/>
  <c r="AU39" i="2"/>
  <c r="BA39" i="2"/>
  <c r="BB39" i="2"/>
  <c r="BC39" i="2"/>
  <c r="BI39" i="2"/>
  <c r="BJ39" i="2"/>
  <c r="BK39" i="2"/>
  <c r="BQ39" i="2"/>
  <c r="BR39" i="2"/>
  <c r="BS39" i="2"/>
  <c r="BY39" i="2"/>
  <c r="BZ39" i="2"/>
  <c r="CA39" i="2"/>
  <c r="CO39" i="2"/>
  <c r="CP39" i="2"/>
  <c r="CQ39" i="2"/>
  <c r="CW39" i="2"/>
  <c r="CX39" i="2"/>
  <c r="CY39" i="2"/>
  <c r="M40" i="2"/>
  <c r="N40" i="2"/>
  <c r="O40" i="2"/>
  <c r="U40" i="2"/>
  <c r="V40" i="2"/>
  <c r="W40" i="2"/>
  <c r="AC40" i="2"/>
  <c r="AD40" i="2"/>
  <c r="AE40" i="2"/>
  <c r="AK40" i="2"/>
  <c r="AL40" i="2"/>
  <c r="AM40" i="2"/>
  <c r="AS40" i="2"/>
  <c r="AT40" i="2"/>
  <c r="AU40" i="2"/>
  <c r="BA40" i="2"/>
  <c r="BB40" i="2"/>
  <c r="BC40" i="2"/>
  <c r="BI40" i="2"/>
  <c r="BJ40" i="2"/>
  <c r="BK40" i="2"/>
  <c r="BQ40" i="2"/>
  <c r="BR40" i="2"/>
  <c r="BS40" i="2"/>
  <c r="BY40" i="2"/>
  <c r="BZ40" i="2"/>
  <c r="CA40" i="2"/>
  <c r="CO40" i="2"/>
  <c r="CP40" i="2"/>
  <c r="CQ40" i="2"/>
  <c r="CW40" i="2"/>
  <c r="CX40" i="2"/>
  <c r="CY40" i="2"/>
  <c r="M41" i="2"/>
  <c r="N41" i="2"/>
  <c r="O41" i="2"/>
  <c r="U41" i="2"/>
  <c r="V41" i="2"/>
  <c r="W41" i="2"/>
  <c r="AC41" i="2"/>
  <c r="AD41" i="2"/>
  <c r="AE41" i="2"/>
  <c r="AK41" i="2"/>
  <c r="AL41" i="2"/>
  <c r="AM41" i="2"/>
  <c r="AS41" i="2"/>
  <c r="AT41" i="2"/>
  <c r="AU41" i="2"/>
  <c r="BA41" i="2"/>
  <c r="BB41" i="2"/>
  <c r="BC41" i="2"/>
  <c r="BI41" i="2"/>
  <c r="BJ41" i="2"/>
  <c r="BK41" i="2"/>
  <c r="BQ41" i="2"/>
  <c r="BR41" i="2"/>
  <c r="BS41" i="2"/>
  <c r="BY41" i="2"/>
  <c r="BZ41" i="2"/>
  <c r="CA41" i="2"/>
  <c r="CO41" i="2"/>
  <c r="CP41" i="2"/>
  <c r="CQ41" i="2"/>
  <c r="CW41" i="2"/>
  <c r="CX41" i="2"/>
  <c r="CY41" i="2"/>
  <c r="M42" i="2"/>
  <c r="N42" i="2"/>
  <c r="O42" i="2"/>
  <c r="U42" i="2"/>
  <c r="V42" i="2"/>
  <c r="W42" i="2"/>
  <c r="AC42" i="2"/>
  <c r="AD42" i="2"/>
  <c r="AE42" i="2"/>
  <c r="AK42" i="2"/>
  <c r="AL42" i="2"/>
  <c r="AM42" i="2"/>
  <c r="AS42" i="2"/>
  <c r="AT42" i="2"/>
  <c r="AU42" i="2"/>
  <c r="BA42" i="2"/>
  <c r="BB42" i="2"/>
  <c r="BC42" i="2"/>
  <c r="BI42" i="2"/>
  <c r="BJ42" i="2"/>
  <c r="BK42" i="2"/>
  <c r="BQ42" i="2"/>
  <c r="BR42" i="2"/>
  <c r="BS42" i="2"/>
  <c r="BY42" i="2"/>
  <c r="BZ42" i="2"/>
  <c r="CA42" i="2"/>
  <c r="CO42" i="2"/>
  <c r="CP42" i="2"/>
  <c r="CQ42" i="2"/>
  <c r="CW42" i="2"/>
  <c r="CX42" i="2"/>
  <c r="CY42" i="2"/>
  <c r="M43" i="2"/>
  <c r="N43" i="2"/>
  <c r="O43" i="2"/>
  <c r="U43" i="2"/>
  <c r="V43" i="2"/>
  <c r="W43" i="2"/>
  <c r="AC43" i="2"/>
  <c r="AD43" i="2"/>
  <c r="AE43" i="2"/>
  <c r="AK43" i="2"/>
  <c r="AL43" i="2"/>
  <c r="AM43" i="2"/>
  <c r="AS43" i="2"/>
  <c r="AT43" i="2"/>
  <c r="AU43" i="2"/>
  <c r="BA43" i="2"/>
  <c r="BB43" i="2"/>
  <c r="BC43" i="2"/>
  <c r="BI43" i="2"/>
  <c r="BJ43" i="2"/>
  <c r="BK43" i="2"/>
  <c r="BQ43" i="2"/>
  <c r="BR43" i="2"/>
  <c r="BS43" i="2"/>
  <c r="BY43" i="2"/>
  <c r="BZ43" i="2"/>
  <c r="CA43" i="2"/>
  <c r="CO43" i="2"/>
  <c r="CP43" i="2"/>
  <c r="CQ43" i="2"/>
  <c r="CW43" i="2"/>
  <c r="CX43" i="2"/>
  <c r="CY43" i="2"/>
  <c r="M44" i="2"/>
  <c r="N44" i="2"/>
  <c r="O44" i="2"/>
  <c r="U44" i="2"/>
  <c r="V44" i="2"/>
  <c r="W44" i="2"/>
  <c r="AC44" i="2"/>
  <c r="AD44" i="2"/>
  <c r="AE44" i="2"/>
  <c r="AK44" i="2"/>
  <c r="AL44" i="2"/>
  <c r="AM44" i="2"/>
  <c r="AS44" i="2"/>
  <c r="AT44" i="2"/>
  <c r="AU44" i="2"/>
  <c r="BA44" i="2"/>
  <c r="BB44" i="2"/>
  <c r="BC44" i="2"/>
  <c r="BI44" i="2"/>
  <c r="BJ44" i="2"/>
  <c r="BK44" i="2"/>
  <c r="BQ44" i="2"/>
  <c r="BR44" i="2"/>
  <c r="BS44" i="2"/>
  <c r="BY44" i="2"/>
  <c r="BZ44" i="2"/>
  <c r="CA44" i="2"/>
  <c r="CO44" i="2"/>
  <c r="CP44" i="2"/>
  <c r="CQ44" i="2"/>
  <c r="CW44" i="2"/>
  <c r="CX44" i="2"/>
  <c r="CY44" i="2"/>
  <c r="M45" i="2"/>
  <c r="N45" i="2"/>
  <c r="O45" i="2"/>
  <c r="U45" i="2"/>
  <c r="V45" i="2"/>
  <c r="W45" i="2"/>
  <c r="AC45" i="2"/>
  <c r="AD45" i="2"/>
  <c r="AE45" i="2"/>
  <c r="AK45" i="2"/>
  <c r="AL45" i="2"/>
  <c r="AM45" i="2"/>
  <c r="AS45" i="2"/>
  <c r="AT45" i="2"/>
  <c r="AU45" i="2"/>
  <c r="BA45" i="2"/>
  <c r="BB45" i="2"/>
  <c r="BC45" i="2"/>
  <c r="BI45" i="2"/>
  <c r="BJ45" i="2"/>
  <c r="BK45" i="2"/>
  <c r="BQ45" i="2"/>
  <c r="BR45" i="2"/>
  <c r="BS45" i="2"/>
  <c r="BY45" i="2"/>
  <c r="BZ45" i="2"/>
  <c r="CA45" i="2"/>
  <c r="CO45" i="2"/>
  <c r="CP45" i="2"/>
  <c r="CQ45" i="2"/>
  <c r="CW45" i="2"/>
  <c r="CX45" i="2"/>
  <c r="CY45" i="2"/>
  <c r="M46" i="2"/>
  <c r="N46" i="2"/>
  <c r="O46" i="2"/>
  <c r="U46" i="2"/>
  <c r="V46" i="2"/>
  <c r="W46" i="2"/>
  <c r="AC46" i="2"/>
  <c r="AD46" i="2"/>
  <c r="AE46" i="2"/>
  <c r="AK46" i="2"/>
  <c r="AL46" i="2"/>
  <c r="AM46" i="2"/>
  <c r="AS46" i="2"/>
  <c r="AT46" i="2"/>
  <c r="AU46" i="2"/>
  <c r="BA46" i="2"/>
  <c r="BB46" i="2"/>
  <c r="BC46" i="2"/>
  <c r="BI46" i="2"/>
  <c r="BJ46" i="2"/>
  <c r="BK46" i="2"/>
  <c r="BQ46" i="2"/>
  <c r="BR46" i="2"/>
  <c r="BS46" i="2"/>
  <c r="BY46" i="2"/>
  <c r="BZ46" i="2"/>
  <c r="CA46" i="2"/>
  <c r="CO46" i="2"/>
  <c r="CP46" i="2"/>
  <c r="CQ46" i="2"/>
  <c r="CW46" i="2"/>
  <c r="CX46" i="2"/>
  <c r="CY46" i="2"/>
  <c r="M47" i="2"/>
  <c r="N47" i="2"/>
  <c r="O47" i="2"/>
  <c r="U47" i="2"/>
  <c r="V47" i="2"/>
  <c r="W47" i="2"/>
  <c r="AC47" i="2"/>
  <c r="AD47" i="2"/>
  <c r="AE47" i="2"/>
  <c r="AK47" i="2"/>
  <c r="AL47" i="2"/>
  <c r="AM47" i="2"/>
  <c r="AS47" i="2"/>
  <c r="AT47" i="2"/>
  <c r="AU47" i="2"/>
  <c r="BA47" i="2"/>
  <c r="BB47" i="2"/>
  <c r="BC47" i="2"/>
  <c r="BI47" i="2"/>
  <c r="BJ47" i="2"/>
  <c r="BK47" i="2"/>
  <c r="BQ47" i="2"/>
  <c r="BR47" i="2"/>
  <c r="BS47" i="2"/>
  <c r="BY47" i="2"/>
  <c r="BZ47" i="2"/>
  <c r="CA47" i="2"/>
  <c r="CO47" i="2"/>
  <c r="CP47" i="2"/>
  <c r="CQ47" i="2"/>
  <c r="CW47" i="2"/>
  <c r="CX47" i="2"/>
  <c r="CY47" i="2"/>
  <c r="M48" i="2"/>
  <c r="N48" i="2"/>
  <c r="O48" i="2"/>
  <c r="U48" i="2"/>
  <c r="V48" i="2"/>
  <c r="W48" i="2"/>
  <c r="AC48" i="2"/>
  <c r="AD48" i="2"/>
  <c r="AE48" i="2"/>
  <c r="AK48" i="2"/>
  <c r="AL48" i="2"/>
  <c r="AM48" i="2"/>
  <c r="AS48" i="2"/>
  <c r="AT48" i="2"/>
  <c r="AU48" i="2"/>
  <c r="BA48" i="2"/>
  <c r="BB48" i="2"/>
  <c r="BC48" i="2"/>
  <c r="BI48" i="2"/>
  <c r="BJ48" i="2"/>
  <c r="BK48" i="2"/>
  <c r="BQ48" i="2"/>
  <c r="BR48" i="2"/>
  <c r="BS48" i="2"/>
  <c r="BY48" i="2"/>
  <c r="BZ48" i="2"/>
  <c r="CA48" i="2"/>
  <c r="CO48" i="2"/>
  <c r="CP48" i="2"/>
  <c r="CQ48" i="2"/>
  <c r="CW48" i="2"/>
  <c r="CX48" i="2"/>
  <c r="CY48" i="2"/>
  <c r="M49" i="2"/>
  <c r="N49" i="2"/>
  <c r="O49" i="2"/>
  <c r="U49" i="2"/>
  <c r="V49" i="2"/>
  <c r="W49" i="2"/>
  <c r="AC49" i="2"/>
  <c r="AD49" i="2"/>
  <c r="AE49" i="2"/>
  <c r="AK49" i="2"/>
  <c r="AL49" i="2"/>
  <c r="AM49" i="2"/>
  <c r="AS49" i="2"/>
  <c r="AT49" i="2"/>
  <c r="AU49" i="2"/>
  <c r="BA49" i="2"/>
  <c r="BB49" i="2"/>
  <c r="BC49" i="2"/>
  <c r="BI49" i="2"/>
  <c r="BJ49" i="2"/>
  <c r="BK49" i="2"/>
  <c r="BQ49" i="2"/>
  <c r="BR49" i="2"/>
  <c r="BS49" i="2"/>
  <c r="BY49" i="2"/>
  <c r="BZ49" i="2"/>
  <c r="CA49" i="2"/>
  <c r="CO49" i="2"/>
  <c r="CP49" i="2"/>
  <c r="CQ49" i="2"/>
  <c r="CW49" i="2"/>
  <c r="CX49" i="2"/>
  <c r="CY49" i="2"/>
  <c r="M50" i="2"/>
  <c r="N50" i="2"/>
  <c r="O50" i="2"/>
  <c r="U50" i="2"/>
  <c r="V50" i="2"/>
  <c r="W50" i="2"/>
  <c r="AC50" i="2"/>
  <c r="AD50" i="2"/>
  <c r="AE50" i="2"/>
  <c r="AK50" i="2"/>
  <c r="AL50" i="2"/>
  <c r="AM50" i="2"/>
  <c r="AS50" i="2"/>
  <c r="AT50" i="2"/>
  <c r="AU50" i="2"/>
  <c r="BA50" i="2"/>
  <c r="BB50" i="2"/>
  <c r="BC50" i="2"/>
  <c r="BI50" i="2"/>
  <c r="BJ50" i="2"/>
  <c r="BK50" i="2"/>
  <c r="BQ50" i="2"/>
  <c r="BR50" i="2"/>
  <c r="BS50" i="2"/>
  <c r="BY50" i="2"/>
  <c r="BZ50" i="2"/>
  <c r="CA50" i="2"/>
  <c r="CO50" i="2"/>
  <c r="CP50" i="2"/>
  <c r="CQ50" i="2"/>
  <c r="CW50" i="2"/>
  <c r="CX50" i="2"/>
  <c r="CY50" i="2"/>
  <c r="M51" i="2"/>
  <c r="N51" i="2"/>
  <c r="O51" i="2"/>
  <c r="U51" i="2"/>
  <c r="V51" i="2"/>
  <c r="W51" i="2"/>
  <c r="AC51" i="2"/>
  <c r="AD51" i="2"/>
  <c r="AE51" i="2"/>
  <c r="AK51" i="2"/>
  <c r="AL51" i="2"/>
  <c r="AM51" i="2"/>
  <c r="AS51" i="2"/>
  <c r="AT51" i="2"/>
  <c r="AU51" i="2"/>
  <c r="BA51" i="2"/>
  <c r="BB51" i="2"/>
  <c r="BC51" i="2"/>
  <c r="BI51" i="2"/>
  <c r="BJ51" i="2"/>
  <c r="BK51" i="2"/>
  <c r="BQ51" i="2"/>
  <c r="BR51" i="2"/>
  <c r="BS51" i="2"/>
  <c r="BY51" i="2"/>
  <c r="BZ51" i="2"/>
  <c r="CA51" i="2"/>
  <c r="CO51" i="2"/>
  <c r="CP51" i="2"/>
  <c r="CQ51" i="2"/>
  <c r="CW51" i="2"/>
  <c r="CX51" i="2"/>
  <c r="CY51" i="2"/>
  <c r="M52" i="2"/>
  <c r="N52" i="2"/>
  <c r="O52" i="2"/>
  <c r="U52" i="2"/>
  <c r="V52" i="2"/>
  <c r="W52" i="2"/>
  <c r="AC52" i="2"/>
  <c r="AD52" i="2"/>
  <c r="AE52" i="2"/>
  <c r="AK52" i="2"/>
  <c r="AL52" i="2"/>
  <c r="AM52" i="2"/>
  <c r="AS52" i="2"/>
  <c r="AT52" i="2"/>
  <c r="AU52" i="2"/>
  <c r="BA52" i="2"/>
  <c r="BB52" i="2"/>
  <c r="BC52" i="2"/>
  <c r="BI52" i="2"/>
  <c r="BJ52" i="2"/>
  <c r="BK52" i="2"/>
  <c r="BQ52" i="2"/>
  <c r="BR52" i="2"/>
  <c r="BS52" i="2"/>
  <c r="BY52" i="2"/>
  <c r="BZ52" i="2"/>
  <c r="CA52" i="2"/>
  <c r="CO52" i="2"/>
  <c r="CP52" i="2"/>
  <c r="CQ52" i="2"/>
  <c r="CW52" i="2"/>
  <c r="CX52" i="2"/>
  <c r="CY52" i="2"/>
  <c r="M53" i="2"/>
  <c r="N53" i="2"/>
  <c r="O53" i="2"/>
  <c r="U53" i="2"/>
  <c r="V53" i="2"/>
  <c r="W53" i="2"/>
  <c r="AC53" i="2"/>
  <c r="AD53" i="2"/>
  <c r="AE53" i="2"/>
  <c r="AK53" i="2"/>
  <c r="AL53" i="2"/>
  <c r="AM53" i="2"/>
  <c r="AS53" i="2"/>
  <c r="AT53" i="2"/>
  <c r="AU53" i="2"/>
  <c r="BA53" i="2"/>
  <c r="BB53" i="2"/>
  <c r="BC53" i="2"/>
  <c r="BI53" i="2"/>
  <c r="BJ53" i="2"/>
  <c r="BK53" i="2"/>
  <c r="BQ53" i="2"/>
  <c r="BR53" i="2"/>
  <c r="BS53" i="2"/>
  <c r="BY53" i="2"/>
  <c r="BZ53" i="2"/>
  <c r="CA53" i="2"/>
  <c r="CO53" i="2"/>
  <c r="CP53" i="2"/>
  <c r="CQ53" i="2"/>
  <c r="CW53" i="2"/>
  <c r="CX53" i="2"/>
  <c r="CY53" i="2"/>
  <c r="M54" i="2"/>
  <c r="N54" i="2"/>
  <c r="O54" i="2"/>
  <c r="U54" i="2"/>
  <c r="V54" i="2"/>
  <c r="W54" i="2"/>
  <c r="AC54" i="2"/>
  <c r="AD54" i="2"/>
  <c r="AE54" i="2"/>
  <c r="AK54" i="2"/>
  <c r="AL54" i="2"/>
  <c r="AM54" i="2"/>
  <c r="AS54" i="2"/>
  <c r="AT54" i="2"/>
  <c r="AU54" i="2"/>
  <c r="BA54" i="2"/>
  <c r="BB54" i="2"/>
  <c r="BC54" i="2"/>
  <c r="BI54" i="2"/>
  <c r="BJ54" i="2"/>
  <c r="BK54" i="2"/>
  <c r="BQ54" i="2"/>
  <c r="BR54" i="2"/>
  <c r="BS54" i="2"/>
  <c r="BY54" i="2"/>
  <c r="BZ54" i="2"/>
  <c r="CA54" i="2"/>
  <c r="CO54" i="2"/>
  <c r="CP54" i="2"/>
  <c r="CQ54" i="2"/>
  <c r="CW54" i="2"/>
  <c r="CX54" i="2"/>
  <c r="CY54" i="2"/>
  <c r="M55" i="2"/>
  <c r="N55" i="2"/>
  <c r="O55" i="2"/>
  <c r="U55" i="2"/>
  <c r="V55" i="2"/>
  <c r="W55" i="2"/>
  <c r="AC55" i="2"/>
  <c r="AD55" i="2"/>
  <c r="AE55" i="2"/>
  <c r="AK55" i="2"/>
  <c r="AL55" i="2"/>
  <c r="AM55" i="2"/>
  <c r="AS55" i="2"/>
  <c r="AT55" i="2"/>
  <c r="AU55" i="2"/>
  <c r="BA55" i="2"/>
  <c r="BB55" i="2"/>
  <c r="BC55" i="2"/>
  <c r="BI55" i="2"/>
  <c r="BJ55" i="2"/>
  <c r="BK55" i="2"/>
  <c r="BQ55" i="2"/>
  <c r="BR55" i="2"/>
  <c r="BS55" i="2"/>
  <c r="BY55" i="2"/>
  <c r="BZ55" i="2"/>
  <c r="CA55" i="2"/>
  <c r="CO55" i="2"/>
  <c r="CP55" i="2"/>
  <c r="CQ55" i="2"/>
  <c r="CW55" i="2"/>
  <c r="CX55" i="2"/>
  <c r="CY55" i="2"/>
  <c r="M56" i="2"/>
  <c r="N56" i="2"/>
  <c r="O56" i="2"/>
  <c r="U56" i="2"/>
  <c r="V56" i="2"/>
  <c r="W56" i="2"/>
  <c r="AC56" i="2"/>
  <c r="AD56" i="2"/>
  <c r="AE56" i="2"/>
  <c r="AK56" i="2"/>
  <c r="AL56" i="2"/>
  <c r="AM56" i="2"/>
  <c r="AS56" i="2"/>
  <c r="AT56" i="2"/>
  <c r="AU56" i="2"/>
  <c r="BA56" i="2"/>
  <c r="BB56" i="2"/>
  <c r="BC56" i="2"/>
  <c r="BI56" i="2"/>
  <c r="BJ56" i="2"/>
  <c r="BK56" i="2"/>
  <c r="BQ56" i="2"/>
  <c r="BR56" i="2"/>
  <c r="BS56" i="2"/>
  <c r="BY56" i="2"/>
  <c r="BZ56" i="2"/>
  <c r="CA56" i="2"/>
  <c r="CO56" i="2"/>
  <c r="CP56" i="2"/>
  <c r="CQ56" i="2"/>
  <c r="CW56" i="2"/>
  <c r="CX56" i="2"/>
  <c r="CY56" i="2"/>
  <c r="M57" i="2"/>
  <c r="N57" i="2"/>
  <c r="O57" i="2"/>
  <c r="U57" i="2"/>
  <c r="V57" i="2"/>
  <c r="W57" i="2"/>
  <c r="AC57" i="2"/>
  <c r="AD57" i="2"/>
  <c r="AE57" i="2"/>
  <c r="AK57" i="2"/>
  <c r="AL57" i="2"/>
  <c r="AM57" i="2"/>
  <c r="AS57" i="2"/>
  <c r="AT57" i="2"/>
  <c r="AU57" i="2"/>
  <c r="BA57" i="2"/>
  <c r="BB57" i="2"/>
  <c r="BC57" i="2"/>
  <c r="BI57" i="2"/>
  <c r="BJ57" i="2"/>
  <c r="BK57" i="2"/>
  <c r="BQ57" i="2"/>
  <c r="BR57" i="2"/>
  <c r="BS57" i="2"/>
  <c r="BY57" i="2"/>
  <c r="BZ57" i="2"/>
  <c r="CA57" i="2"/>
  <c r="CO57" i="2"/>
  <c r="CP57" i="2"/>
  <c r="CQ57" i="2"/>
  <c r="CW57" i="2"/>
  <c r="CX57" i="2"/>
  <c r="CY57" i="2"/>
  <c r="M58" i="2"/>
  <c r="N58" i="2"/>
  <c r="O58" i="2"/>
  <c r="U58" i="2"/>
  <c r="V58" i="2"/>
  <c r="W58" i="2"/>
  <c r="AC58" i="2"/>
  <c r="AD58" i="2"/>
  <c r="AE58" i="2"/>
  <c r="AK58" i="2"/>
  <c r="AL58" i="2"/>
  <c r="AM58" i="2"/>
  <c r="AS58" i="2"/>
  <c r="AT58" i="2"/>
  <c r="AU58" i="2"/>
  <c r="BA58" i="2"/>
  <c r="BB58" i="2"/>
  <c r="BC58" i="2"/>
  <c r="BI58" i="2"/>
  <c r="BJ58" i="2"/>
  <c r="BK58" i="2"/>
  <c r="BQ58" i="2"/>
  <c r="BR58" i="2"/>
  <c r="BS58" i="2"/>
  <c r="BY58" i="2"/>
  <c r="BZ58" i="2"/>
  <c r="CA58" i="2"/>
  <c r="CO58" i="2"/>
  <c r="CP58" i="2"/>
  <c r="CQ58" i="2"/>
  <c r="CW58" i="2"/>
  <c r="CX58" i="2"/>
  <c r="CY58" i="2"/>
  <c r="M59" i="2"/>
  <c r="N59" i="2"/>
  <c r="O59" i="2"/>
  <c r="U59" i="2"/>
  <c r="V59" i="2"/>
  <c r="W59" i="2"/>
  <c r="AC59" i="2"/>
  <c r="AD59" i="2"/>
  <c r="AE59" i="2"/>
  <c r="AK59" i="2"/>
  <c r="AL59" i="2"/>
  <c r="AM59" i="2"/>
  <c r="AS59" i="2"/>
  <c r="AT59" i="2"/>
  <c r="AU59" i="2"/>
  <c r="BA59" i="2"/>
  <c r="BB59" i="2"/>
  <c r="BC59" i="2"/>
  <c r="BI59" i="2"/>
  <c r="BJ59" i="2"/>
  <c r="BK59" i="2"/>
  <c r="BQ59" i="2"/>
  <c r="BR59" i="2"/>
  <c r="BS59" i="2"/>
  <c r="BY59" i="2"/>
  <c r="BZ59" i="2"/>
  <c r="CA59" i="2"/>
  <c r="CO59" i="2"/>
  <c r="CP59" i="2"/>
  <c r="CQ59" i="2"/>
  <c r="CW59" i="2"/>
  <c r="CX59" i="2"/>
  <c r="CY59" i="2"/>
  <c r="M60" i="2"/>
  <c r="N60" i="2"/>
  <c r="O60" i="2"/>
  <c r="U60" i="2"/>
  <c r="V60" i="2"/>
  <c r="W60" i="2"/>
  <c r="AC60" i="2"/>
  <c r="AD60" i="2"/>
  <c r="AE60" i="2"/>
  <c r="AK60" i="2"/>
  <c r="AL60" i="2"/>
  <c r="AM60" i="2"/>
  <c r="AS60" i="2"/>
  <c r="AT60" i="2"/>
  <c r="AU60" i="2"/>
  <c r="BA60" i="2"/>
  <c r="BB60" i="2"/>
  <c r="BC60" i="2"/>
  <c r="BI60" i="2"/>
  <c r="BJ60" i="2"/>
  <c r="BK60" i="2"/>
  <c r="BQ60" i="2"/>
  <c r="BR60" i="2"/>
  <c r="BS60" i="2"/>
  <c r="BY60" i="2"/>
  <c r="BZ60" i="2"/>
  <c r="CA60" i="2"/>
  <c r="CO60" i="2"/>
  <c r="CP60" i="2"/>
  <c r="CQ60" i="2"/>
  <c r="CW60" i="2"/>
  <c r="CX60" i="2"/>
  <c r="CY60" i="2"/>
</calcChain>
</file>

<file path=xl/sharedStrings.xml><?xml version="1.0" encoding="utf-8"?>
<sst xmlns="http://schemas.openxmlformats.org/spreadsheetml/2006/main" count="822" uniqueCount="32">
  <si>
    <t>總計</t>
  </si>
  <si>
    <t>84 合計</t>
  </si>
  <si>
    <t>iPhone</t>
  </si>
  <si>
    <t>iPad</t>
  </si>
  <si>
    <t>CPU</t>
  </si>
  <si>
    <t>Care</t>
  </si>
  <si>
    <t>Apple Watch</t>
  </si>
  <si>
    <t>AirPods</t>
  </si>
  <si>
    <t>Accy</t>
  </si>
  <si>
    <t>3rd Party</t>
  </si>
  <si>
    <t>81 合計</t>
  </si>
  <si>
    <t>77 合計</t>
  </si>
  <si>
    <t>76 合計</t>
  </si>
  <si>
    <r>
      <t>vs</t>
    </r>
    <r>
      <rPr>
        <b/>
        <sz val="14"/>
        <color theme="1"/>
        <rFont val="新細明體"/>
        <family val="2"/>
        <charset val="136"/>
      </rPr>
      <t>上週</t>
    </r>
    <phoneticPr fontId="2" type="noConversion"/>
  </si>
  <si>
    <r>
      <rPr>
        <b/>
        <sz val="14"/>
        <color theme="1"/>
        <rFont val="新細明體"/>
        <family val="2"/>
        <charset val="136"/>
      </rPr>
      <t>業績</t>
    </r>
    <phoneticPr fontId="2" type="noConversion"/>
  </si>
  <si>
    <t>Qty</t>
    <phoneticPr fontId="2" type="noConversion"/>
  </si>
  <si>
    <t>class</t>
    <phoneticPr fontId="2" type="noConversion"/>
  </si>
  <si>
    <t>store</t>
    <phoneticPr fontId="2" type="noConversion"/>
  </si>
  <si>
    <r>
      <t xml:space="preserve">75 </t>
    </r>
    <r>
      <rPr>
        <b/>
        <sz val="10"/>
        <rFont val="Microsoft JhengHei"/>
        <family val="2"/>
        <charset val="136"/>
      </rPr>
      <t>合計</t>
    </r>
    <phoneticPr fontId="2" type="noConversion"/>
  </si>
  <si>
    <t>Traffic</t>
    <phoneticPr fontId="2" type="noConversion"/>
  </si>
  <si>
    <t>Trade in</t>
    <phoneticPr fontId="2" type="noConversion"/>
  </si>
  <si>
    <t>store</t>
  </si>
  <si>
    <t>class</t>
  </si>
  <si>
    <t>Qty</t>
  </si>
  <si>
    <t>業績</t>
  </si>
  <si>
    <t>Traffic</t>
  </si>
  <si>
    <t>Trade in</t>
  </si>
  <si>
    <t>75 合計</t>
  </si>
  <si>
    <t>27Q1W1</t>
    <phoneticPr fontId="2" type="noConversion"/>
  </si>
  <si>
    <t>09/27~10/03</t>
    <phoneticPr fontId="2" type="noConversion"/>
  </si>
  <si>
    <t>27Q1W2</t>
    <phoneticPr fontId="2" type="noConversion"/>
  </si>
  <si>
    <t>10/04~10/10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</si>
</sst>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新細明體"/>
      <family val="2"/>
      <charset val="136"/>
    </font>
    <font>
      <b/>
      <sz val="14"/>
      <name val="Arial"/>
      <family val="2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6"/>
      <color theme="1"/>
      <name val="新細明體"/>
      <family val="2"/>
      <charset val="136"/>
      <scheme val="minor"/>
    </font>
    <font>
      <sz val="16"/>
      <name val="Arial"/>
      <family val="2"/>
    </font>
    <font>
      <b/>
      <sz val="10"/>
      <name val="Microsoft JhengHei"/>
      <family val="2"/>
      <charset val="136"/>
    </font>
    <font>
      <sz val="13"/>
      <color theme="1"/>
      <name val="Helvetica Neue"/>
      <family val="2"/>
    </font>
    <font>
      <b/>
      <sz val="12"/>
      <color theme="1"/>
      <name val="Arial Italic"/>
    </font>
    <font>
      <b/>
      <sz val="14"/>
      <color theme="1"/>
      <name val="Arial Italic"/>
    </font>
    <font>
      <b/>
      <sz val="12"/>
      <color rgb="FF000000"/>
      <name val="Arial"/>
      <family val="2"/>
    </font>
    <font>
      <sz val="10"/>
      <name val="Microsoft JhengHei"/>
      <family val="2"/>
    </font>
    <font>
      <sz val="16"/>
      <color theme="1"/>
      <name val="Arial"/>
      <family val="2"/>
    </font>
    <font>
      <sz val="12"/>
      <color theme="1"/>
      <name val="Microsoft JhengHei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58ACEE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A6C9ED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</cellStyleXfs>
  <cellXfs count="55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2" applyFont="1" applyFill="1" applyAlignment="1">
      <alignment vertical="center"/>
    </xf>
    <xf numFmtId="176" fontId="6" fillId="2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176" fontId="3" fillId="3" borderId="0" xfId="0" applyNumberFormat="1" applyFont="1" applyFill="1">
      <alignment vertical="center"/>
    </xf>
    <xf numFmtId="0" fontId="3" fillId="3" borderId="0" xfId="0" applyFont="1" applyFill="1">
      <alignment vertical="center"/>
    </xf>
    <xf numFmtId="0" fontId="5" fillId="3" borderId="0" xfId="2" applyFont="1" applyFill="1" applyAlignment="1">
      <alignment vertical="center"/>
    </xf>
    <xf numFmtId="0" fontId="6" fillId="0" borderId="0" xfId="0" applyFont="1">
      <alignment vertical="center"/>
    </xf>
    <xf numFmtId="9" fontId="6" fillId="0" borderId="0" xfId="1" applyFont="1" applyAlignment="1">
      <alignment vertical="center"/>
    </xf>
    <xf numFmtId="176" fontId="6" fillId="0" borderId="0" xfId="0" applyNumberFormat="1" applyFont="1">
      <alignment vertical="center"/>
    </xf>
    <xf numFmtId="0" fontId="4" fillId="0" borderId="0" xfId="2" applyAlignment="1">
      <alignment vertical="center"/>
    </xf>
    <xf numFmtId="0" fontId="4" fillId="4" borderId="0" xfId="2" applyFill="1" applyAlignment="1">
      <alignment vertical="center"/>
    </xf>
    <xf numFmtId="0" fontId="7" fillId="0" borderId="0" xfId="0" applyFont="1">
      <alignment vertical="center"/>
    </xf>
    <xf numFmtId="0" fontId="7" fillId="5" borderId="0" xfId="0" applyFont="1" applyFill="1" applyAlignment="1">
      <alignment horizontal="right" vertical="center"/>
    </xf>
    <xf numFmtId="176" fontId="7" fillId="5" borderId="0" xfId="0" applyNumberFormat="1" applyFont="1" applyFill="1">
      <alignment vertical="center"/>
    </xf>
    <xf numFmtId="0" fontId="7" fillId="5" borderId="0" xfId="0" applyFont="1" applyFill="1">
      <alignment vertical="center"/>
    </xf>
    <xf numFmtId="0" fontId="9" fillId="5" borderId="0" xfId="2" applyFont="1" applyFill="1" applyAlignment="1">
      <alignment vertical="center"/>
    </xf>
    <xf numFmtId="0" fontId="10" fillId="0" borderId="0" xfId="0" applyFont="1">
      <alignment vertical="center"/>
    </xf>
    <xf numFmtId="176" fontId="10" fillId="0" borderId="0" xfId="0" applyNumberFormat="1" applyFont="1">
      <alignment vertical="center"/>
    </xf>
    <xf numFmtId="0" fontId="11" fillId="0" borderId="0" xfId="2" applyFont="1" applyAlignme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176" fontId="13" fillId="0" borderId="0" xfId="0" applyNumberFormat="1" applyFont="1">
      <alignment vertical="center"/>
    </xf>
    <xf numFmtId="0" fontId="14" fillId="0" borderId="0" xfId="2" applyFont="1" applyAlignment="1">
      <alignment vertical="center"/>
    </xf>
    <xf numFmtId="0" fontId="6" fillId="6" borderId="0" xfId="0" applyFont="1" applyFill="1">
      <alignment vertical="center"/>
    </xf>
    <xf numFmtId="176" fontId="6" fillId="6" borderId="0" xfId="0" applyNumberFormat="1" applyFont="1" applyFill="1">
      <alignment vertical="center"/>
    </xf>
    <xf numFmtId="9" fontId="6" fillId="6" borderId="0" xfId="1" applyFont="1" applyFill="1" applyAlignment="1">
      <alignment vertical="center"/>
    </xf>
    <xf numFmtId="9" fontId="6" fillId="2" borderId="0" xfId="1" applyFont="1" applyFill="1" applyAlignment="1">
      <alignment vertical="center"/>
    </xf>
    <xf numFmtId="0" fontId="16" fillId="0" borderId="0" xfId="0" applyFont="1">
      <alignment vertical="center"/>
    </xf>
    <xf numFmtId="0" fontId="9" fillId="0" borderId="0" xfId="2" applyFont="1" applyAlignment="1">
      <alignment vertical="center"/>
    </xf>
    <xf numFmtId="176" fontId="7" fillId="0" borderId="0" xfId="0" applyNumberFormat="1" applyFont="1">
      <alignment vertical="center"/>
    </xf>
    <xf numFmtId="0" fontId="7" fillId="0" borderId="0" xfId="0" applyFont="1" applyAlignment="1">
      <alignment horizontal="right" vertical="center"/>
    </xf>
    <xf numFmtId="176" fontId="3" fillId="0" borderId="0" xfId="0" applyNumberFormat="1" applyFont="1">
      <alignment vertical="center"/>
    </xf>
    <xf numFmtId="9" fontId="6" fillId="0" borderId="0" xfId="1" applyFont="1" applyFill="1" applyAlignment="1">
      <alignment vertical="center"/>
    </xf>
    <xf numFmtId="0" fontId="3" fillId="0" borderId="0" xfId="0" applyFont="1" applyAlignment="1">
      <alignment horizontal="right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38" fontId="13" fillId="0" borderId="0" xfId="0" applyNumberFormat="1" applyFont="1">
      <alignment vertical="center"/>
    </xf>
    <xf numFmtId="38" fontId="10" fillId="0" borderId="0" xfId="0" applyNumberFormat="1" applyFont="1">
      <alignment vertical="center"/>
    </xf>
    <xf numFmtId="38" fontId="19" fillId="0" borderId="0" xfId="0" applyNumberFormat="1" applyFont="1">
      <alignment vertical="center"/>
    </xf>
    <xf numFmtId="38" fontId="7" fillId="0" borderId="0" xfId="0" applyNumberFormat="1" applyFont="1">
      <alignment vertical="center"/>
    </xf>
    <xf numFmtId="38" fontId="6" fillId="0" borderId="0" xfId="0" applyNumberFormat="1" applyFont="1">
      <alignment vertical="center"/>
    </xf>
    <xf numFmtId="38" fontId="3" fillId="3" borderId="0" xfId="0" applyNumberFormat="1" applyFont="1" applyFill="1">
      <alignment vertical="center"/>
    </xf>
    <xf numFmtId="38" fontId="3" fillId="0" borderId="0" xfId="0" applyNumberFormat="1" applyFont="1">
      <alignment vertical="center"/>
    </xf>
    <xf numFmtId="38" fontId="3" fillId="2" borderId="0" xfId="0" applyNumberFormat="1" applyFont="1" applyFill="1">
      <alignment vertical="center"/>
    </xf>
    <xf numFmtId="38" fontId="0" fillId="0" borderId="0" xfId="0" applyNumberFormat="1">
      <alignment vertical="center"/>
    </xf>
    <xf numFmtId="3" fontId="6" fillId="0" borderId="0" xfId="0" applyNumberFormat="1" applyFont="1">
      <alignment vertical="center"/>
    </xf>
    <xf numFmtId="3" fontId="3" fillId="3" borderId="0" xfId="0" applyNumberFormat="1" applyFont="1" applyFill="1">
      <alignment vertical="center"/>
    </xf>
    <xf numFmtId="0" fontId="20" fillId="0" borderId="0" xfId="2" applyFont="1" applyAlignme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</cellXfs>
  <cellStyles count="3">
    <cellStyle name="一般" xfId="0" builtinId="0"/>
    <cellStyle name="一般 2" xfId="2" xr:uid="{0CB5398D-811F-454E-A670-53B654D1D081}"/>
    <cellStyle name="百分比" xfId="1" builtinId="5"/>
  </cellStyles>
  <dxfs count="1">
    <dxf>
      <font>
        <color rgb="FFFF0000"/>
      </font>
    </dxf>
  </dxfs>
  <tableStyles count="0" defaultTableStyle="TableStyleMedium2" defaultPivotStyle="PivotStyleLight16"/>
  <colors>
    <mruColors>
      <color rgb="FF58ACEE"/>
      <color rgb="FFA6C9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745F6-4B2F-7944-A1EC-E7E5896AE27B}">
  <sheetPr codeName="工作表1"/>
  <dimension ref="A1:CY60"/>
  <sheetViews>
    <sheetView tabSelected="1" zoomScale="75" workbookViewId="0">
      <pane xSplit="1" topLeftCell="B1" activePane="topRight" state="frozen"/>
      <selection pane="topRight" activeCell="K51" sqref="K51"/>
    </sheetView>
  </sheetViews>
  <sheetFormatPr baseColWidth="10" defaultRowHeight="15"/>
  <cols>
    <col min="1" max="1" width="17.33203125" bestFit="1" customWidth="1"/>
    <col min="3" max="3" width="11" bestFit="1" customWidth="1"/>
    <col min="4" max="4" width="14.1640625" bestFit="1" customWidth="1"/>
    <col min="5" max="5" width="11" bestFit="1" customWidth="1"/>
    <col min="6" max="6" width="14.1640625" bestFit="1" customWidth="1"/>
    <col min="7" max="7" width="11" bestFit="1" customWidth="1"/>
    <col min="8" max="8" width="5" customWidth="1"/>
    <col min="9" max="9" width="11" bestFit="1" customWidth="1"/>
    <col min="11" max="11" width="11" bestFit="1" customWidth="1"/>
    <col min="12" max="12" width="14.1640625" bestFit="1" customWidth="1"/>
    <col min="13" max="13" width="11" bestFit="1" customWidth="1"/>
    <col min="14" max="14" width="12.33203125" bestFit="1" customWidth="1"/>
    <col min="15" max="15" width="11" bestFit="1" customWidth="1"/>
    <col min="16" max="16" width="5" customWidth="1"/>
    <col min="17" max="17" width="11" bestFit="1" customWidth="1"/>
    <col min="19" max="19" width="11" bestFit="1" customWidth="1"/>
    <col min="20" max="20" width="14.1640625" bestFit="1" customWidth="1"/>
    <col min="21" max="21" width="11" bestFit="1" customWidth="1"/>
    <col min="22" max="22" width="14.1640625" bestFit="1" customWidth="1"/>
    <col min="23" max="23" width="11" bestFit="1" customWidth="1"/>
    <col min="24" max="24" width="5" customWidth="1"/>
    <col min="25" max="25" width="11" bestFit="1" customWidth="1"/>
    <col min="27" max="27" width="11" bestFit="1" customWidth="1"/>
    <col min="28" max="28" width="14.1640625" bestFit="1" customWidth="1"/>
    <col min="29" max="29" width="11" bestFit="1" customWidth="1"/>
    <col min="30" max="30" width="15" bestFit="1" customWidth="1"/>
    <col min="31" max="31" width="11" bestFit="1" customWidth="1"/>
    <col min="32" max="32" width="5" customWidth="1"/>
    <col min="33" max="33" width="11" bestFit="1" customWidth="1"/>
    <col min="35" max="35" width="11" bestFit="1" customWidth="1"/>
    <col min="36" max="36" width="14.1640625" style="49" bestFit="1" customWidth="1"/>
    <col min="37" max="37" width="11" bestFit="1" customWidth="1"/>
    <col min="38" max="38" width="13.5" bestFit="1" customWidth="1"/>
    <col min="39" max="39" width="11" bestFit="1" customWidth="1"/>
    <col min="40" max="40" width="5" customWidth="1"/>
    <col min="41" max="41" width="11" bestFit="1" customWidth="1"/>
    <col min="43" max="43" width="11" bestFit="1" customWidth="1"/>
    <col min="44" max="44" width="14.1640625" bestFit="1" customWidth="1"/>
    <col min="45" max="45" width="11" bestFit="1" customWidth="1"/>
    <col min="46" max="46" width="13.5" bestFit="1" customWidth="1"/>
    <col min="47" max="47" width="11" bestFit="1" customWidth="1"/>
    <col min="48" max="48" width="5" customWidth="1"/>
    <col min="49" max="49" width="11" bestFit="1" customWidth="1"/>
    <col min="51" max="51" width="11" bestFit="1" customWidth="1"/>
    <col min="52" max="52" width="14.1640625" bestFit="1" customWidth="1"/>
    <col min="53" max="53" width="11" bestFit="1" customWidth="1"/>
    <col min="54" max="54" width="15" bestFit="1" customWidth="1"/>
    <col min="55" max="55" width="11" bestFit="1" customWidth="1"/>
    <col min="56" max="56" width="5" customWidth="1"/>
    <col min="60" max="60" width="14.1640625" bestFit="1" customWidth="1"/>
    <col min="62" max="62" width="13" bestFit="1" customWidth="1"/>
    <col min="64" max="64" width="5" customWidth="1"/>
    <col min="68" max="68" width="14.1640625" bestFit="1" customWidth="1"/>
    <col min="72" max="72" width="5" customWidth="1"/>
    <col min="76" max="76" width="14.1640625" bestFit="1" customWidth="1"/>
    <col min="80" max="80" width="5" customWidth="1"/>
    <col min="84" max="84" width="14.1640625" bestFit="1" customWidth="1"/>
    <col min="88" max="88" width="5" customWidth="1"/>
    <col min="92" max="92" width="14.1640625" bestFit="1" customWidth="1"/>
    <col min="96" max="96" width="5" customWidth="1"/>
    <col min="100" max="100" width="14.1640625" bestFit="1" customWidth="1"/>
  </cols>
  <sheetData>
    <row r="1" spans="1:103" s="24" customFormat="1" ht="28" customHeight="1">
      <c r="A1" s="26" t="s">
        <v>28</v>
      </c>
      <c r="B1" s="26"/>
      <c r="D1" s="25"/>
      <c r="I1" s="26" t="s">
        <v>30</v>
      </c>
      <c r="J1" s="26"/>
      <c r="L1" s="25"/>
      <c r="Q1" s="26"/>
      <c r="R1" s="26"/>
      <c r="T1" s="25"/>
      <c r="Y1" s="26"/>
      <c r="Z1" s="26"/>
      <c r="AB1" s="25"/>
      <c r="AG1" s="26"/>
      <c r="AH1" s="26"/>
      <c r="AJ1" s="41"/>
      <c r="AO1" s="26"/>
      <c r="AP1" s="26"/>
      <c r="AR1" s="25"/>
      <c r="AW1" s="26"/>
      <c r="AX1" s="26"/>
      <c r="AZ1" s="25"/>
      <c r="BE1" s="53"/>
      <c r="BF1" s="26"/>
      <c r="BH1" s="25"/>
      <c r="BM1" s="26"/>
      <c r="BU1" s="26"/>
      <c r="BV1" s="26"/>
      <c r="BX1" s="25"/>
      <c r="CC1" s="26"/>
      <c r="CD1" s="26"/>
      <c r="CF1" s="25"/>
      <c r="CK1" s="26"/>
      <c r="CL1" s="26"/>
      <c r="CN1" s="25"/>
      <c r="CS1" s="26"/>
      <c r="CT1" s="26"/>
      <c r="CV1" s="25"/>
    </row>
    <row r="2" spans="1:103" s="20" customFormat="1" ht="18">
      <c r="A2" s="23" t="s">
        <v>29</v>
      </c>
      <c r="B2" s="22"/>
      <c r="D2" s="21"/>
      <c r="I2" s="23" t="s">
        <v>31</v>
      </c>
      <c r="K2" s="23"/>
      <c r="M2" s="23"/>
      <c r="O2" s="23"/>
      <c r="Q2" s="23"/>
      <c r="S2" s="23"/>
      <c r="U2" s="23"/>
      <c r="W2" s="23"/>
      <c r="Y2" s="23"/>
      <c r="Z2" s="22"/>
      <c r="AB2" s="21"/>
      <c r="AG2" s="23"/>
      <c r="AJ2" s="42"/>
      <c r="AK2" s="22"/>
      <c r="AL2" s="22"/>
      <c r="AN2" s="21"/>
      <c r="AO2" s="23"/>
      <c r="AQ2" s="22"/>
      <c r="AR2" s="22"/>
      <c r="AT2" s="21"/>
      <c r="AY2" s="22"/>
      <c r="AZ2" s="22"/>
      <c r="BB2" s="21"/>
      <c r="BE2" s="54"/>
      <c r="BG2" s="22"/>
      <c r="BH2" s="22"/>
      <c r="BJ2" s="21"/>
      <c r="BN2" s="21"/>
      <c r="BP2" s="21"/>
      <c r="BQ2" s="21"/>
      <c r="BR2" s="21"/>
      <c r="BS2" s="21"/>
      <c r="BV2" s="21"/>
      <c r="BX2" s="21"/>
      <c r="BY2" s="21"/>
      <c r="BZ2" s="21"/>
      <c r="CA2" s="21"/>
      <c r="CD2" s="21"/>
      <c r="CF2" s="21"/>
      <c r="CG2" s="21"/>
      <c r="CH2" s="21"/>
      <c r="CI2" s="21"/>
      <c r="CL2" s="21"/>
      <c r="CN2" s="21"/>
      <c r="CO2" s="21"/>
      <c r="CP2" s="21"/>
      <c r="CQ2" s="21"/>
      <c r="CT2" s="21"/>
      <c r="CV2" s="21"/>
      <c r="CW2" s="21"/>
      <c r="CX2" s="21"/>
      <c r="CY2" s="21"/>
    </row>
    <row r="3" spans="1:103" s="20" customFormat="1" ht="28" customHeight="1">
      <c r="I3" s="31"/>
      <c r="Q3" s="31"/>
      <c r="T3" s="31"/>
      <c r="Y3" s="31"/>
      <c r="AB3" s="31"/>
      <c r="AG3" s="31"/>
      <c r="AJ3" s="42"/>
    </row>
    <row r="4" spans="1:103" s="15" customFormat="1" ht="22" customHeight="1">
      <c r="A4" s="19" t="s">
        <v>17</v>
      </c>
      <c r="B4" s="19" t="s">
        <v>16</v>
      </c>
      <c r="C4" s="18" t="s">
        <v>15</v>
      </c>
      <c r="D4" s="17" t="s">
        <v>14</v>
      </c>
      <c r="E4" s="16" t="s">
        <v>13</v>
      </c>
      <c r="F4" s="16" t="s">
        <v>13</v>
      </c>
      <c r="G4" s="16" t="s">
        <v>13</v>
      </c>
      <c r="I4" s="19" t="s">
        <v>17</v>
      </c>
      <c r="J4" s="19" t="s">
        <v>16</v>
      </c>
      <c r="K4" s="18" t="s">
        <v>15</v>
      </c>
      <c r="L4" s="17" t="s">
        <v>14</v>
      </c>
      <c r="M4" s="16" t="s">
        <v>13</v>
      </c>
      <c r="N4" s="16" t="s">
        <v>13</v>
      </c>
      <c r="O4" s="16" t="s">
        <v>13</v>
      </c>
      <c r="Q4" s="19" t="s">
        <v>17</v>
      </c>
      <c r="R4" s="19" t="s">
        <v>16</v>
      </c>
      <c r="S4" s="18" t="s">
        <v>15</v>
      </c>
      <c r="T4" s="17" t="s">
        <v>14</v>
      </c>
      <c r="U4" s="16" t="s">
        <v>13</v>
      </c>
      <c r="V4" s="16" t="s">
        <v>13</v>
      </c>
      <c r="W4" s="16" t="s">
        <v>13</v>
      </c>
      <c r="Y4" s="19" t="s">
        <v>17</v>
      </c>
      <c r="Z4" s="18" t="s">
        <v>15</v>
      </c>
      <c r="AA4" s="17" t="s">
        <v>14</v>
      </c>
      <c r="AB4" s="17"/>
      <c r="AC4" s="16" t="s">
        <v>13</v>
      </c>
      <c r="AD4" s="16" t="s">
        <v>13</v>
      </c>
      <c r="AE4" s="16" t="s">
        <v>13</v>
      </c>
      <c r="AG4" s="19" t="s">
        <v>17</v>
      </c>
      <c r="AH4" s="19" t="s">
        <v>16</v>
      </c>
      <c r="AI4" s="18" t="s">
        <v>15</v>
      </c>
      <c r="AJ4" s="17" t="s">
        <v>14</v>
      </c>
      <c r="AK4" s="16" t="s">
        <v>13</v>
      </c>
      <c r="AL4" s="16" t="s">
        <v>13</v>
      </c>
      <c r="AM4" s="16" t="s">
        <v>13</v>
      </c>
      <c r="AO4" s="19" t="s">
        <v>21</v>
      </c>
      <c r="AP4" s="19" t="s">
        <v>22</v>
      </c>
      <c r="AQ4" s="18" t="s">
        <v>23</v>
      </c>
      <c r="AR4" s="17" t="s">
        <v>24</v>
      </c>
      <c r="AS4" s="16" t="s">
        <v>13</v>
      </c>
      <c r="AT4" s="16" t="s">
        <v>13</v>
      </c>
      <c r="AU4" s="16" t="s">
        <v>13</v>
      </c>
      <c r="AW4" s="19" t="s">
        <v>21</v>
      </c>
      <c r="AX4" s="19" t="s">
        <v>22</v>
      </c>
      <c r="AY4" s="18" t="s">
        <v>23</v>
      </c>
      <c r="AZ4" s="17" t="s">
        <v>24</v>
      </c>
      <c r="BA4" s="16" t="s">
        <v>13</v>
      </c>
      <c r="BB4" s="16" t="s">
        <v>13</v>
      </c>
      <c r="BC4" s="16" t="s">
        <v>13</v>
      </c>
      <c r="BE4" s="19" t="s">
        <v>17</v>
      </c>
      <c r="BF4" s="19" t="s">
        <v>16</v>
      </c>
      <c r="BG4" s="18" t="s">
        <v>15</v>
      </c>
      <c r="BH4" s="17" t="s">
        <v>14</v>
      </c>
      <c r="BI4" s="16" t="s">
        <v>13</v>
      </c>
      <c r="BJ4" s="16" t="s">
        <v>13</v>
      </c>
      <c r="BK4" s="16" t="s">
        <v>13</v>
      </c>
      <c r="BM4" s="19" t="s">
        <v>21</v>
      </c>
      <c r="BN4" s="19" t="s">
        <v>22</v>
      </c>
      <c r="BO4" s="18" t="s">
        <v>23</v>
      </c>
      <c r="BP4" s="17" t="s">
        <v>24</v>
      </c>
      <c r="BQ4" s="16" t="s">
        <v>13</v>
      </c>
      <c r="BR4" s="16" t="s">
        <v>13</v>
      </c>
      <c r="BS4" s="16" t="s">
        <v>13</v>
      </c>
      <c r="BU4" s="19" t="s">
        <v>21</v>
      </c>
      <c r="BV4" s="19" t="s">
        <v>22</v>
      </c>
      <c r="BW4" s="18" t="s">
        <v>23</v>
      </c>
      <c r="BX4" s="17" t="s">
        <v>24</v>
      </c>
      <c r="BY4" s="16" t="s">
        <v>13</v>
      </c>
      <c r="BZ4" s="16" t="s">
        <v>13</v>
      </c>
      <c r="CA4" s="16" t="s">
        <v>13</v>
      </c>
      <c r="CC4" s="19" t="s">
        <v>21</v>
      </c>
      <c r="CD4" s="19" t="s">
        <v>22</v>
      </c>
      <c r="CE4" s="18" t="s">
        <v>23</v>
      </c>
      <c r="CF4" s="17" t="s">
        <v>24</v>
      </c>
      <c r="CG4" s="16" t="s">
        <v>13</v>
      </c>
      <c r="CH4" s="16" t="s">
        <v>13</v>
      </c>
      <c r="CI4" s="16" t="s">
        <v>13</v>
      </c>
      <c r="CK4" s="19" t="s">
        <v>21</v>
      </c>
      <c r="CL4" s="19" t="s">
        <v>22</v>
      </c>
      <c r="CM4" s="18" t="s">
        <v>23</v>
      </c>
      <c r="CN4" s="17" t="s">
        <v>24</v>
      </c>
      <c r="CO4" s="16" t="s">
        <v>13</v>
      </c>
      <c r="CP4" s="16" t="s">
        <v>13</v>
      </c>
      <c r="CQ4" s="16" t="s">
        <v>13</v>
      </c>
      <c r="CS4" s="19" t="s">
        <v>21</v>
      </c>
      <c r="CT4" s="19" t="s">
        <v>22</v>
      </c>
      <c r="CU4" s="18" t="s">
        <v>23</v>
      </c>
      <c r="CV4" s="17" t="s">
        <v>24</v>
      </c>
      <c r="CW4" s="16" t="s">
        <v>13</v>
      </c>
      <c r="CX4" s="16" t="s">
        <v>13</v>
      </c>
      <c r="CY4" s="16" t="s">
        <v>13</v>
      </c>
    </row>
    <row r="5" spans="1:103" s="39" customFormat="1" ht="22" customHeight="1">
      <c r="A5" s="14">
        <v>75</v>
      </c>
      <c r="B5" s="32" t="s">
        <v>19</v>
      </c>
      <c r="C5" s="40">
        <v>17575</v>
      </c>
      <c r="D5" s="1"/>
      <c r="E5" s="37"/>
      <c r="F5" s="37"/>
      <c r="G5" s="37"/>
      <c r="H5" s="1"/>
      <c r="I5" s="14">
        <v>75</v>
      </c>
      <c r="J5" s="32" t="s">
        <v>19</v>
      </c>
      <c r="K5" s="40">
        <v>17034</v>
      </c>
      <c r="L5" s="1"/>
      <c r="M5" s="10">
        <f t="shared" ref="M5:N60" si="0">K5-C5</f>
        <v>-541</v>
      </c>
      <c r="N5" s="12">
        <f t="shared" si="0"/>
        <v>0</v>
      </c>
      <c r="O5" s="11" t="e">
        <f t="shared" ref="O5:O60" si="1">(L5-D5)/D5</f>
        <v>#DIV/0!</v>
      </c>
      <c r="P5" s="1"/>
      <c r="Q5" s="14">
        <v>75</v>
      </c>
      <c r="R5" s="32" t="s">
        <v>19</v>
      </c>
      <c r="S5" s="40"/>
      <c r="T5" s="1"/>
      <c r="U5" s="10">
        <f t="shared" ref="U5:U60" si="2">S5-K5</f>
        <v>-17034</v>
      </c>
      <c r="V5" s="12">
        <f t="shared" ref="V5:V60" si="3">T5-L5</f>
        <v>0</v>
      </c>
      <c r="W5" s="11" t="e">
        <f t="shared" ref="W5:W60" si="4">(T5-L5)/L5</f>
        <v>#DIV/0!</v>
      </c>
      <c r="X5" s="1"/>
      <c r="Y5" s="14">
        <v>75</v>
      </c>
      <c r="Z5" s="32" t="s">
        <v>19</v>
      </c>
      <c r="AA5" s="40"/>
      <c r="AB5" s="1"/>
      <c r="AC5" s="10">
        <f t="shared" ref="AC5:AD60" si="5">AA5-S5</f>
        <v>0</v>
      </c>
      <c r="AD5" s="12">
        <f t="shared" si="5"/>
        <v>0</v>
      </c>
      <c r="AE5" s="11" t="e">
        <f t="shared" ref="AE5:AE60" si="6">(AB5-T5)/T5</f>
        <v>#DIV/0!</v>
      </c>
      <c r="AF5" s="1"/>
      <c r="AG5" s="14">
        <v>75</v>
      </c>
      <c r="AH5" s="32" t="s">
        <v>19</v>
      </c>
      <c r="AI5" s="32"/>
      <c r="AJ5" s="43"/>
      <c r="AK5" s="10">
        <f t="shared" ref="AK5:AL60" si="7">AI5-AA5</f>
        <v>0</v>
      </c>
      <c r="AL5" s="12">
        <f t="shared" si="7"/>
        <v>0</v>
      </c>
      <c r="AM5" s="11" t="e">
        <f t="shared" ref="AM5:AM60" si="8">(AJ5-AB5)/AB5</f>
        <v>#DIV/0!</v>
      </c>
      <c r="AN5" s="1"/>
      <c r="AO5" s="14">
        <v>75</v>
      </c>
      <c r="AP5" s="32" t="s">
        <v>25</v>
      </c>
      <c r="AQ5" s="40"/>
      <c r="AR5" s="1"/>
      <c r="AS5" s="10">
        <f t="shared" ref="AS5:AT60" si="9">AQ5-AI5</f>
        <v>0</v>
      </c>
      <c r="AT5" s="12">
        <f t="shared" si="9"/>
        <v>0</v>
      </c>
      <c r="AU5" s="11" t="e">
        <f t="shared" ref="AU5:AU60" si="10">(AR5-AJ5)/AJ5</f>
        <v>#DIV/0!</v>
      </c>
      <c r="AV5" s="1"/>
      <c r="AW5" s="14">
        <v>75</v>
      </c>
      <c r="AX5" s="32" t="s">
        <v>25</v>
      </c>
      <c r="AY5" s="40"/>
      <c r="AZ5" s="1"/>
      <c r="BA5" s="10">
        <f t="shared" ref="BA5:BA60" si="11">AY5-AQ5</f>
        <v>0</v>
      </c>
      <c r="BB5" s="12">
        <f t="shared" ref="BB5:BB60" si="12">AZ5-AR5</f>
        <v>0</v>
      </c>
      <c r="BC5" s="11" t="e">
        <f t="shared" ref="BC5:BC60" si="13">(AZ5-AR5)/AR5</f>
        <v>#DIV/0!</v>
      </c>
      <c r="BD5" s="38"/>
      <c r="BE5" s="14">
        <v>75</v>
      </c>
      <c r="BF5" s="32" t="s">
        <v>19</v>
      </c>
      <c r="BG5" s="40"/>
      <c r="BH5" s="1"/>
      <c r="BI5" s="10">
        <f t="shared" ref="BI5:BI60" si="14">BG5-AY5</f>
        <v>0</v>
      </c>
      <c r="BJ5" s="12">
        <f t="shared" ref="BJ5:BJ60" si="15">BH5-AZ5</f>
        <v>0</v>
      </c>
      <c r="BK5" s="11" t="e">
        <f t="shared" ref="BK5:BK60" si="16">(BH5-AZ5)/AZ5</f>
        <v>#DIV/0!</v>
      </c>
      <c r="BL5" s="38"/>
      <c r="BM5" s="14">
        <v>75</v>
      </c>
      <c r="BN5" s="32" t="s">
        <v>25</v>
      </c>
      <c r="BO5" s="40"/>
      <c r="BP5" s="1"/>
      <c r="BQ5" s="10">
        <f t="shared" ref="BQ5:BQ60" si="17">BO5-BG5</f>
        <v>0</v>
      </c>
      <c r="BR5" s="12">
        <f t="shared" ref="BR5:BR60" si="18">BP5-BH5</f>
        <v>0</v>
      </c>
      <c r="BS5" s="11" t="e">
        <f t="shared" ref="BS5:BS60" si="19">(BP5-BH5)/BH5</f>
        <v>#DIV/0!</v>
      </c>
      <c r="BT5" s="38"/>
      <c r="BU5" s="14">
        <v>75</v>
      </c>
      <c r="BV5" s="32" t="s">
        <v>25</v>
      </c>
      <c r="BW5" s="15"/>
      <c r="BX5" s="33"/>
      <c r="BY5" s="10">
        <f t="shared" ref="BY5:BY33" si="20">BW5-BO5</f>
        <v>0</v>
      </c>
      <c r="BZ5" s="12">
        <f t="shared" ref="BZ5:BZ60" si="21">BX5-BP5</f>
        <v>0</v>
      </c>
      <c r="CA5" s="11" t="e">
        <f t="shared" ref="CA5:CA60" si="22">(BX5-BP5)/BP5</f>
        <v>#DIV/0!</v>
      </c>
      <c r="CB5" s="38"/>
      <c r="CC5" s="14">
        <v>75</v>
      </c>
      <c r="CD5" s="32" t="s">
        <v>25</v>
      </c>
      <c r="CE5" s="15"/>
      <c r="CF5" s="33"/>
      <c r="CG5" s="10">
        <v>2615</v>
      </c>
      <c r="CH5" s="12">
        <v>0</v>
      </c>
      <c r="CI5" s="11" t="e">
        <v>#DIV/0!</v>
      </c>
      <c r="CJ5" s="38"/>
      <c r="CK5" s="14">
        <v>75</v>
      </c>
      <c r="CL5" s="32" t="s">
        <v>19</v>
      </c>
      <c r="CM5" s="15"/>
      <c r="CN5" s="33"/>
      <c r="CO5" s="10">
        <f t="shared" ref="CO5:CO60" si="23">CM5-CE5</f>
        <v>0</v>
      </c>
      <c r="CP5" s="12">
        <f t="shared" ref="CP5:CP60" si="24">CN5-CF5</f>
        <v>0</v>
      </c>
      <c r="CQ5" s="11" t="e">
        <f t="shared" ref="CQ5:CQ60" si="25">(CN5-CF5)/CF5</f>
        <v>#DIV/0!</v>
      </c>
      <c r="CR5" s="38"/>
      <c r="CS5" s="14">
        <v>75</v>
      </c>
      <c r="CT5" s="32" t="s">
        <v>19</v>
      </c>
      <c r="CU5" s="15"/>
      <c r="CV5" s="33"/>
      <c r="CW5" s="10">
        <f t="shared" ref="CW5:CW60" si="26">CU5-CM5</f>
        <v>0</v>
      </c>
      <c r="CX5" s="12">
        <f t="shared" ref="CX5:CX60" si="27">CV5-CN5</f>
        <v>0</v>
      </c>
      <c r="CY5" s="11" t="e">
        <f t="shared" ref="CY5:CY60" si="28">(CV5-CN5)/CN5</f>
        <v>#DIV/0!</v>
      </c>
    </row>
    <row r="6" spans="1:103" s="15" customFormat="1" ht="22" customHeight="1">
      <c r="A6" s="14"/>
      <c r="B6" s="32" t="s">
        <v>20</v>
      </c>
      <c r="C6" s="15">
        <v>23</v>
      </c>
      <c r="D6" s="33"/>
      <c r="E6" s="34"/>
      <c r="F6" s="34"/>
      <c r="G6" s="34"/>
      <c r="I6" s="14"/>
      <c r="J6" s="32" t="s">
        <v>20</v>
      </c>
      <c r="K6" s="15">
        <v>22</v>
      </c>
      <c r="L6" s="33"/>
      <c r="M6" s="10">
        <f t="shared" si="0"/>
        <v>-1</v>
      </c>
      <c r="N6" s="12">
        <f t="shared" si="0"/>
        <v>0</v>
      </c>
      <c r="O6" s="11" t="e">
        <f t="shared" si="1"/>
        <v>#DIV/0!</v>
      </c>
      <c r="Q6" s="14"/>
      <c r="R6" s="32" t="s">
        <v>20</v>
      </c>
      <c r="T6" s="33"/>
      <c r="U6" s="10">
        <f t="shared" si="2"/>
        <v>-22</v>
      </c>
      <c r="V6" s="12">
        <f t="shared" si="3"/>
        <v>0</v>
      </c>
      <c r="W6" s="11" t="e">
        <f t="shared" si="4"/>
        <v>#DIV/0!</v>
      </c>
      <c r="Y6" s="14"/>
      <c r="Z6" s="32" t="s">
        <v>20</v>
      </c>
      <c r="AB6" s="33"/>
      <c r="AC6" s="10">
        <f t="shared" si="5"/>
        <v>0</v>
      </c>
      <c r="AD6" s="12">
        <f t="shared" si="5"/>
        <v>0</v>
      </c>
      <c r="AE6" s="11" t="e">
        <f t="shared" si="6"/>
        <v>#DIV/0!</v>
      </c>
      <c r="AG6" s="14"/>
      <c r="AH6" s="32" t="s">
        <v>20</v>
      </c>
      <c r="AI6" s="32"/>
      <c r="AJ6" s="44"/>
      <c r="AK6" s="10">
        <f t="shared" si="7"/>
        <v>0</v>
      </c>
      <c r="AL6" s="12">
        <f t="shared" si="7"/>
        <v>0</v>
      </c>
      <c r="AM6" s="11" t="e">
        <f t="shared" si="8"/>
        <v>#DIV/0!</v>
      </c>
      <c r="AO6" s="14"/>
      <c r="AP6" s="32" t="s">
        <v>26</v>
      </c>
      <c r="AR6" s="33"/>
      <c r="AS6" s="10">
        <f t="shared" si="9"/>
        <v>0</v>
      </c>
      <c r="AT6" s="12">
        <f t="shared" si="9"/>
        <v>0</v>
      </c>
      <c r="AU6" s="11" t="e">
        <f t="shared" si="10"/>
        <v>#DIV/0!</v>
      </c>
      <c r="AW6" s="14"/>
      <c r="AX6" s="32" t="s">
        <v>26</v>
      </c>
      <c r="AZ6" s="33"/>
      <c r="BA6" s="10">
        <f t="shared" si="11"/>
        <v>0</v>
      </c>
      <c r="BB6" s="12">
        <f t="shared" si="12"/>
        <v>0</v>
      </c>
      <c r="BC6" s="11" t="e">
        <f t="shared" si="13"/>
        <v>#DIV/0!</v>
      </c>
      <c r="BE6" s="14"/>
      <c r="BF6" s="32" t="s">
        <v>20</v>
      </c>
      <c r="BH6" s="33"/>
      <c r="BI6" s="10">
        <f t="shared" si="14"/>
        <v>0</v>
      </c>
      <c r="BJ6" s="12">
        <f t="shared" si="15"/>
        <v>0</v>
      </c>
      <c r="BK6" s="11" t="e">
        <f t="shared" si="16"/>
        <v>#DIV/0!</v>
      </c>
      <c r="BM6" s="14"/>
      <c r="BN6" s="32" t="s">
        <v>26</v>
      </c>
      <c r="BP6" s="33"/>
      <c r="BQ6" s="10">
        <f t="shared" si="17"/>
        <v>0</v>
      </c>
      <c r="BR6" s="12">
        <f t="shared" si="18"/>
        <v>0</v>
      </c>
      <c r="BS6" s="11" t="e">
        <f t="shared" si="19"/>
        <v>#DIV/0!</v>
      </c>
      <c r="BU6" s="14"/>
      <c r="BV6" s="32" t="s">
        <v>26</v>
      </c>
      <c r="BX6" s="33"/>
      <c r="BY6" s="10">
        <f t="shared" si="20"/>
        <v>0</v>
      </c>
      <c r="BZ6" s="12">
        <f t="shared" si="21"/>
        <v>0</v>
      </c>
      <c r="CA6" s="11" t="e">
        <f t="shared" si="22"/>
        <v>#DIV/0!</v>
      </c>
      <c r="CC6" s="14"/>
      <c r="CD6" s="32" t="s">
        <v>26</v>
      </c>
      <c r="CF6" s="33"/>
      <c r="CG6" s="10">
        <v>-1</v>
      </c>
      <c r="CH6" s="12">
        <v>0</v>
      </c>
      <c r="CI6" s="11" t="e">
        <v>#DIV/0!</v>
      </c>
      <c r="CK6" s="14"/>
      <c r="CL6" s="32" t="s">
        <v>20</v>
      </c>
      <c r="CN6" s="33"/>
      <c r="CO6" s="10">
        <f t="shared" si="23"/>
        <v>0</v>
      </c>
      <c r="CP6" s="12">
        <f t="shared" si="24"/>
        <v>0</v>
      </c>
      <c r="CQ6" s="11" t="e">
        <f t="shared" si="25"/>
        <v>#DIV/0!</v>
      </c>
      <c r="CS6" s="14"/>
      <c r="CT6" s="32" t="s">
        <v>20</v>
      </c>
      <c r="CV6" s="33"/>
      <c r="CW6" s="10">
        <f t="shared" si="26"/>
        <v>0</v>
      </c>
      <c r="CX6" s="12">
        <f t="shared" si="27"/>
        <v>0</v>
      </c>
      <c r="CY6" s="11" t="e">
        <f t="shared" si="28"/>
        <v>#DIV/0!</v>
      </c>
    </row>
    <row r="7" spans="1:103" s="10" customFormat="1" ht="20" customHeight="1">
      <c r="A7" s="14"/>
      <c r="B7" s="13" t="s">
        <v>9</v>
      </c>
      <c r="C7" s="10">
        <v>359</v>
      </c>
      <c r="D7" s="12">
        <v>448413</v>
      </c>
      <c r="F7" s="12"/>
      <c r="G7" s="11"/>
      <c r="I7" s="14"/>
      <c r="J7" s="13" t="s">
        <v>9</v>
      </c>
      <c r="K7" s="10">
        <v>500</v>
      </c>
      <c r="L7" s="12">
        <v>569204</v>
      </c>
      <c r="M7" s="10">
        <f t="shared" si="0"/>
        <v>141</v>
      </c>
      <c r="N7" s="12">
        <f t="shared" si="0"/>
        <v>120791</v>
      </c>
      <c r="O7" s="11">
        <f t="shared" si="1"/>
        <v>0.26937443829683794</v>
      </c>
      <c r="Q7" s="14"/>
      <c r="R7" s="13" t="s">
        <v>9</v>
      </c>
      <c r="T7" s="12"/>
      <c r="U7" s="10">
        <f t="shared" si="2"/>
        <v>-500</v>
      </c>
      <c r="V7" s="12">
        <f t="shared" si="3"/>
        <v>-569204</v>
      </c>
      <c r="W7" s="11">
        <f t="shared" si="4"/>
        <v>-1</v>
      </c>
      <c r="Y7" s="14"/>
      <c r="Z7" s="13" t="s">
        <v>9</v>
      </c>
      <c r="AB7" s="12"/>
      <c r="AC7" s="10">
        <f t="shared" si="5"/>
        <v>0</v>
      </c>
      <c r="AD7" s="12">
        <f t="shared" si="5"/>
        <v>0</v>
      </c>
      <c r="AE7" s="11" t="e">
        <f t="shared" si="6"/>
        <v>#DIV/0!</v>
      </c>
      <c r="AG7" s="14"/>
      <c r="AH7" s="13" t="s">
        <v>9</v>
      </c>
      <c r="AI7" s="13"/>
      <c r="AJ7" s="45"/>
      <c r="AK7" s="10">
        <f t="shared" si="7"/>
        <v>0</v>
      </c>
      <c r="AL7" s="12">
        <f t="shared" si="7"/>
        <v>0</v>
      </c>
      <c r="AM7" s="11" t="e">
        <f t="shared" si="8"/>
        <v>#DIV/0!</v>
      </c>
      <c r="AO7" s="14"/>
      <c r="AP7" s="13" t="s">
        <v>9</v>
      </c>
      <c r="AR7" s="12"/>
      <c r="AS7" s="10">
        <f t="shared" si="9"/>
        <v>0</v>
      </c>
      <c r="AT7" s="12">
        <f t="shared" si="9"/>
        <v>0</v>
      </c>
      <c r="AU7" s="11" t="e">
        <f t="shared" si="10"/>
        <v>#DIV/0!</v>
      </c>
      <c r="AW7" s="14"/>
      <c r="AX7" s="13" t="s">
        <v>9</v>
      </c>
      <c r="AZ7" s="12"/>
      <c r="BA7" s="10">
        <f t="shared" si="11"/>
        <v>0</v>
      </c>
      <c r="BB7" s="12">
        <f t="shared" si="12"/>
        <v>0</v>
      </c>
      <c r="BC7" s="11" t="e">
        <f t="shared" si="13"/>
        <v>#DIV/0!</v>
      </c>
      <c r="BE7" s="14"/>
      <c r="BF7" s="13" t="s">
        <v>9</v>
      </c>
      <c r="BH7" s="12"/>
      <c r="BI7" s="10">
        <f t="shared" si="14"/>
        <v>0</v>
      </c>
      <c r="BJ7" s="12">
        <f t="shared" si="15"/>
        <v>0</v>
      </c>
      <c r="BK7" s="11" t="e">
        <f t="shared" si="16"/>
        <v>#DIV/0!</v>
      </c>
      <c r="BM7" s="14"/>
      <c r="BN7" s="13" t="s">
        <v>9</v>
      </c>
      <c r="BP7" s="12"/>
      <c r="BQ7" s="10">
        <f t="shared" si="17"/>
        <v>0</v>
      </c>
      <c r="BR7" s="12">
        <f t="shared" si="18"/>
        <v>0</v>
      </c>
      <c r="BS7" s="11" t="e">
        <f t="shared" si="19"/>
        <v>#DIV/0!</v>
      </c>
      <c r="BU7" s="14"/>
      <c r="BV7" s="13" t="s">
        <v>9</v>
      </c>
      <c r="BX7" s="12"/>
      <c r="BY7" s="10">
        <f t="shared" si="20"/>
        <v>0</v>
      </c>
      <c r="BZ7" s="12">
        <f t="shared" si="21"/>
        <v>0</v>
      </c>
      <c r="CA7" s="11" t="e">
        <f t="shared" si="22"/>
        <v>#DIV/0!</v>
      </c>
      <c r="CC7" s="14"/>
      <c r="CD7" s="13" t="s">
        <v>9</v>
      </c>
      <c r="CF7" s="12"/>
      <c r="CG7" s="10">
        <v>-56</v>
      </c>
      <c r="CH7" s="12">
        <v>-47718</v>
      </c>
      <c r="CI7" s="11">
        <v>-0.23221793973370708</v>
      </c>
      <c r="CK7" s="14"/>
      <c r="CL7" s="13" t="s">
        <v>9</v>
      </c>
      <c r="CN7" s="12"/>
      <c r="CO7" s="10">
        <f t="shared" si="23"/>
        <v>0</v>
      </c>
      <c r="CP7" s="12">
        <f t="shared" si="24"/>
        <v>0</v>
      </c>
      <c r="CQ7" s="11" t="e">
        <f t="shared" si="25"/>
        <v>#DIV/0!</v>
      </c>
      <c r="CS7" s="14"/>
      <c r="CT7" s="13" t="s">
        <v>9</v>
      </c>
      <c r="CV7" s="12"/>
      <c r="CW7" s="10">
        <f t="shared" si="26"/>
        <v>0</v>
      </c>
      <c r="CX7" s="12">
        <f t="shared" si="27"/>
        <v>0</v>
      </c>
      <c r="CY7" s="11" t="e">
        <f t="shared" si="28"/>
        <v>#DIV/0!</v>
      </c>
    </row>
    <row r="8" spans="1:103" s="10" customFormat="1" ht="20" customHeight="1">
      <c r="A8" s="14"/>
      <c r="B8" s="13" t="s">
        <v>8</v>
      </c>
      <c r="C8" s="10">
        <v>391</v>
      </c>
      <c r="D8" s="12">
        <v>582885</v>
      </c>
      <c r="F8" s="12"/>
      <c r="G8" s="11"/>
      <c r="I8" s="14"/>
      <c r="J8" s="13" t="s">
        <v>8</v>
      </c>
      <c r="K8" s="10">
        <v>430</v>
      </c>
      <c r="L8" s="12">
        <v>882812</v>
      </c>
      <c r="M8" s="10">
        <f t="shared" si="0"/>
        <v>39</v>
      </c>
      <c r="N8" s="12">
        <f t="shared" si="0"/>
        <v>299927</v>
      </c>
      <c r="O8" s="11">
        <f t="shared" si="1"/>
        <v>0.51455604450277503</v>
      </c>
      <c r="Q8" s="14"/>
      <c r="R8" s="13" t="s">
        <v>8</v>
      </c>
      <c r="T8" s="12"/>
      <c r="U8" s="10">
        <f t="shared" si="2"/>
        <v>-430</v>
      </c>
      <c r="V8" s="12">
        <f t="shared" si="3"/>
        <v>-882812</v>
      </c>
      <c r="W8" s="11">
        <f t="shared" si="4"/>
        <v>-1</v>
      </c>
      <c r="Y8" s="14"/>
      <c r="Z8" s="13" t="s">
        <v>8</v>
      </c>
      <c r="AB8" s="12"/>
      <c r="AC8" s="10">
        <f t="shared" si="5"/>
        <v>0</v>
      </c>
      <c r="AD8" s="12">
        <f t="shared" si="5"/>
        <v>0</v>
      </c>
      <c r="AE8" s="11" t="e">
        <f t="shared" si="6"/>
        <v>#DIV/0!</v>
      </c>
      <c r="AG8" s="14"/>
      <c r="AH8" s="13" t="s">
        <v>8</v>
      </c>
      <c r="AI8" s="13"/>
      <c r="AJ8" s="45"/>
      <c r="AK8" s="10">
        <f t="shared" si="7"/>
        <v>0</v>
      </c>
      <c r="AL8" s="12">
        <f t="shared" si="7"/>
        <v>0</v>
      </c>
      <c r="AM8" s="11" t="e">
        <f t="shared" si="8"/>
        <v>#DIV/0!</v>
      </c>
      <c r="AO8" s="14"/>
      <c r="AP8" s="13" t="s">
        <v>8</v>
      </c>
      <c r="AR8" s="12"/>
      <c r="AS8" s="10">
        <f t="shared" si="9"/>
        <v>0</v>
      </c>
      <c r="AT8" s="12">
        <f t="shared" si="9"/>
        <v>0</v>
      </c>
      <c r="AU8" s="11" t="e">
        <f t="shared" si="10"/>
        <v>#DIV/0!</v>
      </c>
      <c r="AW8" s="14"/>
      <c r="AX8" s="13" t="s">
        <v>8</v>
      </c>
      <c r="AZ8" s="12"/>
      <c r="BA8" s="10">
        <f t="shared" si="11"/>
        <v>0</v>
      </c>
      <c r="BB8" s="12">
        <f t="shared" si="12"/>
        <v>0</v>
      </c>
      <c r="BC8" s="11" t="e">
        <f t="shared" si="13"/>
        <v>#DIV/0!</v>
      </c>
      <c r="BE8" s="14"/>
      <c r="BF8" s="13" t="s">
        <v>8</v>
      </c>
      <c r="BH8" s="12"/>
      <c r="BI8" s="10">
        <f t="shared" si="14"/>
        <v>0</v>
      </c>
      <c r="BJ8" s="12">
        <f t="shared" si="15"/>
        <v>0</v>
      </c>
      <c r="BK8" s="11" t="e">
        <f t="shared" si="16"/>
        <v>#DIV/0!</v>
      </c>
      <c r="BM8" s="14"/>
      <c r="BN8" s="13" t="s">
        <v>8</v>
      </c>
      <c r="BP8" s="12"/>
      <c r="BQ8" s="10">
        <f t="shared" si="17"/>
        <v>0</v>
      </c>
      <c r="BR8" s="12">
        <f t="shared" si="18"/>
        <v>0</v>
      </c>
      <c r="BS8" s="11" t="e">
        <f t="shared" si="19"/>
        <v>#DIV/0!</v>
      </c>
      <c r="BU8" s="14"/>
      <c r="BV8" s="13" t="s">
        <v>8</v>
      </c>
      <c r="BX8" s="12"/>
      <c r="BY8" s="10">
        <f t="shared" si="20"/>
        <v>0</v>
      </c>
      <c r="BZ8" s="12">
        <f t="shared" si="21"/>
        <v>0</v>
      </c>
      <c r="CA8" s="11" t="e">
        <f t="shared" si="22"/>
        <v>#DIV/0!</v>
      </c>
      <c r="CC8" s="14"/>
      <c r="CD8" s="13" t="s">
        <v>8</v>
      </c>
      <c r="CF8" s="12"/>
      <c r="CG8" s="10">
        <v>25</v>
      </c>
      <c r="CH8" s="12">
        <v>-81124</v>
      </c>
      <c r="CI8" s="11">
        <v>-0.23873340984667904</v>
      </c>
      <c r="CK8" s="14"/>
      <c r="CL8" s="13" t="s">
        <v>8</v>
      </c>
      <c r="CN8" s="12"/>
      <c r="CO8" s="10">
        <f t="shared" si="23"/>
        <v>0</v>
      </c>
      <c r="CP8" s="12">
        <f t="shared" si="24"/>
        <v>0</v>
      </c>
      <c r="CQ8" s="11" t="e">
        <f t="shared" si="25"/>
        <v>#DIV/0!</v>
      </c>
      <c r="CS8" s="14"/>
      <c r="CT8" s="13" t="s">
        <v>8</v>
      </c>
      <c r="CV8" s="12"/>
      <c r="CW8" s="10">
        <f t="shared" si="26"/>
        <v>0</v>
      </c>
      <c r="CX8" s="12">
        <f t="shared" si="27"/>
        <v>0</v>
      </c>
      <c r="CY8" s="11" t="e">
        <f t="shared" si="28"/>
        <v>#DIV/0!</v>
      </c>
    </row>
    <row r="9" spans="1:103" s="10" customFormat="1" ht="20" customHeight="1">
      <c r="A9" s="14"/>
      <c r="B9" s="13" t="s">
        <v>7</v>
      </c>
      <c r="C9" s="10">
        <v>171</v>
      </c>
      <c r="D9" s="12">
        <v>903990</v>
      </c>
      <c r="F9" s="12"/>
      <c r="G9" s="11"/>
      <c r="I9" s="14"/>
      <c r="J9" s="13" t="s">
        <v>7</v>
      </c>
      <c r="K9" s="10">
        <v>161</v>
      </c>
      <c r="L9" s="12">
        <v>956562</v>
      </c>
      <c r="M9" s="10">
        <f t="shared" si="0"/>
        <v>-10</v>
      </c>
      <c r="N9" s="12">
        <f t="shared" si="0"/>
        <v>52572</v>
      </c>
      <c r="O9" s="11">
        <f t="shared" si="1"/>
        <v>5.8155510569807188E-2</v>
      </c>
      <c r="Q9" s="14"/>
      <c r="R9" s="13" t="s">
        <v>7</v>
      </c>
      <c r="T9" s="12"/>
      <c r="U9" s="10">
        <f t="shared" si="2"/>
        <v>-161</v>
      </c>
      <c r="V9" s="12">
        <f t="shared" si="3"/>
        <v>-956562</v>
      </c>
      <c r="W9" s="11">
        <f t="shared" si="4"/>
        <v>-1</v>
      </c>
      <c r="Y9" s="14"/>
      <c r="Z9" s="13" t="s">
        <v>7</v>
      </c>
      <c r="AB9" s="12"/>
      <c r="AC9" s="10">
        <f t="shared" si="5"/>
        <v>0</v>
      </c>
      <c r="AD9" s="12">
        <f t="shared" si="5"/>
        <v>0</v>
      </c>
      <c r="AE9" s="11" t="e">
        <f t="shared" si="6"/>
        <v>#DIV/0!</v>
      </c>
      <c r="AG9" s="14"/>
      <c r="AH9" s="13" t="s">
        <v>7</v>
      </c>
      <c r="AI9" s="13"/>
      <c r="AJ9" s="45"/>
      <c r="AK9" s="10">
        <f t="shared" si="7"/>
        <v>0</v>
      </c>
      <c r="AL9" s="12">
        <f t="shared" si="7"/>
        <v>0</v>
      </c>
      <c r="AM9" s="11" t="e">
        <f t="shared" si="8"/>
        <v>#DIV/0!</v>
      </c>
      <c r="AO9" s="14"/>
      <c r="AP9" s="13" t="s">
        <v>7</v>
      </c>
      <c r="AR9" s="12"/>
      <c r="AS9" s="10">
        <f t="shared" si="9"/>
        <v>0</v>
      </c>
      <c r="AT9" s="12">
        <f t="shared" si="9"/>
        <v>0</v>
      </c>
      <c r="AU9" s="11" t="e">
        <f t="shared" si="10"/>
        <v>#DIV/0!</v>
      </c>
      <c r="AW9" s="14"/>
      <c r="AX9" s="13" t="s">
        <v>7</v>
      </c>
      <c r="AZ9" s="12"/>
      <c r="BA9" s="10">
        <f t="shared" si="11"/>
        <v>0</v>
      </c>
      <c r="BB9" s="12">
        <f t="shared" si="12"/>
        <v>0</v>
      </c>
      <c r="BC9" s="11" t="e">
        <f t="shared" si="13"/>
        <v>#DIV/0!</v>
      </c>
      <c r="BE9" s="14"/>
      <c r="BF9" s="13" t="s">
        <v>7</v>
      </c>
      <c r="BH9" s="12"/>
      <c r="BI9" s="10">
        <f t="shared" si="14"/>
        <v>0</v>
      </c>
      <c r="BJ9" s="12">
        <f t="shared" si="15"/>
        <v>0</v>
      </c>
      <c r="BK9" s="11" t="e">
        <f t="shared" si="16"/>
        <v>#DIV/0!</v>
      </c>
      <c r="BM9" s="14"/>
      <c r="BN9" s="13" t="s">
        <v>7</v>
      </c>
      <c r="BP9" s="12"/>
      <c r="BQ9" s="10">
        <f t="shared" si="17"/>
        <v>0</v>
      </c>
      <c r="BR9" s="12">
        <f t="shared" si="18"/>
        <v>0</v>
      </c>
      <c r="BS9" s="11" t="e">
        <f t="shared" si="19"/>
        <v>#DIV/0!</v>
      </c>
      <c r="BU9" s="14"/>
      <c r="BV9" s="13" t="s">
        <v>7</v>
      </c>
      <c r="BX9" s="12"/>
      <c r="BY9" s="10">
        <f t="shared" si="20"/>
        <v>0</v>
      </c>
      <c r="BZ9" s="12">
        <f t="shared" si="21"/>
        <v>0</v>
      </c>
      <c r="CA9" s="11" t="e">
        <f t="shared" si="22"/>
        <v>#DIV/0!</v>
      </c>
      <c r="CC9" s="14"/>
      <c r="CD9" s="13" t="s">
        <v>7</v>
      </c>
      <c r="CF9" s="12"/>
      <c r="CG9" s="10">
        <v>-20</v>
      </c>
      <c r="CH9" s="12">
        <v>-131048</v>
      </c>
      <c r="CI9" s="11">
        <v>-0.33082570104310771</v>
      </c>
      <c r="CK9" s="14"/>
      <c r="CL9" s="13" t="s">
        <v>7</v>
      </c>
      <c r="CN9" s="12"/>
      <c r="CO9" s="10">
        <f t="shared" si="23"/>
        <v>0</v>
      </c>
      <c r="CP9" s="12">
        <f t="shared" si="24"/>
        <v>0</v>
      </c>
      <c r="CQ9" s="11" t="e">
        <f t="shared" si="25"/>
        <v>#DIV/0!</v>
      </c>
      <c r="CS9" s="14"/>
      <c r="CT9" s="13" t="s">
        <v>7</v>
      </c>
      <c r="CV9" s="12"/>
      <c r="CW9" s="10">
        <f t="shared" si="26"/>
        <v>0</v>
      </c>
      <c r="CX9" s="12">
        <f t="shared" si="27"/>
        <v>0</v>
      </c>
      <c r="CY9" s="11" t="e">
        <f t="shared" si="28"/>
        <v>#DIV/0!</v>
      </c>
    </row>
    <row r="10" spans="1:103" s="10" customFormat="1" ht="20" customHeight="1">
      <c r="A10" s="14"/>
      <c r="B10" s="13" t="s">
        <v>6</v>
      </c>
      <c r="C10" s="10">
        <v>165</v>
      </c>
      <c r="D10" s="12">
        <v>2743333</v>
      </c>
      <c r="F10" s="12"/>
      <c r="G10" s="11"/>
      <c r="I10" s="14"/>
      <c r="J10" s="13" t="s">
        <v>6</v>
      </c>
      <c r="K10" s="10">
        <v>137</v>
      </c>
      <c r="L10" s="12">
        <v>2066476</v>
      </c>
      <c r="M10" s="10">
        <f t="shared" si="0"/>
        <v>-28</v>
      </c>
      <c r="N10" s="12">
        <f t="shared" si="0"/>
        <v>-676857</v>
      </c>
      <c r="O10" s="11">
        <f t="shared" si="1"/>
        <v>-0.24672797651615755</v>
      </c>
      <c r="Q10" s="14"/>
      <c r="R10" s="13" t="s">
        <v>6</v>
      </c>
      <c r="T10" s="12"/>
      <c r="U10" s="10">
        <f t="shared" si="2"/>
        <v>-137</v>
      </c>
      <c r="V10" s="12">
        <f t="shared" si="3"/>
        <v>-2066476</v>
      </c>
      <c r="W10" s="11">
        <f t="shared" si="4"/>
        <v>-1</v>
      </c>
      <c r="Y10" s="14"/>
      <c r="Z10" s="13" t="s">
        <v>6</v>
      </c>
      <c r="AB10" s="12"/>
      <c r="AC10" s="10">
        <f t="shared" si="5"/>
        <v>0</v>
      </c>
      <c r="AD10" s="12">
        <f t="shared" si="5"/>
        <v>0</v>
      </c>
      <c r="AE10" s="11" t="e">
        <f t="shared" si="6"/>
        <v>#DIV/0!</v>
      </c>
      <c r="AG10" s="14"/>
      <c r="AH10" s="13" t="s">
        <v>6</v>
      </c>
      <c r="AI10" s="13"/>
      <c r="AJ10" s="45"/>
      <c r="AK10" s="10">
        <f t="shared" si="7"/>
        <v>0</v>
      </c>
      <c r="AL10" s="12">
        <f t="shared" si="7"/>
        <v>0</v>
      </c>
      <c r="AM10" s="11" t="e">
        <f t="shared" si="8"/>
        <v>#DIV/0!</v>
      </c>
      <c r="AO10" s="14"/>
      <c r="AP10" s="13" t="s">
        <v>6</v>
      </c>
      <c r="AR10" s="12"/>
      <c r="AS10" s="10">
        <f t="shared" si="9"/>
        <v>0</v>
      </c>
      <c r="AT10" s="12">
        <f t="shared" si="9"/>
        <v>0</v>
      </c>
      <c r="AU10" s="11" t="e">
        <f t="shared" si="10"/>
        <v>#DIV/0!</v>
      </c>
      <c r="AW10" s="14"/>
      <c r="AX10" s="13" t="s">
        <v>6</v>
      </c>
      <c r="AZ10" s="12"/>
      <c r="BA10" s="10">
        <f t="shared" si="11"/>
        <v>0</v>
      </c>
      <c r="BB10" s="12">
        <f t="shared" si="12"/>
        <v>0</v>
      </c>
      <c r="BC10" s="11" t="e">
        <f t="shared" si="13"/>
        <v>#DIV/0!</v>
      </c>
      <c r="BE10" s="14"/>
      <c r="BF10" s="13" t="s">
        <v>6</v>
      </c>
      <c r="BH10" s="12"/>
      <c r="BI10" s="10">
        <f t="shared" si="14"/>
        <v>0</v>
      </c>
      <c r="BJ10" s="12">
        <f t="shared" si="15"/>
        <v>0</v>
      </c>
      <c r="BK10" s="11" t="e">
        <f t="shared" si="16"/>
        <v>#DIV/0!</v>
      </c>
      <c r="BM10" s="14"/>
      <c r="BN10" s="13" t="s">
        <v>6</v>
      </c>
      <c r="BP10" s="12"/>
      <c r="BQ10" s="10">
        <f t="shared" si="17"/>
        <v>0</v>
      </c>
      <c r="BR10" s="12">
        <f t="shared" si="18"/>
        <v>0</v>
      </c>
      <c r="BS10" s="11" t="e">
        <f t="shared" si="19"/>
        <v>#DIV/0!</v>
      </c>
      <c r="BU10" s="14"/>
      <c r="BV10" s="13" t="s">
        <v>6</v>
      </c>
      <c r="BX10" s="12"/>
      <c r="BY10" s="10">
        <f t="shared" si="20"/>
        <v>0</v>
      </c>
      <c r="BZ10" s="12">
        <f t="shared" si="21"/>
        <v>0</v>
      </c>
      <c r="CA10" s="11" t="e">
        <f t="shared" si="22"/>
        <v>#DIV/0!</v>
      </c>
      <c r="CC10" s="14"/>
      <c r="CD10" s="13" t="s">
        <v>6</v>
      </c>
      <c r="CF10" s="12"/>
      <c r="CG10" s="10">
        <v>-59</v>
      </c>
      <c r="CH10" s="12">
        <v>-495333</v>
      </c>
      <c r="CI10" s="11">
        <v>-1</v>
      </c>
      <c r="CK10" s="14"/>
      <c r="CL10" s="13" t="s">
        <v>6</v>
      </c>
      <c r="CN10" s="12"/>
      <c r="CO10" s="10">
        <f t="shared" si="23"/>
        <v>0</v>
      </c>
      <c r="CP10" s="12">
        <f t="shared" si="24"/>
        <v>0</v>
      </c>
      <c r="CQ10" s="11" t="e">
        <f t="shared" si="25"/>
        <v>#DIV/0!</v>
      </c>
      <c r="CS10" s="14"/>
      <c r="CT10" s="13" t="s">
        <v>6</v>
      </c>
      <c r="CV10" s="12"/>
      <c r="CW10" s="10">
        <f t="shared" si="26"/>
        <v>0</v>
      </c>
      <c r="CX10" s="12">
        <f t="shared" si="27"/>
        <v>0</v>
      </c>
      <c r="CY10" s="11" t="e">
        <f t="shared" si="28"/>
        <v>#DIV/0!</v>
      </c>
    </row>
    <row r="11" spans="1:103" s="10" customFormat="1" ht="20" customHeight="1">
      <c r="A11" s="14"/>
      <c r="B11" s="13" t="s">
        <v>5</v>
      </c>
      <c r="C11" s="10">
        <v>22</v>
      </c>
      <c r="D11" s="12">
        <v>113980</v>
      </c>
      <c r="F11" s="12"/>
      <c r="G11" s="11"/>
      <c r="I11" s="14"/>
      <c r="J11" s="13" t="s">
        <v>5</v>
      </c>
      <c r="K11" s="10">
        <v>21</v>
      </c>
      <c r="L11" s="12">
        <v>124470</v>
      </c>
      <c r="M11" s="10">
        <f t="shared" si="0"/>
        <v>-1</v>
      </c>
      <c r="N11" s="12">
        <f t="shared" si="0"/>
        <v>10490</v>
      </c>
      <c r="O11" s="11">
        <f t="shared" si="1"/>
        <v>9.2033690121073874E-2</v>
      </c>
      <c r="Q11" s="14"/>
      <c r="R11" s="13" t="s">
        <v>5</v>
      </c>
      <c r="T11" s="12"/>
      <c r="U11" s="10">
        <f t="shared" si="2"/>
        <v>-21</v>
      </c>
      <c r="V11" s="12">
        <f t="shared" si="3"/>
        <v>-124470</v>
      </c>
      <c r="W11" s="11">
        <f t="shared" si="4"/>
        <v>-1</v>
      </c>
      <c r="Y11" s="14"/>
      <c r="Z11" s="13" t="s">
        <v>5</v>
      </c>
      <c r="AB11" s="12"/>
      <c r="AC11" s="10">
        <f t="shared" si="5"/>
        <v>0</v>
      </c>
      <c r="AD11" s="12">
        <f t="shared" si="5"/>
        <v>0</v>
      </c>
      <c r="AE11" s="11" t="e">
        <f t="shared" si="6"/>
        <v>#DIV/0!</v>
      </c>
      <c r="AG11" s="14"/>
      <c r="AH11" s="13" t="s">
        <v>5</v>
      </c>
      <c r="AI11" s="13"/>
      <c r="AJ11" s="45"/>
      <c r="AK11" s="10">
        <f t="shared" si="7"/>
        <v>0</v>
      </c>
      <c r="AL11" s="12">
        <f t="shared" si="7"/>
        <v>0</v>
      </c>
      <c r="AM11" s="11" t="e">
        <f t="shared" si="8"/>
        <v>#DIV/0!</v>
      </c>
      <c r="AO11" s="14"/>
      <c r="AP11" s="13" t="s">
        <v>5</v>
      </c>
      <c r="AR11" s="12"/>
      <c r="AS11" s="10">
        <f t="shared" si="9"/>
        <v>0</v>
      </c>
      <c r="AT11" s="12">
        <f t="shared" si="9"/>
        <v>0</v>
      </c>
      <c r="AU11" s="11" t="e">
        <f t="shared" si="10"/>
        <v>#DIV/0!</v>
      </c>
      <c r="AW11" s="14"/>
      <c r="AX11" s="13" t="s">
        <v>5</v>
      </c>
      <c r="AZ11" s="12"/>
      <c r="BA11" s="10">
        <f t="shared" si="11"/>
        <v>0</v>
      </c>
      <c r="BB11" s="12">
        <f t="shared" si="12"/>
        <v>0</v>
      </c>
      <c r="BC11" s="11" t="e">
        <f t="shared" si="13"/>
        <v>#DIV/0!</v>
      </c>
      <c r="BE11" s="14"/>
      <c r="BF11" s="13" t="s">
        <v>5</v>
      </c>
      <c r="BH11" s="12"/>
      <c r="BI11" s="10">
        <f t="shared" si="14"/>
        <v>0</v>
      </c>
      <c r="BJ11" s="12">
        <f t="shared" si="15"/>
        <v>0</v>
      </c>
      <c r="BK11" s="11" t="e">
        <f t="shared" si="16"/>
        <v>#DIV/0!</v>
      </c>
      <c r="BM11" s="14"/>
      <c r="BN11" s="13" t="s">
        <v>5</v>
      </c>
      <c r="BP11" s="12"/>
      <c r="BQ11" s="10">
        <f t="shared" si="17"/>
        <v>0</v>
      </c>
      <c r="BR11" s="12">
        <f t="shared" si="18"/>
        <v>0</v>
      </c>
      <c r="BS11" s="11" t="e">
        <f t="shared" si="19"/>
        <v>#DIV/0!</v>
      </c>
      <c r="BU11" s="14"/>
      <c r="BV11" s="13" t="s">
        <v>5</v>
      </c>
      <c r="BX11" s="12"/>
      <c r="BY11" s="10">
        <f t="shared" si="20"/>
        <v>0</v>
      </c>
      <c r="BZ11" s="12">
        <f t="shared" si="21"/>
        <v>0</v>
      </c>
      <c r="CA11" s="11" t="e">
        <f t="shared" si="22"/>
        <v>#DIV/0!</v>
      </c>
      <c r="CC11" s="14"/>
      <c r="CD11" s="13" t="s">
        <v>5</v>
      </c>
      <c r="CF11" s="12"/>
      <c r="CG11" s="10">
        <v>-1</v>
      </c>
      <c r="CH11" s="12">
        <v>8610</v>
      </c>
      <c r="CI11" s="11">
        <v>0.26705955334987591</v>
      </c>
      <c r="CK11" s="14"/>
      <c r="CL11" s="13" t="s">
        <v>5</v>
      </c>
      <c r="CN11" s="12"/>
      <c r="CO11" s="10">
        <f t="shared" si="23"/>
        <v>0</v>
      </c>
      <c r="CP11" s="12">
        <f t="shared" si="24"/>
        <v>0</v>
      </c>
      <c r="CQ11" s="11" t="e">
        <f t="shared" si="25"/>
        <v>#DIV/0!</v>
      </c>
      <c r="CS11" s="14"/>
      <c r="CT11" s="13" t="s">
        <v>5</v>
      </c>
      <c r="CV11" s="12"/>
      <c r="CW11" s="10">
        <f t="shared" si="26"/>
        <v>0</v>
      </c>
      <c r="CX11" s="12">
        <f t="shared" si="27"/>
        <v>0</v>
      </c>
      <c r="CY11" s="11" t="e">
        <f t="shared" si="28"/>
        <v>#DIV/0!</v>
      </c>
    </row>
    <row r="12" spans="1:103" s="10" customFormat="1" ht="20" customHeight="1">
      <c r="A12" s="14"/>
      <c r="B12" s="13" t="s">
        <v>4</v>
      </c>
      <c r="C12" s="10">
        <v>90</v>
      </c>
      <c r="D12" s="12">
        <v>3575676</v>
      </c>
      <c r="F12" s="12"/>
      <c r="G12" s="11"/>
      <c r="I12" s="14"/>
      <c r="J12" s="13" t="s">
        <v>4</v>
      </c>
      <c r="K12" s="10">
        <v>89</v>
      </c>
      <c r="L12" s="12">
        <v>3715738</v>
      </c>
      <c r="M12" s="10">
        <f t="shared" si="0"/>
        <v>-1</v>
      </c>
      <c r="N12" s="12">
        <f t="shared" si="0"/>
        <v>140062</v>
      </c>
      <c r="O12" s="11">
        <f t="shared" si="1"/>
        <v>3.9170774980730919E-2</v>
      </c>
      <c r="Q12" s="14"/>
      <c r="R12" s="13" t="s">
        <v>4</v>
      </c>
      <c r="T12" s="12"/>
      <c r="U12" s="10">
        <f t="shared" si="2"/>
        <v>-89</v>
      </c>
      <c r="V12" s="12">
        <f t="shared" si="3"/>
        <v>-3715738</v>
      </c>
      <c r="W12" s="11">
        <f t="shared" si="4"/>
        <v>-1</v>
      </c>
      <c r="Y12" s="14"/>
      <c r="Z12" s="13" t="s">
        <v>4</v>
      </c>
      <c r="AB12" s="12"/>
      <c r="AC12" s="10">
        <f t="shared" si="5"/>
        <v>0</v>
      </c>
      <c r="AD12" s="12">
        <f t="shared" si="5"/>
        <v>0</v>
      </c>
      <c r="AE12" s="11" t="e">
        <f t="shared" si="6"/>
        <v>#DIV/0!</v>
      </c>
      <c r="AG12" s="14"/>
      <c r="AH12" s="13" t="s">
        <v>4</v>
      </c>
      <c r="AI12" s="13"/>
      <c r="AJ12" s="45"/>
      <c r="AK12" s="10">
        <f t="shared" si="7"/>
        <v>0</v>
      </c>
      <c r="AL12" s="12">
        <f t="shared" si="7"/>
        <v>0</v>
      </c>
      <c r="AM12" s="11" t="e">
        <f t="shared" si="8"/>
        <v>#DIV/0!</v>
      </c>
      <c r="AO12" s="14"/>
      <c r="AP12" s="13" t="s">
        <v>4</v>
      </c>
      <c r="AR12" s="12"/>
      <c r="AS12" s="10">
        <f t="shared" si="9"/>
        <v>0</v>
      </c>
      <c r="AT12" s="12">
        <f t="shared" si="9"/>
        <v>0</v>
      </c>
      <c r="AU12" s="11" t="e">
        <f t="shared" si="10"/>
        <v>#DIV/0!</v>
      </c>
      <c r="AW12" s="14"/>
      <c r="AX12" s="13" t="s">
        <v>4</v>
      </c>
      <c r="AZ12" s="12"/>
      <c r="BA12" s="10">
        <f t="shared" si="11"/>
        <v>0</v>
      </c>
      <c r="BB12" s="12">
        <f t="shared" si="12"/>
        <v>0</v>
      </c>
      <c r="BC12" s="11" t="e">
        <f t="shared" si="13"/>
        <v>#DIV/0!</v>
      </c>
      <c r="BE12" s="14"/>
      <c r="BF12" s="13" t="s">
        <v>4</v>
      </c>
      <c r="BH12" s="12"/>
      <c r="BI12" s="10">
        <f t="shared" si="14"/>
        <v>0</v>
      </c>
      <c r="BJ12" s="12">
        <f t="shared" si="15"/>
        <v>0</v>
      </c>
      <c r="BK12" s="11" t="e">
        <f t="shared" si="16"/>
        <v>#DIV/0!</v>
      </c>
      <c r="BM12" s="14"/>
      <c r="BN12" s="13" t="s">
        <v>4</v>
      </c>
      <c r="BP12" s="12"/>
      <c r="BQ12" s="10">
        <f t="shared" si="17"/>
        <v>0</v>
      </c>
      <c r="BR12" s="12">
        <f t="shared" si="18"/>
        <v>0</v>
      </c>
      <c r="BS12" s="11" t="e">
        <f t="shared" si="19"/>
        <v>#DIV/0!</v>
      </c>
      <c r="BU12" s="14"/>
      <c r="BV12" s="13" t="s">
        <v>4</v>
      </c>
      <c r="BX12" s="12"/>
      <c r="BY12" s="10">
        <f t="shared" si="20"/>
        <v>0</v>
      </c>
      <c r="BZ12" s="12">
        <f t="shared" si="21"/>
        <v>0</v>
      </c>
      <c r="CA12" s="11" t="e">
        <f t="shared" si="22"/>
        <v>#DIV/0!</v>
      </c>
      <c r="CC12" s="14"/>
      <c r="CD12" s="13" t="s">
        <v>4</v>
      </c>
      <c r="CF12" s="12"/>
      <c r="CG12" s="10">
        <v>-7</v>
      </c>
      <c r="CH12" s="12">
        <v>-178964</v>
      </c>
      <c r="CI12" s="11">
        <v>-0.15547188693964567</v>
      </c>
      <c r="CK12" s="14"/>
      <c r="CL12" s="13" t="s">
        <v>4</v>
      </c>
      <c r="CN12" s="12"/>
      <c r="CO12" s="10">
        <f t="shared" si="23"/>
        <v>0</v>
      </c>
      <c r="CP12" s="12">
        <f t="shared" si="24"/>
        <v>0</v>
      </c>
      <c r="CQ12" s="11" t="e">
        <f t="shared" si="25"/>
        <v>#DIV/0!</v>
      </c>
      <c r="CS12" s="14"/>
      <c r="CT12" s="13" t="s">
        <v>4</v>
      </c>
      <c r="CV12" s="12"/>
      <c r="CW12" s="10">
        <f t="shared" si="26"/>
        <v>0</v>
      </c>
      <c r="CX12" s="12">
        <f t="shared" si="27"/>
        <v>0</v>
      </c>
      <c r="CY12" s="11" t="e">
        <f t="shared" si="28"/>
        <v>#DIV/0!</v>
      </c>
    </row>
    <row r="13" spans="1:103" s="10" customFormat="1" ht="20" customHeight="1">
      <c r="A13" s="14"/>
      <c r="B13" s="13" t="s">
        <v>3</v>
      </c>
      <c r="C13" s="10">
        <v>121</v>
      </c>
      <c r="D13" s="12">
        <v>2981143</v>
      </c>
      <c r="F13" s="12"/>
      <c r="G13" s="11"/>
      <c r="I13" s="14"/>
      <c r="J13" s="13" t="s">
        <v>3</v>
      </c>
      <c r="K13" s="10">
        <v>122</v>
      </c>
      <c r="L13" s="12">
        <v>2705048</v>
      </c>
      <c r="M13" s="10">
        <f t="shared" si="0"/>
        <v>1</v>
      </c>
      <c r="N13" s="12">
        <f t="shared" si="0"/>
        <v>-276095</v>
      </c>
      <c r="O13" s="11">
        <f t="shared" si="1"/>
        <v>-9.2613806181052027E-2</v>
      </c>
      <c r="Q13" s="14"/>
      <c r="R13" s="13" t="s">
        <v>3</v>
      </c>
      <c r="T13" s="12"/>
      <c r="U13" s="10">
        <f t="shared" si="2"/>
        <v>-122</v>
      </c>
      <c r="V13" s="12">
        <f t="shared" si="3"/>
        <v>-2705048</v>
      </c>
      <c r="W13" s="11">
        <f t="shared" si="4"/>
        <v>-1</v>
      </c>
      <c r="Y13" s="14"/>
      <c r="Z13" s="13" t="s">
        <v>3</v>
      </c>
      <c r="AB13" s="12"/>
      <c r="AC13" s="10">
        <f t="shared" si="5"/>
        <v>0</v>
      </c>
      <c r="AD13" s="12">
        <f t="shared" si="5"/>
        <v>0</v>
      </c>
      <c r="AE13" s="11" t="e">
        <f t="shared" si="6"/>
        <v>#DIV/0!</v>
      </c>
      <c r="AG13" s="14"/>
      <c r="AH13" s="13" t="s">
        <v>3</v>
      </c>
      <c r="AI13" s="13"/>
      <c r="AJ13" s="45"/>
      <c r="AK13" s="10">
        <f t="shared" si="7"/>
        <v>0</v>
      </c>
      <c r="AL13" s="12">
        <f t="shared" si="7"/>
        <v>0</v>
      </c>
      <c r="AM13" s="11" t="e">
        <f t="shared" si="8"/>
        <v>#DIV/0!</v>
      </c>
      <c r="AO13" s="14"/>
      <c r="AP13" s="13" t="s">
        <v>3</v>
      </c>
      <c r="AR13" s="12"/>
      <c r="AS13" s="10">
        <f t="shared" si="9"/>
        <v>0</v>
      </c>
      <c r="AT13" s="12">
        <f t="shared" si="9"/>
        <v>0</v>
      </c>
      <c r="AU13" s="11" t="e">
        <f t="shared" si="10"/>
        <v>#DIV/0!</v>
      </c>
      <c r="AW13" s="14"/>
      <c r="AX13" s="13" t="s">
        <v>3</v>
      </c>
      <c r="AZ13" s="12"/>
      <c r="BA13" s="10">
        <f t="shared" si="11"/>
        <v>0</v>
      </c>
      <c r="BB13" s="12">
        <f t="shared" si="12"/>
        <v>0</v>
      </c>
      <c r="BC13" s="11" t="e">
        <f t="shared" si="13"/>
        <v>#DIV/0!</v>
      </c>
      <c r="BE13" s="14"/>
      <c r="BF13" s="13" t="s">
        <v>3</v>
      </c>
      <c r="BH13" s="12"/>
      <c r="BI13" s="10">
        <f t="shared" si="14"/>
        <v>0</v>
      </c>
      <c r="BJ13" s="12">
        <f t="shared" si="15"/>
        <v>0</v>
      </c>
      <c r="BK13" s="11" t="e">
        <f t="shared" si="16"/>
        <v>#DIV/0!</v>
      </c>
      <c r="BM13" s="14"/>
      <c r="BN13" s="13" t="s">
        <v>3</v>
      </c>
      <c r="BP13" s="12"/>
      <c r="BQ13" s="10">
        <f t="shared" si="17"/>
        <v>0</v>
      </c>
      <c r="BR13" s="12">
        <f t="shared" si="18"/>
        <v>0</v>
      </c>
      <c r="BS13" s="11" t="e">
        <f t="shared" si="19"/>
        <v>#DIV/0!</v>
      </c>
      <c r="BU13" s="14"/>
      <c r="BV13" s="13" t="s">
        <v>3</v>
      </c>
      <c r="BX13" s="12"/>
      <c r="BY13" s="10">
        <f t="shared" si="20"/>
        <v>0</v>
      </c>
      <c r="BZ13" s="12">
        <f t="shared" si="21"/>
        <v>0</v>
      </c>
      <c r="CA13" s="11" t="e">
        <f t="shared" si="22"/>
        <v>#DIV/0!</v>
      </c>
      <c r="CC13" s="14"/>
      <c r="CD13" s="13" t="s">
        <v>3</v>
      </c>
      <c r="CF13" s="12"/>
      <c r="CG13" s="10">
        <v>-3</v>
      </c>
      <c r="CH13" s="12">
        <v>-290571</v>
      </c>
      <c r="CI13" s="11">
        <v>-0.22719460933639418</v>
      </c>
      <c r="CK13" s="14"/>
      <c r="CL13" s="13" t="s">
        <v>3</v>
      </c>
      <c r="CN13" s="12"/>
      <c r="CO13" s="10">
        <f t="shared" si="23"/>
        <v>0</v>
      </c>
      <c r="CP13" s="12">
        <f t="shared" si="24"/>
        <v>0</v>
      </c>
      <c r="CQ13" s="11" t="e">
        <f t="shared" si="25"/>
        <v>#DIV/0!</v>
      </c>
      <c r="CS13" s="14"/>
      <c r="CT13" s="13" t="s">
        <v>3</v>
      </c>
      <c r="CV13" s="12"/>
      <c r="CW13" s="10">
        <f t="shared" si="26"/>
        <v>0</v>
      </c>
      <c r="CX13" s="12">
        <f t="shared" si="27"/>
        <v>0</v>
      </c>
      <c r="CY13" s="11" t="e">
        <f t="shared" si="28"/>
        <v>#DIV/0!</v>
      </c>
    </row>
    <row r="14" spans="1:103" s="10" customFormat="1" ht="20" customHeight="1">
      <c r="A14" s="14"/>
      <c r="B14" s="13" t="s">
        <v>2</v>
      </c>
      <c r="C14" s="10">
        <v>563</v>
      </c>
      <c r="D14" s="12">
        <v>22891470</v>
      </c>
      <c r="F14" s="12"/>
      <c r="G14" s="11"/>
      <c r="I14" s="14"/>
      <c r="J14" s="13" t="s">
        <v>2</v>
      </c>
      <c r="K14" s="10">
        <v>517</v>
      </c>
      <c r="L14" s="12">
        <v>21701050</v>
      </c>
      <c r="M14" s="10">
        <f t="shared" si="0"/>
        <v>-46</v>
      </c>
      <c r="N14" s="12">
        <f t="shared" si="0"/>
        <v>-1190420</v>
      </c>
      <c r="O14" s="11">
        <f t="shared" si="1"/>
        <v>-5.2002776580097304E-2</v>
      </c>
      <c r="Q14" s="14"/>
      <c r="R14" s="13" t="s">
        <v>2</v>
      </c>
      <c r="T14" s="12"/>
      <c r="U14" s="10">
        <f t="shared" si="2"/>
        <v>-517</v>
      </c>
      <c r="V14" s="12">
        <f t="shared" si="3"/>
        <v>-21701050</v>
      </c>
      <c r="W14" s="11">
        <f t="shared" si="4"/>
        <v>-1</v>
      </c>
      <c r="Y14" s="14"/>
      <c r="Z14" s="13" t="s">
        <v>2</v>
      </c>
      <c r="AB14" s="12"/>
      <c r="AC14" s="10">
        <f t="shared" si="5"/>
        <v>0</v>
      </c>
      <c r="AD14" s="12">
        <f t="shared" si="5"/>
        <v>0</v>
      </c>
      <c r="AE14" s="11" t="e">
        <f t="shared" si="6"/>
        <v>#DIV/0!</v>
      </c>
      <c r="AG14" s="14"/>
      <c r="AH14" s="13" t="s">
        <v>2</v>
      </c>
      <c r="AI14" s="13"/>
      <c r="AJ14" s="45"/>
      <c r="AK14" s="10">
        <f t="shared" si="7"/>
        <v>0</v>
      </c>
      <c r="AL14" s="12">
        <f t="shared" si="7"/>
        <v>0</v>
      </c>
      <c r="AM14" s="11" t="e">
        <f t="shared" si="8"/>
        <v>#DIV/0!</v>
      </c>
      <c r="AO14" s="14"/>
      <c r="AP14" s="13" t="s">
        <v>2</v>
      </c>
      <c r="AR14" s="12"/>
      <c r="AS14" s="10">
        <f t="shared" si="9"/>
        <v>0</v>
      </c>
      <c r="AT14" s="12">
        <f t="shared" si="9"/>
        <v>0</v>
      </c>
      <c r="AU14" s="11" t="e">
        <f t="shared" si="10"/>
        <v>#DIV/0!</v>
      </c>
      <c r="AW14" s="14"/>
      <c r="AX14" s="13" t="s">
        <v>2</v>
      </c>
      <c r="AZ14" s="12"/>
      <c r="BA14" s="10">
        <f t="shared" si="11"/>
        <v>0</v>
      </c>
      <c r="BB14" s="12">
        <f t="shared" si="12"/>
        <v>0</v>
      </c>
      <c r="BC14" s="11" t="e">
        <f t="shared" si="13"/>
        <v>#DIV/0!</v>
      </c>
      <c r="BE14" s="14"/>
      <c r="BF14" s="13" t="s">
        <v>2</v>
      </c>
      <c r="BH14" s="12"/>
      <c r="BI14" s="10">
        <f t="shared" si="14"/>
        <v>0</v>
      </c>
      <c r="BJ14" s="12">
        <f t="shared" si="15"/>
        <v>0</v>
      </c>
      <c r="BK14" s="11" t="e">
        <f t="shared" si="16"/>
        <v>#DIV/0!</v>
      </c>
      <c r="BM14" s="14"/>
      <c r="BN14" s="13" t="s">
        <v>2</v>
      </c>
      <c r="BP14" s="12"/>
      <c r="BQ14" s="10">
        <f t="shared" si="17"/>
        <v>0</v>
      </c>
      <c r="BR14" s="12">
        <f t="shared" si="18"/>
        <v>0</v>
      </c>
      <c r="BS14" s="11" t="e">
        <f t="shared" si="19"/>
        <v>#DIV/0!</v>
      </c>
      <c r="BU14" s="14"/>
      <c r="BV14" s="13" t="s">
        <v>2</v>
      </c>
      <c r="BX14" s="12"/>
      <c r="BY14" s="10">
        <f t="shared" si="20"/>
        <v>0</v>
      </c>
      <c r="BZ14" s="12">
        <f t="shared" si="21"/>
        <v>0</v>
      </c>
      <c r="CA14" s="11" t="e">
        <f t="shared" si="22"/>
        <v>#DIV/0!</v>
      </c>
      <c r="CC14" s="14"/>
      <c r="CD14" s="13" t="s">
        <v>2</v>
      </c>
      <c r="CF14" s="12"/>
      <c r="CG14" s="10">
        <v>-14</v>
      </c>
      <c r="CH14" s="12">
        <v>-400571</v>
      </c>
      <c r="CI14" s="11">
        <v>-0.30107345040421624</v>
      </c>
      <c r="CK14" s="14"/>
      <c r="CL14" s="13" t="s">
        <v>2</v>
      </c>
      <c r="CN14" s="12"/>
      <c r="CO14" s="10">
        <f t="shared" si="23"/>
        <v>0</v>
      </c>
      <c r="CP14" s="12">
        <f t="shared" si="24"/>
        <v>0</v>
      </c>
      <c r="CQ14" s="11" t="e">
        <f t="shared" si="25"/>
        <v>#DIV/0!</v>
      </c>
      <c r="CS14" s="14"/>
      <c r="CT14" s="13" t="s">
        <v>2</v>
      </c>
      <c r="CV14" s="12"/>
      <c r="CW14" s="10">
        <f t="shared" si="26"/>
        <v>0</v>
      </c>
      <c r="CX14" s="12">
        <f t="shared" si="27"/>
        <v>0</v>
      </c>
      <c r="CY14" s="11" t="e">
        <f t="shared" si="28"/>
        <v>#DIV/0!</v>
      </c>
    </row>
    <row r="15" spans="1:103" s="1" customFormat="1" ht="20" customHeight="1">
      <c r="A15" s="9" t="s">
        <v>18</v>
      </c>
      <c r="B15" s="9"/>
      <c r="C15" s="8">
        <v>1882</v>
      </c>
      <c r="D15" s="7">
        <v>34240890</v>
      </c>
      <c r="E15" s="27"/>
      <c r="F15" s="28"/>
      <c r="G15" s="29"/>
      <c r="I15" s="9" t="s">
        <v>18</v>
      </c>
      <c r="J15" s="9"/>
      <c r="K15" s="8">
        <v>1977</v>
      </c>
      <c r="L15" s="7">
        <v>32721360</v>
      </c>
      <c r="M15" s="27">
        <f t="shared" si="0"/>
        <v>95</v>
      </c>
      <c r="N15" s="28">
        <f t="shared" si="0"/>
        <v>-1519530</v>
      </c>
      <c r="O15" s="29">
        <f t="shared" si="1"/>
        <v>-4.4377643221306454E-2</v>
      </c>
      <c r="Q15" s="9" t="s">
        <v>18</v>
      </c>
      <c r="R15" s="9"/>
      <c r="S15" s="8"/>
      <c r="T15" s="7"/>
      <c r="U15" s="27">
        <f t="shared" si="2"/>
        <v>-1977</v>
      </c>
      <c r="V15" s="28">
        <f t="shared" si="3"/>
        <v>-32721360</v>
      </c>
      <c r="W15" s="29">
        <f t="shared" si="4"/>
        <v>-1</v>
      </c>
      <c r="Y15" s="9" t="s">
        <v>18</v>
      </c>
      <c r="Z15" s="9"/>
      <c r="AA15" s="8"/>
      <c r="AB15" s="7"/>
      <c r="AC15" s="27">
        <f t="shared" si="5"/>
        <v>0</v>
      </c>
      <c r="AD15" s="28">
        <f t="shared" si="5"/>
        <v>0</v>
      </c>
      <c r="AE15" s="29" t="e">
        <f t="shared" si="6"/>
        <v>#DIV/0!</v>
      </c>
      <c r="AG15" s="9" t="s">
        <v>18</v>
      </c>
      <c r="AH15" s="9"/>
      <c r="AI15" s="9"/>
      <c r="AJ15" s="46"/>
      <c r="AK15" s="27">
        <f t="shared" si="7"/>
        <v>0</v>
      </c>
      <c r="AL15" s="28">
        <f t="shared" si="7"/>
        <v>0</v>
      </c>
      <c r="AM15" s="29" t="e">
        <f t="shared" si="8"/>
        <v>#DIV/0!</v>
      </c>
      <c r="AO15" s="9" t="s">
        <v>27</v>
      </c>
      <c r="AP15" s="9"/>
      <c r="AQ15" s="8"/>
      <c r="AR15" s="7"/>
      <c r="AS15" s="27">
        <f t="shared" si="9"/>
        <v>0</v>
      </c>
      <c r="AT15" s="28">
        <f t="shared" si="9"/>
        <v>0</v>
      </c>
      <c r="AU15" s="29" t="e">
        <f t="shared" si="10"/>
        <v>#DIV/0!</v>
      </c>
      <c r="AW15" s="9" t="s">
        <v>27</v>
      </c>
      <c r="AX15" s="9"/>
      <c r="AY15" s="8"/>
      <c r="AZ15" s="7"/>
      <c r="BA15" s="27">
        <f t="shared" si="11"/>
        <v>0</v>
      </c>
      <c r="BB15" s="28">
        <f t="shared" si="12"/>
        <v>0</v>
      </c>
      <c r="BC15" s="29" t="e">
        <f t="shared" si="13"/>
        <v>#DIV/0!</v>
      </c>
      <c r="BE15" s="9" t="s">
        <v>18</v>
      </c>
      <c r="BF15" s="9"/>
      <c r="BG15" s="8"/>
      <c r="BH15" s="7"/>
      <c r="BI15" s="27">
        <f t="shared" si="14"/>
        <v>0</v>
      </c>
      <c r="BJ15" s="28">
        <f t="shared" si="15"/>
        <v>0</v>
      </c>
      <c r="BK15" s="29" t="e">
        <f t="shared" si="16"/>
        <v>#DIV/0!</v>
      </c>
      <c r="BM15" s="9" t="s">
        <v>27</v>
      </c>
      <c r="BN15" s="9"/>
      <c r="BO15" s="8"/>
      <c r="BP15" s="7"/>
      <c r="BQ15" s="27">
        <f t="shared" si="17"/>
        <v>0</v>
      </c>
      <c r="BR15" s="28">
        <f t="shared" si="18"/>
        <v>0</v>
      </c>
      <c r="BS15" s="29" t="e">
        <f t="shared" si="19"/>
        <v>#DIV/0!</v>
      </c>
      <c r="BU15" s="9" t="s">
        <v>27</v>
      </c>
      <c r="BV15" s="9"/>
      <c r="BW15" s="8"/>
      <c r="BX15" s="7"/>
      <c r="BY15" s="27">
        <f t="shared" si="20"/>
        <v>0</v>
      </c>
      <c r="BZ15" s="28">
        <f t="shared" si="21"/>
        <v>0</v>
      </c>
      <c r="CA15" s="29" t="e">
        <f t="shared" si="22"/>
        <v>#DIV/0!</v>
      </c>
      <c r="CC15" s="9" t="s">
        <v>27</v>
      </c>
      <c r="CD15" s="9"/>
      <c r="CE15" s="8"/>
      <c r="CF15" s="7"/>
      <c r="CG15" s="27">
        <v>-135</v>
      </c>
      <c r="CH15" s="28">
        <v>-1616719</v>
      </c>
      <c r="CI15" s="29">
        <v>-0.30915216965211945</v>
      </c>
      <c r="CK15" s="9" t="s">
        <v>18</v>
      </c>
      <c r="CL15" s="9"/>
      <c r="CM15" s="8"/>
      <c r="CN15" s="7"/>
      <c r="CO15" s="27">
        <f t="shared" si="23"/>
        <v>0</v>
      </c>
      <c r="CP15" s="28">
        <f t="shared" si="24"/>
        <v>0</v>
      </c>
      <c r="CQ15" s="29" t="e">
        <f t="shared" si="25"/>
        <v>#DIV/0!</v>
      </c>
      <c r="CS15" s="9" t="s">
        <v>18</v>
      </c>
      <c r="CT15" s="9"/>
      <c r="CU15" s="8"/>
      <c r="CV15" s="7"/>
      <c r="CW15" s="27">
        <f t="shared" si="26"/>
        <v>0</v>
      </c>
      <c r="CX15" s="28">
        <f t="shared" si="27"/>
        <v>0</v>
      </c>
      <c r="CY15" s="29" t="e">
        <f t="shared" si="28"/>
        <v>#DIV/0!</v>
      </c>
    </row>
    <row r="16" spans="1:103" s="1" customFormat="1" ht="20" customHeight="1">
      <c r="A16" s="14">
        <v>76</v>
      </c>
      <c r="B16" s="32" t="s">
        <v>19</v>
      </c>
      <c r="C16" s="1">
        <v>10989</v>
      </c>
      <c r="D16" s="35"/>
      <c r="E16" s="10"/>
      <c r="F16" s="12"/>
      <c r="G16" s="36"/>
      <c r="I16" s="14">
        <v>76</v>
      </c>
      <c r="J16" s="32" t="s">
        <v>19</v>
      </c>
      <c r="K16" s="1">
        <v>9228</v>
      </c>
      <c r="L16" s="35"/>
      <c r="M16" s="10">
        <f t="shared" si="0"/>
        <v>-1761</v>
      </c>
      <c r="N16" s="12">
        <f t="shared" si="0"/>
        <v>0</v>
      </c>
      <c r="O16" s="11" t="e">
        <f t="shared" si="1"/>
        <v>#DIV/0!</v>
      </c>
      <c r="Q16" s="14">
        <v>76</v>
      </c>
      <c r="R16" s="32" t="s">
        <v>19</v>
      </c>
      <c r="T16" s="35"/>
      <c r="U16" s="10">
        <f t="shared" si="2"/>
        <v>-9228</v>
      </c>
      <c r="V16" s="12">
        <f t="shared" si="3"/>
        <v>0</v>
      </c>
      <c r="W16" s="11" t="e">
        <f t="shared" si="4"/>
        <v>#DIV/0!</v>
      </c>
      <c r="Y16" s="14">
        <v>76</v>
      </c>
      <c r="Z16" s="32" t="s">
        <v>19</v>
      </c>
      <c r="AB16" s="35"/>
      <c r="AC16" s="10">
        <f t="shared" si="5"/>
        <v>0</v>
      </c>
      <c r="AD16" s="12">
        <f t="shared" si="5"/>
        <v>0</v>
      </c>
      <c r="AE16" s="11" t="e">
        <f t="shared" si="6"/>
        <v>#DIV/0!</v>
      </c>
      <c r="AG16" s="14">
        <v>76</v>
      </c>
      <c r="AH16" s="32" t="s">
        <v>19</v>
      </c>
      <c r="AI16" s="32"/>
      <c r="AJ16" s="47"/>
      <c r="AK16" s="10">
        <f t="shared" si="7"/>
        <v>0</v>
      </c>
      <c r="AL16" s="12">
        <f t="shared" si="7"/>
        <v>0</v>
      </c>
      <c r="AM16" s="11" t="e">
        <f t="shared" si="8"/>
        <v>#DIV/0!</v>
      </c>
      <c r="AO16" s="14">
        <v>76</v>
      </c>
      <c r="AP16" s="32" t="s">
        <v>25</v>
      </c>
      <c r="AR16" s="35"/>
      <c r="AS16" s="10">
        <f t="shared" si="9"/>
        <v>0</v>
      </c>
      <c r="AT16" s="12">
        <f t="shared" si="9"/>
        <v>0</v>
      </c>
      <c r="AU16" s="11" t="e">
        <f t="shared" si="10"/>
        <v>#DIV/0!</v>
      </c>
      <c r="AW16" s="14">
        <v>76</v>
      </c>
      <c r="AX16" s="32" t="s">
        <v>25</v>
      </c>
      <c r="AZ16" s="35"/>
      <c r="BA16" s="10">
        <f t="shared" si="11"/>
        <v>0</v>
      </c>
      <c r="BB16" s="12">
        <f t="shared" si="12"/>
        <v>0</v>
      </c>
      <c r="BC16" s="11" t="e">
        <f t="shared" si="13"/>
        <v>#DIV/0!</v>
      </c>
      <c r="BE16" s="14">
        <v>76</v>
      </c>
      <c r="BF16" s="32" t="s">
        <v>19</v>
      </c>
      <c r="BH16" s="35"/>
      <c r="BI16" s="10">
        <f t="shared" si="14"/>
        <v>0</v>
      </c>
      <c r="BJ16" s="12">
        <f t="shared" si="15"/>
        <v>0</v>
      </c>
      <c r="BK16" s="11" t="e">
        <f t="shared" si="16"/>
        <v>#DIV/0!</v>
      </c>
      <c r="BM16" s="14">
        <v>76</v>
      </c>
      <c r="BN16" s="32" t="s">
        <v>25</v>
      </c>
      <c r="BP16" s="35"/>
      <c r="BQ16" s="10">
        <f t="shared" si="17"/>
        <v>0</v>
      </c>
      <c r="BR16" s="12">
        <f t="shared" si="18"/>
        <v>0</v>
      </c>
      <c r="BS16" s="11" t="e">
        <f t="shared" si="19"/>
        <v>#DIV/0!</v>
      </c>
      <c r="BU16" s="14">
        <v>76</v>
      </c>
      <c r="BV16" s="32" t="s">
        <v>25</v>
      </c>
      <c r="BW16" s="15"/>
      <c r="BX16" s="33"/>
      <c r="BY16" s="10">
        <f t="shared" si="20"/>
        <v>0</v>
      </c>
      <c r="BZ16" s="12">
        <f t="shared" si="21"/>
        <v>0</v>
      </c>
      <c r="CA16" s="11" t="e">
        <f t="shared" si="22"/>
        <v>#DIV/0!</v>
      </c>
      <c r="CC16" s="14">
        <v>76</v>
      </c>
      <c r="CD16" s="32" t="s">
        <v>25</v>
      </c>
      <c r="CE16" s="15"/>
      <c r="CF16" s="33"/>
      <c r="CG16" s="10">
        <v>3015</v>
      </c>
      <c r="CH16" s="12">
        <v>0</v>
      </c>
      <c r="CI16" s="11" t="e">
        <v>#DIV/0!</v>
      </c>
      <c r="CK16" s="14">
        <v>76</v>
      </c>
      <c r="CL16" s="32" t="s">
        <v>19</v>
      </c>
      <c r="CM16" s="15"/>
      <c r="CN16" s="33"/>
      <c r="CO16" s="10">
        <f t="shared" si="23"/>
        <v>0</v>
      </c>
      <c r="CP16" s="12">
        <f t="shared" si="24"/>
        <v>0</v>
      </c>
      <c r="CQ16" s="11" t="e">
        <f t="shared" si="25"/>
        <v>#DIV/0!</v>
      </c>
      <c r="CS16" s="14">
        <v>76</v>
      </c>
      <c r="CT16" s="32" t="s">
        <v>19</v>
      </c>
      <c r="CU16" s="15"/>
      <c r="CV16" s="33"/>
      <c r="CW16" s="10">
        <f t="shared" si="26"/>
        <v>0</v>
      </c>
      <c r="CX16" s="12">
        <f t="shared" si="27"/>
        <v>0</v>
      </c>
      <c r="CY16" s="11" t="e">
        <f t="shared" si="28"/>
        <v>#DIV/0!</v>
      </c>
    </row>
    <row r="17" spans="1:103" s="1" customFormat="1" ht="20" customHeight="1">
      <c r="A17" s="14"/>
      <c r="B17" s="32" t="s">
        <v>20</v>
      </c>
      <c r="C17" s="1">
        <v>26</v>
      </c>
      <c r="D17" s="35"/>
      <c r="E17" s="10"/>
      <c r="F17" s="12"/>
      <c r="G17" s="36"/>
      <c r="I17" s="14"/>
      <c r="J17" s="32" t="s">
        <v>20</v>
      </c>
      <c r="K17" s="1">
        <v>26</v>
      </c>
      <c r="L17" s="35"/>
      <c r="M17" s="10">
        <f t="shared" si="0"/>
        <v>0</v>
      </c>
      <c r="N17" s="12">
        <f t="shared" si="0"/>
        <v>0</v>
      </c>
      <c r="O17" s="11" t="e">
        <f t="shared" si="1"/>
        <v>#DIV/0!</v>
      </c>
      <c r="Q17" s="14"/>
      <c r="R17" s="32" t="s">
        <v>20</v>
      </c>
      <c r="T17" s="35"/>
      <c r="U17" s="10">
        <f t="shared" si="2"/>
        <v>-26</v>
      </c>
      <c r="V17" s="12">
        <f t="shared" si="3"/>
        <v>0</v>
      </c>
      <c r="W17" s="11" t="e">
        <f t="shared" si="4"/>
        <v>#DIV/0!</v>
      </c>
      <c r="Y17" s="14"/>
      <c r="Z17" s="32" t="s">
        <v>20</v>
      </c>
      <c r="AB17" s="35"/>
      <c r="AC17" s="10">
        <f t="shared" si="5"/>
        <v>0</v>
      </c>
      <c r="AD17" s="12">
        <f t="shared" si="5"/>
        <v>0</v>
      </c>
      <c r="AE17" s="11" t="e">
        <f t="shared" si="6"/>
        <v>#DIV/0!</v>
      </c>
      <c r="AG17" s="14"/>
      <c r="AH17" s="32" t="s">
        <v>20</v>
      </c>
      <c r="AI17" s="32"/>
      <c r="AJ17" s="47"/>
      <c r="AK17" s="10">
        <f t="shared" si="7"/>
        <v>0</v>
      </c>
      <c r="AL17" s="12">
        <f t="shared" si="7"/>
        <v>0</v>
      </c>
      <c r="AM17" s="11" t="e">
        <f t="shared" si="8"/>
        <v>#DIV/0!</v>
      </c>
      <c r="AO17" s="14"/>
      <c r="AP17" s="32" t="s">
        <v>26</v>
      </c>
      <c r="AR17" s="35"/>
      <c r="AS17" s="10">
        <f t="shared" si="9"/>
        <v>0</v>
      </c>
      <c r="AT17" s="12">
        <f t="shared" si="9"/>
        <v>0</v>
      </c>
      <c r="AU17" s="11" t="e">
        <f t="shared" si="10"/>
        <v>#DIV/0!</v>
      </c>
      <c r="AW17" s="14"/>
      <c r="AX17" s="32" t="s">
        <v>26</v>
      </c>
      <c r="AZ17" s="35"/>
      <c r="BA17" s="10">
        <f t="shared" si="11"/>
        <v>0</v>
      </c>
      <c r="BB17" s="12">
        <f t="shared" si="12"/>
        <v>0</v>
      </c>
      <c r="BC17" s="11" t="e">
        <f t="shared" si="13"/>
        <v>#DIV/0!</v>
      </c>
      <c r="BE17" s="14"/>
      <c r="BF17" s="32" t="s">
        <v>20</v>
      </c>
      <c r="BH17" s="35"/>
      <c r="BI17" s="10">
        <f t="shared" si="14"/>
        <v>0</v>
      </c>
      <c r="BJ17" s="12">
        <f t="shared" si="15"/>
        <v>0</v>
      </c>
      <c r="BK17" s="11" t="e">
        <f t="shared" si="16"/>
        <v>#DIV/0!</v>
      </c>
      <c r="BM17" s="14"/>
      <c r="BN17" s="32" t="s">
        <v>26</v>
      </c>
      <c r="BP17" s="35"/>
      <c r="BQ17" s="10">
        <f t="shared" si="17"/>
        <v>0</v>
      </c>
      <c r="BR17" s="12">
        <f t="shared" si="18"/>
        <v>0</v>
      </c>
      <c r="BS17" s="11" t="e">
        <f t="shared" si="19"/>
        <v>#DIV/0!</v>
      </c>
      <c r="BU17" s="14"/>
      <c r="BV17" s="32" t="s">
        <v>26</v>
      </c>
      <c r="BW17" s="15"/>
      <c r="BX17" s="33"/>
      <c r="BY17" s="10">
        <f t="shared" si="20"/>
        <v>0</v>
      </c>
      <c r="BZ17" s="12">
        <f t="shared" si="21"/>
        <v>0</v>
      </c>
      <c r="CA17" s="11" t="e">
        <f t="shared" si="22"/>
        <v>#DIV/0!</v>
      </c>
      <c r="CC17" s="14"/>
      <c r="CD17" s="32" t="s">
        <v>26</v>
      </c>
      <c r="CE17" s="15"/>
      <c r="CF17" s="33"/>
      <c r="CG17" s="10">
        <v>7</v>
      </c>
      <c r="CH17" s="12">
        <v>0</v>
      </c>
      <c r="CI17" s="11" t="e">
        <v>#DIV/0!</v>
      </c>
      <c r="CK17" s="14"/>
      <c r="CL17" s="32" t="s">
        <v>20</v>
      </c>
      <c r="CM17" s="15"/>
      <c r="CN17" s="33"/>
      <c r="CO17" s="10">
        <f t="shared" si="23"/>
        <v>0</v>
      </c>
      <c r="CP17" s="12">
        <f t="shared" si="24"/>
        <v>0</v>
      </c>
      <c r="CQ17" s="11" t="e">
        <f t="shared" si="25"/>
        <v>#DIV/0!</v>
      </c>
      <c r="CS17" s="14"/>
      <c r="CT17" s="32" t="s">
        <v>20</v>
      </c>
      <c r="CU17" s="15"/>
      <c r="CV17" s="33"/>
      <c r="CW17" s="10">
        <f t="shared" si="26"/>
        <v>0</v>
      </c>
      <c r="CX17" s="12">
        <f t="shared" si="27"/>
        <v>0</v>
      </c>
      <c r="CY17" s="11" t="e">
        <f t="shared" si="28"/>
        <v>#DIV/0!</v>
      </c>
    </row>
    <row r="18" spans="1:103" s="10" customFormat="1" ht="20" customHeight="1">
      <c r="A18" s="14"/>
      <c r="B18" s="13" t="s">
        <v>9</v>
      </c>
      <c r="C18" s="10">
        <v>179</v>
      </c>
      <c r="D18" s="12">
        <v>172910</v>
      </c>
      <c r="F18" s="12"/>
      <c r="G18" s="11"/>
      <c r="I18" s="14"/>
      <c r="J18" s="13" t="s">
        <v>9</v>
      </c>
      <c r="K18" s="10">
        <v>214</v>
      </c>
      <c r="L18" s="12">
        <v>218415</v>
      </c>
      <c r="M18" s="10">
        <f t="shared" si="0"/>
        <v>35</v>
      </c>
      <c r="N18" s="12">
        <f t="shared" si="0"/>
        <v>45505</v>
      </c>
      <c r="O18" s="11">
        <f t="shared" si="1"/>
        <v>0.26317159215776992</v>
      </c>
      <c r="Q18" s="14"/>
      <c r="R18" s="13" t="s">
        <v>9</v>
      </c>
      <c r="T18" s="12"/>
      <c r="U18" s="10">
        <f t="shared" si="2"/>
        <v>-214</v>
      </c>
      <c r="V18" s="12">
        <f t="shared" si="3"/>
        <v>-218415</v>
      </c>
      <c r="W18" s="11">
        <f t="shared" si="4"/>
        <v>-1</v>
      </c>
      <c r="Y18" s="14"/>
      <c r="Z18" s="13" t="s">
        <v>9</v>
      </c>
      <c r="AB18" s="12"/>
      <c r="AC18" s="10">
        <f t="shared" si="5"/>
        <v>0</v>
      </c>
      <c r="AD18" s="12">
        <f t="shared" si="5"/>
        <v>0</v>
      </c>
      <c r="AE18" s="11" t="e">
        <f t="shared" si="6"/>
        <v>#DIV/0!</v>
      </c>
      <c r="AG18" s="14"/>
      <c r="AH18" s="13" t="s">
        <v>9</v>
      </c>
      <c r="AI18" s="13"/>
      <c r="AJ18" s="45"/>
      <c r="AK18" s="10">
        <f t="shared" si="7"/>
        <v>0</v>
      </c>
      <c r="AL18" s="12">
        <f t="shared" si="7"/>
        <v>0</v>
      </c>
      <c r="AM18" s="11" t="e">
        <f t="shared" si="8"/>
        <v>#DIV/0!</v>
      </c>
      <c r="AO18" s="14"/>
      <c r="AP18" s="13" t="s">
        <v>9</v>
      </c>
      <c r="AR18" s="12"/>
      <c r="AS18" s="10">
        <f t="shared" si="9"/>
        <v>0</v>
      </c>
      <c r="AT18" s="12">
        <f t="shared" si="9"/>
        <v>0</v>
      </c>
      <c r="AU18" s="11" t="e">
        <f t="shared" si="10"/>
        <v>#DIV/0!</v>
      </c>
      <c r="AW18" s="14"/>
      <c r="AX18" s="13" t="s">
        <v>9</v>
      </c>
      <c r="AZ18" s="12"/>
      <c r="BA18" s="10">
        <f t="shared" si="11"/>
        <v>0</v>
      </c>
      <c r="BB18" s="12">
        <f t="shared" si="12"/>
        <v>0</v>
      </c>
      <c r="BC18" s="11" t="e">
        <f t="shared" si="13"/>
        <v>#DIV/0!</v>
      </c>
      <c r="BE18" s="14"/>
      <c r="BF18" s="13" t="s">
        <v>9</v>
      </c>
      <c r="BH18" s="12"/>
      <c r="BI18" s="10">
        <f t="shared" si="14"/>
        <v>0</v>
      </c>
      <c r="BJ18" s="12">
        <f t="shared" si="15"/>
        <v>0</v>
      </c>
      <c r="BK18" s="11" t="e">
        <f t="shared" si="16"/>
        <v>#DIV/0!</v>
      </c>
      <c r="BM18" s="14"/>
      <c r="BN18" s="13" t="s">
        <v>9</v>
      </c>
      <c r="BP18" s="12"/>
      <c r="BQ18" s="10">
        <f t="shared" si="17"/>
        <v>0</v>
      </c>
      <c r="BR18" s="12">
        <f t="shared" si="18"/>
        <v>0</v>
      </c>
      <c r="BS18" s="11" t="e">
        <f t="shared" si="19"/>
        <v>#DIV/0!</v>
      </c>
      <c r="BU18" s="14"/>
      <c r="BV18" s="13" t="s">
        <v>9</v>
      </c>
      <c r="BX18" s="12"/>
      <c r="BY18" s="10">
        <f t="shared" si="20"/>
        <v>0</v>
      </c>
      <c r="BZ18" s="12">
        <f t="shared" si="21"/>
        <v>0</v>
      </c>
      <c r="CA18" s="11" t="e">
        <f t="shared" si="22"/>
        <v>#DIV/0!</v>
      </c>
      <c r="CC18" s="14"/>
      <c r="CD18" s="13" t="s">
        <v>9</v>
      </c>
      <c r="CF18" s="12"/>
      <c r="CG18" s="10">
        <v>0</v>
      </c>
      <c r="CH18" s="12">
        <v>16367</v>
      </c>
      <c r="CI18" s="11">
        <v>0.11646292000512332</v>
      </c>
      <c r="CK18" s="14"/>
      <c r="CL18" s="13" t="s">
        <v>9</v>
      </c>
      <c r="CN18" s="12"/>
      <c r="CO18" s="10">
        <f t="shared" si="23"/>
        <v>0</v>
      </c>
      <c r="CP18" s="12">
        <f t="shared" si="24"/>
        <v>0</v>
      </c>
      <c r="CQ18" s="11" t="e">
        <f t="shared" si="25"/>
        <v>#DIV/0!</v>
      </c>
      <c r="CS18" s="14"/>
      <c r="CT18" s="13" t="s">
        <v>9</v>
      </c>
      <c r="CV18" s="12"/>
      <c r="CW18" s="10">
        <f t="shared" si="26"/>
        <v>0</v>
      </c>
      <c r="CX18" s="12">
        <f t="shared" si="27"/>
        <v>0</v>
      </c>
      <c r="CY18" s="11" t="e">
        <f t="shared" si="28"/>
        <v>#DIV/0!</v>
      </c>
    </row>
    <row r="19" spans="1:103" s="10" customFormat="1" ht="20" customHeight="1">
      <c r="A19" s="14"/>
      <c r="B19" s="13" t="s">
        <v>8</v>
      </c>
      <c r="C19" s="10">
        <v>247</v>
      </c>
      <c r="D19" s="12">
        <v>255109</v>
      </c>
      <c r="F19" s="12"/>
      <c r="G19" s="11"/>
      <c r="I19" s="14"/>
      <c r="J19" s="13" t="s">
        <v>8</v>
      </c>
      <c r="K19" s="10">
        <v>273</v>
      </c>
      <c r="L19" s="12">
        <v>350306</v>
      </c>
      <c r="M19" s="10">
        <f t="shared" si="0"/>
        <v>26</v>
      </c>
      <c r="N19" s="12">
        <f t="shared" si="0"/>
        <v>95197</v>
      </c>
      <c r="O19" s="11">
        <f t="shared" si="1"/>
        <v>0.37316206013899939</v>
      </c>
      <c r="Q19" s="14"/>
      <c r="R19" s="13" t="s">
        <v>8</v>
      </c>
      <c r="T19" s="12"/>
      <c r="U19" s="10">
        <f t="shared" si="2"/>
        <v>-273</v>
      </c>
      <c r="V19" s="12">
        <f t="shared" si="3"/>
        <v>-350306</v>
      </c>
      <c r="W19" s="11">
        <f t="shared" si="4"/>
        <v>-1</v>
      </c>
      <c r="Y19" s="14"/>
      <c r="Z19" s="13" t="s">
        <v>8</v>
      </c>
      <c r="AB19" s="12"/>
      <c r="AC19" s="10">
        <f t="shared" si="5"/>
        <v>0</v>
      </c>
      <c r="AD19" s="12">
        <f t="shared" si="5"/>
        <v>0</v>
      </c>
      <c r="AE19" s="11" t="e">
        <f t="shared" si="6"/>
        <v>#DIV/0!</v>
      </c>
      <c r="AG19" s="14"/>
      <c r="AH19" s="13" t="s">
        <v>8</v>
      </c>
      <c r="AI19" s="13"/>
      <c r="AJ19" s="45"/>
      <c r="AK19" s="10">
        <f t="shared" si="7"/>
        <v>0</v>
      </c>
      <c r="AL19" s="12">
        <f t="shared" si="7"/>
        <v>0</v>
      </c>
      <c r="AM19" s="11" t="e">
        <f t="shared" si="8"/>
        <v>#DIV/0!</v>
      </c>
      <c r="AO19" s="14"/>
      <c r="AP19" s="13" t="s">
        <v>8</v>
      </c>
      <c r="AR19" s="12"/>
      <c r="AS19" s="10">
        <f t="shared" si="9"/>
        <v>0</v>
      </c>
      <c r="AT19" s="12">
        <f t="shared" si="9"/>
        <v>0</v>
      </c>
      <c r="AU19" s="11" t="e">
        <f t="shared" si="10"/>
        <v>#DIV/0!</v>
      </c>
      <c r="AW19" s="14"/>
      <c r="AX19" s="13" t="s">
        <v>8</v>
      </c>
      <c r="AZ19" s="12"/>
      <c r="BA19" s="10">
        <f t="shared" si="11"/>
        <v>0</v>
      </c>
      <c r="BB19" s="12">
        <f t="shared" si="12"/>
        <v>0</v>
      </c>
      <c r="BC19" s="11" t="e">
        <f t="shared" si="13"/>
        <v>#DIV/0!</v>
      </c>
      <c r="BE19" s="14"/>
      <c r="BF19" s="13" t="s">
        <v>8</v>
      </c>
      <c r="BH19" s="12"/>
      <c r="BI19" s="10">
        <f t="shared" si="14"/>
        <v>0</v>
      </c>
      <c r="BJ19" s="12">
        <f t="shared" si="15"/>
        <v>0</v>
      </c>
      <c r="BK19" s="11" t="e">
        <f t="shared" si="16"/>
        <v>#DIV/0!</v>
      </c>
      <c r="BM19" s="14"/>
      <c r="BN19" s="13" t="s">
        <v>8</v>
      </c>
      <c r="BP19" s="12"/>
      <c r="BQ19" s="10">
        <f t="shared" si="17"/>
        <v>0</v>
      </c>
      <c r="BR19" s="12">
        <f t="shared" si="18"/>
        <v>0</v>
      </c>
      <c r="BS19" s="11" t="e">
        <f t="shared" si="19"/>
        <v>#DIV/0!</v>
      </c>
      <c r="BU19" s="14"/>
      <c r="BV19" s="13" t="s">
        <v>8</v>
      </c>
      <c r="BX19" s="12"/>
      <c r="BY19" s="10">
        <f t="shared" si="20"/>
        <v>0</v>
      </c>
      <c r="BZ19" s="12">
        <f t="shared" si="21"/>
        <v>0</v>
      </c>
      <c r="CA19" s="11" t="e">
        <f t="shared" si="22"/>
        <v>#DIV/0!</v>
      </c>
      <c r="CC19" s="14"/>
      <c r="CD19" s="13" t="s">
        <v>8</v>
      </c>
      <c r="CF19" s="12"/>
      <c r="CG19" s="10">
        <v>62</v>
      </c>
      <c r="CH19" s="12">
        <v>48858</v>
      </c>
      <c r="CI19" s="11">
        <v>0.25792249338802403</v>
      </c>
      <c r="CK19" s="14"/>
      <c r="CL19" s="13" t="s">
        <v>8</v>
      </c>
      <c r="CN19" s="12"/>
      <c r="CO19" s="10">
        <f t="shared" si="23"/>
        <v>0</v>
      </c>
      <c r="CP19" s="12">
        <f t="shared" si="24"/>
        <v>0</v>
      </c>
      <c r="CQ19" s="11" t="e">
        <f t="shared" si="25"/>
        <v>#DIV/0!</v>
      </c>
      <c r="CS19" s="14"/>
      <c r="CT19" s="13" t="s">
        <v>8</v>
      </c>
      <c r="CV19" s="12"/>
      <c r="CW19" s="10">
        <f t="shared" si="26"/>
        <v>0</v>
      </c>
      <c r="CX19" s="12">
        <f t="shared" si="27"/>
        <v>0</v>
      </c>
      <c r="CY19" s="11" t="e">
        <f t="shared" si="28"/>
        <v>#DIV/0!</v>
      </c>
    </row>
    <row r="20" spans="1:103" s="10" customFormat="1" ht="20" customHeight="1">
      <c r="A20" s="14"/>
      <c r="B20" s="13" t="s">
        <v>7</v>
      </c>
      <c r="C20" s="10">
        <v>66</v>
      </c>
      <c r="D20" s="12">
        <v>399848</v>
      </c>
      <c r="F20" s="12"/>
      <c r="G20" s="11"/>
      <c r="I20" s="14"/>
      <c r="J20" s="13" t="s">
        <v>7</v>
      </c>
      <c r="K20" s="10">
        <v>92</v>
      </c>
      <c r="L20" s="12">
        <v>519863</v>
      </c>
      <c r="M20" s="10">
        <f t="shared" si="0"/>
        <v>26</v>
      </c>
      <c r="N20" s="12">
        <f t="shared" si="0"/>
        <v>120015</v>
      </c>
      <c r="O20" s="11">
        <f t="shared" si="1"/>
        <v>0.30015155759188494</v>
      </c>
      <c r="Q20" s="14"/>
      <c r="R20" s="13" t="s">
        <v>7</v>
      </c>
      <c r="T20" s="12"/>
      <c r="U20" s="10">
        <f t="shared" si="2"/>
        <v>-92</v>
      </c>
      <c r="V20" s="12">
        <f t="shared" si="3"/>
        <v>-519863</v>
      </c>
      <c r="W20" s="11">
        <f t="shared" si="4"/>
        <v>-1</v>
      </c>
      <c r="Y20" s="14"/>
      <c r="Z20" s="13" t="s">
        <v>7</v>
      </c>
      <c r="AB20" s="12"/>
      <c r="AC20" s="10">
        <f t="shared" si="5"/>
        <v>0</v>
      </c>
      <c r="AD20" s="12">
        <f t="shared" si="5"/>
        <v>0</v>
      </c>
      <c r="AE20" s="11" t="e">
        <f t="shared" si="6"/>
        <v>#DIV/0!</v>
      </c>
      <c r="AG20" s="14"/>
      <c r="AH20" s="13" t="s">
        <v>7</v>
      </c>
      <c r="AI20" s="13"/>
      <c r="AJ20" s="45"/>
      <c r="AK20" s="10">
        <f t="shared" si="7"/>
        <v>0</v>
      </c>
      <c r="AL20" s="12">
        <f t="shared" si="7"/>
        <v>0</v>
      </c>
      <c r="AM20" s="11" t="e">
        <f t="shared" si="8"/>
        <v>#DIV/0!</v>
      </c>
      <c r="AO20" s="14"/>
      <c r="AP20" s="13" t="s">
        <v>7</v>
      </c>
      <c r="AR20" s="12"/>
      <c r="AS20" s="10">
        <f t="shared" si="9"/>
        <v>0</v>
      </c>
      <c r="AT20" s="12">
        <f t="shared" si="9"/>
        <v>0</v>
      </c>
      <c r="AU20" s="11" t="e">
        <f t="shared" si="10"/>
        <v>#DIV/0!</v>
      </c>
      <c r="AW20" s="14"/>
      <c r="AX20" s="13" t="s">
        <v>7</v>
      </c>
      <c r="AZ20" s="12"/>
      <c r="BA20" s="10">
        <f t="shared" si="11"/>
        <v>0</v>
      </c>
      <c r="BB20" s="12">
        <f t="shared" si="12"/>
        <v>0</v>
      </c>
      <c r="BC20" s="11" t="e">
        <f t="shared" si="13"/>
        <v>#DIV/0!</v>
      </c>
      <c r="BE20" s="14"/>
      <c r="BF20" s="13" t="s">
        <v>7</v>
      </c>
      <c r="BH20" s="12"/>
      <c r="BI20" s="10">
        <f t="shared" si="14"/>
        <v>0</v>
      </c>
      <c r="BJ20" s="12">
        <f t="shared" si="15"/>
        <v>0</v>
      </c>
      <c r="BK20" s="11" t="e">
        <f t="shared" si="16"/>
        <v>#DIV/0!</v>
      </c>
      <c r="BM20" s="14"/>
      <c r="BN20" s="13" t="s">
        <v>7</v>
      </c>
      <c r="BP20" s="12"/>
      <c r="BQ20" s="10">
        <f t="shared" si="17"/>
        <v>0</v>
      </c>
      <c r="BR20" s="12">
        <f t="shared" si="18"/>
        <v>0</v>
      </c>
      <c r="BS20" s="11" t="e">
        <f t="shared" si="19"/>
        <v>#DIV/0!</v>
      </c>
      <c r="BU20" s="14"/>
      <c r="BV20" s="13" t="s">
        <v>7</v>
      </c>
      <c r="BX20" s="12"/>
      <c r="BY20" s="10">
        <f t="shared" si="20"/>
        <v>0</v>
      </c>
      <c r="BZ20" s="12">
        <f t="shared" si="21"/>
        <v>0</v>
      </c>
      <c r="CA20" s="11" t="e">
        <f t="shared" si="22"/>
        <v>#DIV/0!</v>
      </c>
      <c r="CC20" s="14"/>
      <c r="CD20" s="13" t="s">
        <v>7</v>
      </c>
      <c r="CF20" s="12"/>
      <c r="CG20" s="10">
        <v>10</v>
      </c>
      <c r="CH20" s="12">
        <v>101428</v>
      </c>
      <c r="CI20" s="11">
        <v>0.77302034905876071</v>
      </c>
      <c r="CK20" s="14"/>
      <c r="CL20" s="13" t="s">
        <v>7</v>
      </c>
      <c r="CN20" s="12"/>
      <c r="CO20" s="10">
        <f t="shared" si="23"/>
        <v>0</v>
      </c>
      <c r="CP20" s="12">
        <f t="shared" si="24"/>
        <v>0</v>
      </c>
      <c r="CQ20" s="11" t="e">
        <f t="shared" si="25"/>
        <v>#DIV/0!</v>
      </c>
      <c r="CS20" s="14"/>
      <c r="CT20" s="13" t="s">
        <v>7</v>
      </c>
      <c r="CV20" s="12"/>
      <c r="CW20" s="10">
        <f t="shared" si="26"/>
        <v>0</v>
      </c>
      <c r="CX20" s="12">
        <f t="shared" si="27"/>
        <v>0</v>
      </c>
      <c r="CY20" s="11" t="e">
        <f t="shared" si="28"/>
        <v>#DIV/0!</v>
      </c>
    </row>
    <row r="21" spans="1:103" s="10" customFormat="1" ht="20" customHeight="1">
      <c r="A21" s="14"/>
      <c r="B21" s="13" t="s">
        <v>6</v>
      </c>
      <c r="C21" s="10">
        <v>63</v>
      </c>
      <c r="D21" s="12">
        <v>960419</v>
      </c>
      <c r="F21" s="12"/>
      <c r="G21" s="11"/>
      <c r="I21" s="14"/>
      <c r="J21" s="13" t="s">
        <v>6</v>
      </c>
      <c r="K21" s="10">
        <v>63</v>
      </c>
      <c r="L21" s="12">
        <v>997333</v>
      </c>
      <c r="M21" s="10">
        <f t="shared" si="0"/>
        <v>0</v>
      </c>
      <c r="N21" s="12">
        <f t="shared" si="0"/>
        <v>36914</v>
      </c>
      <c r="O21" s="11">
        <f t="shared" si="1"/>
        <v>3.843530792289615E-2</v>
      </c>
      <c r="Q21" s="14"/>
      <c r="R21" s="13" t="s">
        <v>6</v>
      </c>
      <c r="T21" s="12"/>
      <c r="U21" s="10">
        <f t="shared" si="2"/>
        <v>-63</v>
      </c>
      <c r="V21" s="12">
        <f t="shared" si="3"/>
        <v>-997333</v>
      </c>
      <c r="W21" s="11">
        <f t="shared" si="4"/>
        <v>-1</v>
      </c>
      <c r="Y21" s="14"/>
      <c r="Z21" s="13" t="s">
        <v>6</v>
      </c>
      <c r="AB21" s="12"/>
      <c r="AC21" s="10">
        <f t="shared" si="5"/>
        <v>0</v>
      </c>
      <c r="AD21" s="12">
        <f t="shared" si="5"/>
        <v>0</v>
      </c>
      <c r="AE21" s="11" t="e">
        <f t="shared" si="6"/>
        <v>#DIV/0!</v>
      </c>
      <c r="AG21" s="14"/>
      <c r="AH21" s="13" t="s">
        <v>6</v>
      </c>
      <c r="AI21" s="13"/>
      <c r="AJ21" s="45"/>
      <c r="AK21" s="10">
        <f t="shared" si="7"/>
        <v>0</v>
      </c>
      <c r="AL21" s="12">
        <f t="shared" si="7"/>
        <v>0</v>
      </c>
      <c r="AM21" s="11" t="e">
        <f t="shared" si="8"/>
        <v>#DIV/0!</v>
      </c>
      <c r="AO21" s="14"/>
      <c r="AP21" s="13" t="s">
        <v>6</v>
      </c>
      <c r="AR21" s="12"/>
      <c r="AS21" s="10">
        <f t="shared" si="9"/>
        <v>0</v>
      </c>
      <c r="AT21" s="12">
        <f t="shared" si="9"/>
        <v>0</v>
      </c>
      <c r="AU21" s="11" t="e">
        <f t="shared" si="10"/>
        <v>#DIV/0!</v>
      </c>
      <c r="AW21" s="14"/>
      <c r="AX21" s="13" t="s">
        <v>6</v>
      </c>
      <c r="AZ21" s="12"/>
      <c r="BA21" s="10">
        <f t="shared" si="11"/>
        <v>0</v>
      </c>
      <c r="BB21" s="12">
        <f t="shared" si="12"/>
        <v>0</v>
      </c>
      <c r="BC21" s="11" t="e">
        <f t="shared" si="13"/>
        <v>#DIV/0!</v>
      </c>
      <c r="BE21" s="14"/>
      <c r="BF21" s="13" t="s">
        <v>6</v>
      </c>
      <c r="BH21" s="12"/>
      <c r="BI21" s="10">
        <f t="shared" si="14"/>
        <v>0</v>
      </c>
      <c r="BJ21" s="12">
        <f t="shared" si="15"/>
        <v>0</v>
      </c>
      <c r="BK21" s="11" t="e">
        <f t="shared" si="16"/>
        <v>#DIV/0!</v>
      </c>
      <c r="BM21" s="14"/>
      <c r="BN21" s="13" t="s">
        <v>6</v>
      </c>
      <c r="BP21" s="12"/>
      <c r="BQ21" s="10">
        <f t="shared" si="17"/>
        <v>0</v>
      </c>
      <c r="BR21" s="12">
        <f t="shared" si="18"/>
        <v>0</v>
      </c>
      <c r="BS21" s="11" t="e">
        <f t="shared" si="19"/>
        <v>#DIV/0!</v>
      </c>
      <c r="BU21" s="14"/>
      <c r="BV21" s="13" t="s">
        <v>6</v>
      </c>
      <c r="BX21" s="12"/>
      <c r="BY21" s="10">
        <f t="shared" si="20"/>
        <v>0</v>
      </c>
      <c r="BZ21" s="12">
        <f t="shared" si="21"/>
        <v>0</v>
      </c>
      <c r="CA21" s="11" t="e">
        <f t="shared" si="22"/>
        <v>#DIV/0!</v>
      </c>
      <c r="CC21" s="14"/>
      <c r="CD21" s="13" t="s">
        <v>6</v>
      </c>
      <c r="CF21" s="12"/>
      <c r="CG21" s="10">
        <v>0</v>
      </c>
      <c r="CH21" s="12">
        <v>5714</v>
      </c>
      <c r="CI21" s="11">
        <v>0.7594364699627858</v>
      </c>
      <c r="CK21" s="14"/>
      <c r="CL21" s="13" t="s">
        <v>6</v>
      </c>
      <c r="CN21" s="12"/>
      <c r="CO21" s="10">
        <f t="shared" si="23"/>
        <v>0</v>
      </c>
      <c r="CP21" s="12">
        <f t="shared" si="24"/>
        <v>0</v>
      </c>
      <c r="CQ21" s="11" t="e">
        <f t="shared" si="25"/>
        <v>#DIV/0!</v>
      </c>
      <c r="CS21" s="14"/>
      <c r="CT21" s="13" t="s">
        <v>6</v>
      </c>
      <c r="CV21" s="12"/>
      <c r="CW21" s="10">
        <f t="shared" si="26"/>
        <v>0</v>
      </c>
      <c r="CX21" s="12">
        <f t="shared" si="27"/>
        <v>0</v>
      </c>
      <c r="CY21" s="11" t="e">
        <f t="shared" si="28"/>
        <v>#DIV/0!</v>
      </c>
    </row>
    <row r="22" spans="1:103" s="10" customFormat="1" ht="20" customHeight="1">
      <c r="A22" s="14"/>
      <c r="B22" s="13" t="s">
        <v>5</v>
      </c>
      <c r="C22" s="10">
        <v>29</v>
      </c>
      <c r="D22" s="12">
        <v>177310</v>
      </c>
      <c r="F22" s="12"/>
      <c r="G22" s="11"/>
      <c r="I22" s="14"/>
      <c r="J22" s="13" t="s">
        <v>5</v>
      </c>
      <c r="K22" s="10">
        <v>12</v>
      </c>
      <c r="L22" s="12">
        <v>80080</v>
      </c>
      <c r="M22" s="10">
        <f t="shared" si="0"/>
        <v>-17</v>
      </c>
      <c r="N22" s="12">
        <f t="shared" si="0"/>
        <v>-97230</v>
      </c>
      <c r="O22" s="11">
        <f t="shared" si="1"/>
        <v>-0.54836162652980658</v>
      </c>
      <c r="Q22" s="14"/>
      <c r="R22" s="13" t="s">
        <v>5</v>
      </c>
      <c r="T22" s="12"/>
      <c r="U22" s="10">
        <f t="shared" si="2"/>
        <v>-12</v>
      </c>
      <c r="V22" s="12">
        <f t="shared" si="3"/>
        <v>-80080</v>
      </c>
      <c r="W22" s="11">
        <f t="shared" si="4"/>
        <v>-1</v>
      </c>
      <c r="Y22" s="14"/>
      <c r="Z22" s="13" t="s">
        <v>5</v>
      </c>
      <c r="AB22" s="12"/>
      <c r="AC22" s="10">
        <f t="shared" si="5"/>
        <v>0</v>
      </c>
      <c r="AD22" s="12">
        <f t="shared" si="5"/>
        <v>0</v>
      </c>
      <c r="AE22" s="11" t="e">
        <f t="shared" si="6"/>
        <v>#DIV/0!</v>
      </c>
      <c r="AG22" s="14"/>
      <c r="AH22" s="13" t="s">
        <v>5</v>
      </c>
      <c r="AI22" s="13"/>
      <c r="AJ22" s="45"/>
      <c r="AK22" s="10">
        <f t="shared" si="7"/>
        <v>0</v>
      </c>
      <c r="AL22" s="12">
        <f t="shared" si="7"/>
        <v>0</v>
      </c>
      <c r="AM22" s="11" t="e">
        <f t="shared" si="8"/>
        <v>#DIV/0!</v>
      </c>
      <c r="AO22" s="14"/>
      <c r="AP22" s="13" t="s">
        <v>5</v>
      </c>
      <c r="AR22" s="12"/>
      <c r="AS22" s="10">
        <f t="shared" si="9"/>
        <v>0</v>
      </c>
      <c r="AT22" s="12">
        <f t="shared" si="9"/>
        <v>0</v>
      </c>
      <c r="AU22" s="11" t="e">
        <f t="shared" si="10"/>
        <v>#DIV/0!</v>
      </c>
      <c r="AW22" s="14"/>
      <c r="AX22" s="13" t="s">
        <v>5</v>
      </c>
      <c r="AZ22" s="12"/>
      <c r="BA22" s="10">
        <f t="shared" si="11"/>
        <v>0</v>
      </c>
      <c r="BB22" s="12">
        <f t="shared" si="12"/>
        <v>0</v>
      </c>
      <c r="BC22" s="11" t="e">
        <f t="shared" si="13"/>
        <v>#DIV/0!</v>
      </c>
      <c r="BE22" s="14"/>
      <c r="BF22" s="13" t="s">
        <v>5</v>
      </c>
      <c r="BH22" s="12"/>
      <c r="BI22" s="10">
        <f t="shared" si="14"/>
        <v>0</v>
      </c>
      <c r="BJ22" s="12">
        <f t="shared" si="15"/>
        <v>0</v>
      </c>
      <c r="BK22" s="11" t="e">
        <f t="shared" si="16"/>
        <v>#DIV/0!</v>
      </c>
      <c r="BM22" s="14"/>
      <c r="BN22" s="13" t="s">
        <v>5</v>
      </c>
      <c r="BP22" s="12"/>
      <c r="BQ22" s="10">
        <f t="shared" si="17"/>
        <v>0</v>
      </c>
      <c r="BR22" s="12">
        <f t="shared" si="18"/>
        <v>0</v>
      </c>
      <c r="BS22" s="11" t="e">
        <f t="shared" si="19"/>
        <v>#DIV/0!</v>
      </c>
      <c r="BU22" s="14"/>
      <c r="BV22" s="13" t="s">
        <v>5</v>
      </c>
      <c r="BX22" s="12"/>
      <c r="BY22" s="10">
        <f t="shared" si="20"/>
        <v>0</v>
      </c>
      <c r="BZ22" s="12">
        <f t="shared" si="21"/>
        <v>0</v>
      </c>
      <c r="CA22" s="11" t="e">
        <f t="shared" si="22"/>
        <v>#DIV/0!</v>
      </c>
      <c r="CC22" s="14"/>
      <c r="CD22" s="13" t="s">
        <v>5</v>
      </c>
      <c r="CF22" s="12"/>
      <c r="CG22" s="10">
        <v>6</v>
      </c>
      <c r="CH22" s="12">
        <v>23070</v>
      </c>
      <c r="CI22" s="11">
        <v>0.34238646482635798</v>
      </c>
      <c r="CK22" s="14"/>
      <c r="CL22" s="13" t="s">
        <v>5</v>
      </c>
      <c r="CN22" s="12"/>
      <c r="CO22" s="10">
        <f t="shared" si="23"/>
        <v>0</v>
      </c>
      <c r="CP22" s="12">
        <f t="shared" si="24"/>
        <v>0</v>
      </c>
      <c r="CQ22" s="11" t="e">
        <f t="shared" si="25"/>
        <v>#DIV/0!</v>
      </c>
      <c r="CS22" s="14"/>
      <c r="CT22" s="13" t="s">
        <v>5</v>
      </c>
      <c r="CV22" s="12"/>
      <c r="CW22" s="10">
        <f t="shared" si="26"/>
        <v>0</v>
      </c>
      <c r="CX22" s="12">
        <f t="shared" si="27"/>
        <v>0</v>
      </c>
      <c r="CY22" s="11" t="e">
        <f t="shared" si="28"/>
        <v>#DIV/0!</v>
      </c>
    </row>
    <row r="23" spans="1:103" s="10" customFormat="1" ht="20" customHeight="1">
      <c r="A23" s="14"/>
      <c r="B23" s="13" t="s">
        <v>4</v>
      </c>
      <c r="C23" s="10">
        <v>19</v>
      </c>
      <c r="D23" s="12">
        <v>683714</v>
      </c>
      <c r="F23" s="12"/>
      <c r="G23" s="11"/>
      <c r="I23" s="14"/>
      <c r="J23" s="13" t="s">
        <v>4</v>
      </c>
      <c r="K23" s="10">
        <v>19</v>
      </c>
      <c r="L23" s="12">
        <v>633048</v>
      </c>
      <c r="M23" s="10">
        <f t="shared" si="0"/>
        <v>0</v>
      </c>
      <c r="N23" s="12">
        <f t="shared" si="0"/>
        <v>-50666</v>
      </c>
      <c r="O23" s="11">
        <f t="shared" si="1"/>
        <v>-7.4104084456366265E-2</v>
      </c>
      <c r="Q23" s="14"/>
      <c r="R23" s="13" t="s">
        <v>4</v>
      </c>
      <c r="T23" s="12"/>
      <c r="U23" s="10">
        <f t="shared" si="2"/>
        <v>-19</v>
      </c>
      <c r="V23" s="12">
        <f t="shared" si="3"/>
        <v>-633048</v>
      </c>
      <c r="W23" s="11">
        <f t="shared" si="4"/>
        <v>-1</v>
      </c>
      <c r="Y23" s="14"/>
      <c r="Z23" s="13" t="s">
        <v>4</v>
      </c>
      <c r="AB23" s="12"/>
      <c r="AC23" s="10">
        <f t="shared" si="5"/>
        <v>0</v>
      </c>
      <c r="AD23" s="12">
        <f t="shared" si="5"/>
        <v>0</v>
      </c>
      <c r="AE23" s="11" t="e">
        <f t="shared" si="6"/>
        <v>#DIV/0!</v>
      </c>
      <c r="AG23" s="14"/>
      <c r="AH23" s="13" t="s">
        <v>4</v>
      </c>
      <c r="AI23" s="13"/>
      <c r="AJ23" s="45"/>
      <c r="AK23" s="10">
        <f t="shared" si="7"/>
        <v>0</v>
      </c>
      <c r="AL23" s="12">
        <f t="shared" si="7"/>
        <v>0</v>
      </c>
      <c r="AM23" s="11" t="e">
        <f t="shared" si="8"/>
        <v>#DIV/0!</v>
      </c>
      <c r="AO23" s="14"/>
      <c r="AP23" s="13" t="s">
        <v>4</v>
      </c>
      <c r="AR23" s="12"/>
      <c r="AS23" s="10">
        <f t="shared" si="9"/>
        <v>0</v>
      </c>
      <c r="AT23" s="12">
        <f t="shared" si="9"/>
        <v>0</v>
      </c>
      <c r="AU23" s="11" t="e">
        <f t="shared" si="10"/>
        <v>#DIV/0!</v>
      </c>
      <c r="AW23" s="14"/>
      <c r="AX23" s="13" t="s">
        <v>4</v>
      </c>
      <c r="AZ23" s="12"/>
      <c r="BA23" s="10">
        <f t="shared" si="11"/>
        <v>0</v>
      </c>
      <c r="BB23" s="12">
        <f t="shared" si="12"/>
        <v>0</v>
      </c>
      <c r="BC23" s="11" t="e">
        <f t="shared" si="13"/>
        <v>#DIV/0!</v>
      </c>
      <c r="BE23" s="14"/>
      <c r="BF23" s="13" t="s">
        <v>4</v>
      </c>
      <c r="BH23" s="12"/>
      <c r="BI23" s="10">
        <f t="shared" si="14"/>
        <v>0</v>
      </c>
      <c r="BJ23" s="12">
        <f t="shared" si="15"/>
        <v>0</v>
      </c>
      <c r="BK23" s="11" t="e">
        <f t="shared" si="16"/>
        <v>#DIV/0!</v>
      </c>
      <c r="BM23" s="14"/>
      <c r="BN23" s="13" t="s">
        <v>4</v>
      </c>
      <c r="BP23" s="12"/>
      <c r="BQ23" s="10">
        <f t="shared" si="17"/>
        <v>0</v>
      </c>
      <c r="BR23" s="12">
        <f t="shared" si="18"/>
        <v>0</v>
      </c>
      <c r="BS23" s="11" t="e">
        <f t="shared" si="19"/>
        <v>#DIV/0!</v>
      </c>
      <c r="BU23" s="14"/>
      <c r="BV23" s="13" t="s">
        <v>4</v>
      </c>
      <c r="BX23" s="12"/>
      <c r="BY23" s="10">
        <f t="shared" si="20"/>
        <v>0</v>
      </c>
      <c r="BZ23" s="12">
        <f t="shared" si="21"/>
        <v>0</v>
      </c>
      <c r="CA23" s="11" t="e">
        <f t="shared" si="22"/>
        <v>#DIV/0!</v>
      </c>
      <c r="CC23" s="14"/>
      <c r="CD23" s="13" t="s">
        <v>4</v>
      </c>
      <c r="CF23" s="12"/>
      <c r="CG23" s="10">
        <v>0</v>
      </c>
      <c r="CH23" s="12">
        <v>106626</v>
      </c>
      <c r="CI23" s="11">
        <v>0.14577067360799711</v>
      </c>
      <c r="CK23" s="14"/>
      <c r="CL23" s="13" t="s">
        <v>4</v>
      </c>
      <c r="CN23" s="12"/>
      <c r="CO23" s="10">
        <f t="shared" si="23"/>
        <v>0</v>
      </c>
      <c r="CP23" s="12">
        <f t="shared" si="24"/>
        <v>0</v>
      </c>
      <c r="CQ23" s="11" t="e">
        <f t="shared" si="25"/>
        <v>#DIV/0!</v>
      </c>
      <c r="CS23" s="14"/>
      <c r="CT23" s="13" t="s">
        <v>4</v>
      </c>
      <c r="CV23" s="12"/>
      <c r="CW23" s="10">
        <f t="shared" si="26"/>
        <v>0</v>
      </c>
      <c r="CX23" s="12">
        <f t="shared" si="27"/>
        <v>0</v>
      </c>
      <c r="CY23" s="11" t="e">
        <f t="shared" si="28"/>
        <v>#DIV/0!</v>
      </c>
    </row>
    <row r="24" spans="1:103" s="10" customFormat="1" ht="20" customHeight="1">
      <c r="A24" s="14"/>
      <c r="B24" s="13" t="s">
        <v>3</v>
      </c>
      <c r="C24" s="10">
        <v>39</v>
      </c>
      <c r="D24" s="12">
        <v>816286</v>
      </c>
      <c r="F24" s="12"/>
      <c r="G24" s="11"/>
      <c r="I24" s="14"/>
      <c r="J24" s="13" t="s">
        <v>3</v>
      </c>
      <c r="K24" s="10">
        <v>41</v>
      </c>
      <c r="L24" s="12">
        <v>914286</v>
      </c>
      <c r="M24" s="10">
        <f t="shared" si="0"/>
        <v>2</v>
      </c>
      <c r="N24" s="12">
        <f t="shared" si="0"/>
        <v>98000</v>
      </c>
      <c r="O24" s="11">
        <f t="shared" si="1"/>
        <v>0.12005596077845265</v>
      </c>
      <c r="Q24" s="14"/>
      <c r="R24" s="13" t="s">
        <v>3</v>
      </c>
      <c r="T24" s="12"/>
      <c r="U24" s="10">
        <f t="shared" si="2"/>
        <v>-41</v>
      </c>
      <c r="V24" s="12">
        <f t="shared" si="3"/>
        <v>-914286</v>
      </c>
      <c r="W24" s="11">
        <f t="shared" si="4"/>
        <v>-1</v>
      </c>
      <c r="Y24" s="14"/>
      <c r="Z24" s="13" t="s">
        <v>3</v>
      </c>
      <c r="AB24" s="12"/>
      <c r="AC24" s="10">
        <f t="shared" si="5"/>
        <v>0</v>
      </c>
      <c r="AD24" s="12">
        <f t="shared" si="5"/>
        <v>0</v>
      </c>
      <c r="AE24" s="11" t="e">
        <f t="shared" si="6"/>
        <v>#DIV/0!</v>
      </c>
      <c r="AG24" s="14"/>
      <c r="AH24" s="13" t="s">
        <v>3</v>
      </c>
      <c r="AI24" s="13"/>
      <c r="AJ24" s="45"/>
      <c r="AK24" s="10">
        <f t="shared" si="7"/>
        <v>0</v>
      </c>
      <c r="AL24" s="12">
        <f t="shared" si="7"/>
        <v>0</v>
      </c>
      <c r="AM24" s="11" t="e">
        <f t="shared" si="8"/>
        <v>#DIV/0!</v>
      </c>
      <c r="AO24" s="14"/>
      <c r="AP24" s="13" t="s">
        <v>3</v>
      </c>
      <c r="AR24" s="12"/>
      <c r="AS24" s="10">
        <f t="shared" si="9"/>
        <v>0</v>
      </c>
      <c r="AT24" s="12">
        <f t="shared" si="9"/>
        <v>0</v>
      </c>
      <c r="AU24" s="11" t="e">
        <f t="shared" si="10"/>
        <v>#DIV/0!</v>
      </c>
      <c r="AW24" s="14"/>
      <c r="AX24" s="13" t="s">
        <v>3</v>
      </c>
      <c r="AZ24" s="12"/>
      <c r="BA24" s="10">
        <f t="shared" si="11"/>
        <v>0</v>
      </c>
      <c r="BB24" s="12">
        <f t="shared" si="12"/>
        <v>0</v>
      </c>
      <c r="BC24" s="11" t="e">
        <f t="shared" si="13"/>
        <v>#DIV/0!</v>
      </c>
      <c r="BE24" s="14"/>
      <c r="BF24" s="13" t="s">
        <v>3</v>
      </c>
      <c r="BH24" s="12"/>
      <c r="BI24" s="10">
        <f t="shared" si="14"/>
        <v>0</v>
      </c>
      <c r="BJ24" s="12">
        <f t="shared" si="15"/>
        <v>0</v>
      </c>
      <c r="BK24" s="11" t="e">
        <f t="shared" si="16"/>
        <v>#DIV/0!</v>
      </c>
      <c r="BM24" s="14"/>
      <c r="BN24" s="13" t="s">
        <v>3</v>
      </c>
      <c r="BP24" s="12"/>
      <c r="BQ24" s="10">
        <f t="shared" si="17"/>
        <v>0</v>
      </c>
      <c r="BR24" s="12">
        <f t="shared" si="18"/>
        <v>0</v>
      </c>
      <c r="BS24" s="11" t="e">
        <f t="shared" si="19"/>
        <v>#DIV/0!</v>
      </c>
      <c r="BU24" s="14"/>
      <c r="BV24" s="13" t="s">
        <v>3</v>
      </c>
      <c r="BX24" s="12"/>
      <c r="BY24" s="10">
        <f t="shared" si="20"/>
        <v>0</v>
      </c>
      <c r="BZ24" s="12">
        <f t="shared" si="21"/>
        <v>0</v>
      </c>
      <c r="CA24" s="11" t="e">
        <f t="shared" si="22"/>
        <v>#DIV/0!</v>
      </c>
      <c r="CC24" s="14"/>
      <c r="CD24" s="13" t="s">
        <v>3</v>
      </c>
      <c r="CF24" s="12"/>
      <c r="CG24" s="10">
        <v>33</v>
      </c>
      <c r="CH24" s="12">
        <v>657810</v>
      </c>
      <c r="CI24" s="11">
        <v>0.89226274283202978</v>
      </c>
      <c r="CK24" s="14"/>
      <c r="CL24" s="13" t="s">
        <v>3</v>
      </c>
      <c r="CN24" s="12"/>
      <c r="CO24" s="10">
        <f t="shared" si="23"/>
        <v>0</v>
      </c>
      <c r="CP24" s="12">
        <f t="shared" si="24"/>
        <v>0</v>
      </c>
      <c r="CQ24" s="11" t="e">
        <f t="shared" si="25"/>
        <v>#DIV/0!</v>
      </c>
      <c r="CS24" s="14"/>
      <c r="CT24" s="13" t="s">
        <v>3</v>
      </c>
      <c r="CV24" s="12"/>
      <c r="CW24" s="10">
        <f t="shared" si="26"/>
        <v>0</v>
      </c>
      <c r="CX24" s="12">
        <f t="shared" si="27"/>
        <v>0</v>
      </c>
      <c r="CY24" s="11" t="e">
        <f t="shared" si="28"/>
        <v>#DIV/0!</v>
      </c>
    </row>
    <row r="25" spans="1:103" s="10" customFormat="1" ht="20" customHeight="1">
      <c r="A25" s="14"/>
      <c r="B25" s="13" t="s">
        <v>2</v>
      </c>
      <c r="C25" s="10">
        <v>157</v>
      </c>
      <c r="D25" s="12">
        <v>7420286</v>
      </c>
      <c r="F25" s="12"/>
      <c r="G25" s="11"/>
      <c r="I25" s="14"/>
      <c r="J25" s="13" t="s">
        <v>2</v>
      </c>
      <c r="K25" s="10">
        <v>196</v>
      </c>
      <c r="L25" s="12">
        <v>8794667</v>
      </c>
      <c r="M25" s="10">
        <f t="shared" si="0"/>
        <v>39</v>
      </c>
      <c r="N25" s="12">
        <f t="shared" si="0"/>
        <v>1374381</v>
      </c>
      <c r="O25" s="11">
        <f t="shared" si="1"/>
        <v>0.18521941068039696</v>
      </c>
      <c r="Q25" s="14"/>
      <c r="R25" s="13" t="s">
        <v>2</v>
      </c>
      <c r="T25" s="12"/>
      <c r="U25" s="10">
        <f t="shared" si="2"/>
        <v>-196</v>
      </c>
      <c r="V25" s="12">
        <f t="shared" si="3"/>
        <v>-8794667</v>
      </c>
      <c r="W25" s="11">
        <f t="shared" si="4"/>
        <v>-1</v>
      </c>
      <c r="Y25" s="14"/>
      <c r="Z25" s="13" t="s">
        <v>2</v>
      </c>
      <c r="AB25" s="12"/>
      <c r="AC25" s="10">
        <f t="shared" si="5"/>
        <v>0</v>
      </c>
      <c r="AD25" s="12">
        <f t="shared" si="5"/>
        <v>0</v>
      </c>
      <c r="AE25" s="11" t="e">
        <f t="shared" si="6"/>
        <v>#DIV/0!</v>
      </c>
      <c r="AG25" s="14"/>
      <c r="AH25" s="13" t="s">
        <v>2</v>
      </c>
      <c r="AI25" s="13"/>
      <c r="AJ25" s="45"/>
      <c r="AK25" s="10">
        <f t="shared" si="7"/>
        <v>0</v>
      </c>
      <c r="AL25" s="12">
        <f t="shared" si="7"/>
        <v>0</v>
      </c>
      <c r="AM25" s="11" t="e">
        <f t="shared" si="8"/>
        <v>#DIV/0!</v>
      </c>
      <c r="AO25" s="14"/>
      <c r="AP25" s="13" t="s">
        <v>2</v>
      </c>
      <c r="AR25" s="12"/>
      <c r="AS25" s="10">
        <f t="shared" si="9"/>
        <v>0</v>
      </c>
      <c r="AT25" s="12">
        <f t="shared" si="9"/>
        <v>0</v>
      </c>
      <c r="AU25" s="11" t="e">
        <f t="shared" si="10"/>
        <v>#DIV/0!</v>
      </c>
      <c r="AW25" s="14"/>
      <c r="AX25" s="13" t="s">
        <v>2</v>
      </c>
      <c r="AZ25" s="12"/>
      <c r="BA25" s="10">
        <f t="shared" si="11"/>
        <v>0</v>
      </c>
      <c r="BB25" s="12">
        <f t="shared" si="12"/>
        <v>0</v>
      </c>
      <c r="BC25" s="11" t="e">
        <f t="shared" si="13"/>
        <v>#DIV/0!</v>
      </c>
      <c r="BE25" s="14"/>
      <c r="BF25" s="13" t="s">
        <v>2</v>
      </c>
      <c r="BH25" s="12"/>
      <c r="BI25" s="10">
        <f t="shared" si="14"/>
        <v>0</v>
      </c>
      <c r="BJ25" s="12">
        <f t="shared" si="15"/>
        <v>0</v>
      </c>
      <c r="BK25" s="11" t="e">
        <f t="shared" si="16"/>
        <v>#DIV/0!</v>
      </c>
      <c r="BM25" s="14"/>
      <c r="BN25" s="13" t="s">
        <v>2</v>
      </c>
      <c r="BP25" s="12"/>
      <c r="BQ25" s="10">
        <f t="shared" si="17"/>
        <v>0</v>
      </c>
      <c r="BR25" s="12">
        <f t="shared" si="18"/>
        <v>0</v>
      </c>
      <c r="BS25" s="11" t="e">
        <f t="shared" si="19"/>
        <v>#DIV/0!</v>
      </c>
      <c r="BU25" s="14"/>
      <c r="BV25" s="13" t="s">
        <v>2</v>
      </c>
      <c r="BX25" s="12"/>
      <c r="BY25" s="10">
        <f t="shared" si="20"/>
        <v>0</v>
      </c>
      <c r="BZ25" s="12">
        <f t="shared" si="21"/>
        <v>0</v>
      </c>
      <c r="CA25" s="11" t="e">
        <f t="shared" si="22"/>
        <v>#DIV/0!</v>
      </c>
      <c r="CC25" s="14"/>
      <c r="CD25" s="13" t="s">
        <v>2</v>
      </c>
      <c r="CF25" s="12"/>
      <c r="CG25" s="10">
        <v>27</v>
      </c>
      <c r="CH25" s="12">
        <v>855381</v>
      </c>
      <c r="CI25" s="11">
        <v>0.92202794602233229</v>
      </c>
      <c r="CK25" s="14"/>
      <c r="CL25" s="13" t="s">
        <v>2</v>
      </c>
      <c r="CN25" s="12"/>
      <c r="CO25" s="10">
        <f t="shared" si="23"/>
        <v>0</v>
      </c>
      <c r="CP25" s="12">
        <f t="shared" si="24"/>
        <v>0</v>
      </c>
      <c r="CQ25" s="11" t="e">
        <f t="shared" si="25"/>
        <v>#DIV/0!</v>
      </c>
      <c r="CS25" s="14"/>
      <c r="CT25" s="13" t="s">
        <v>2</v>
      </c>
      <c r="CV25" s="12"/>
      <c r="CW25" s="10">
        <f t="shared" si="26"/>
        <v>0</v>
      </c>
      <c r="CX25" s="12">
        <f t="shared" si="27"/>
        <v>0</v>
      </c>
      <c r="CY25" s="11" t="e">
        <f t="shared" si="28"/>
        <v>#DIV/0!</v>
      </c>
    </row>
    <row r="26" spans="1:103" s="1" customFormat="1" ht="20" customHeight="1">
      <c r="A26" s="9" t="s">
        <v>12</v>
      </c>
      <c r="B26" s="9"/>
      <c r="C26" s="8">
        <v>799</v>
      </c>
      <c r="D26" s="7">
        <v>10885882</v>
      </c>
      <c r="E26" s="27"/>
      <c r="F26" s="28"/>
      <c r="G26" s="29"/>
      <c r="I26" s="9" t="s">
        <v>12</v>
      </c>
      <c r="J26" s="9"/>
      <c r="K26" s="8">
        <v>910</v>
      </c>
      <c r="L26" s="7">
        <v>12507998</v>
      </c>
      <c r="M26" s="27">
        <f t="shared" si="0"/>
        <v>111</v>
      </c>
      <c r="N26" s="28">
        <f t="shared" si="0"/>
        <v>1622116</v>
      </c>
      <c r="O26" s="29">
        <f t="shared" si="1"/>
        <v>0.14901098505385232</v>
      </c>
      <c r="Q26" s="9" t="s">
        <v>12</v>
      </c>
      <c r="R26" s="9"/>
      <c r="S26" s="8"/>
      <c r="T26" s="7"/>
      <c r="U26" s="27">
        <f t="shared" si="2"/>
        <v>-910</v>
      </c>
      <c r="V26" s="28">
        <f t="shared" si="3"/>
        <v>-12507998</v>
      </c>
      <c r="W26" s="29">
        <f t="shared" si="4"/>
        <v>-1</v>
      </c>
      <c r="Y26" s="9" t="s">
        <v>12</v>
      </c>
      <c r="Z26" s="9"/>
      <c r="AA26" s="8"/>
      <c r="AB26" s="7"/>
      <c r="AC26" s="27">
        <f t="shared" si="5"/>
        <v>0</v>
      </c>
      <c r="AD26" s="28">
        <f t="shared" si="5"/>
        <v>0</v>
      </c>
      <c r="AE26" s="29" t="e">
        <f t="shared" si="6"/>
        <v>#DIV/0!</v>
      </c>
      <c r="AG26" s="9" t="s">
        <v>12</v>
      </c>
      <c r="AH26" s="9"/>
      <c r="AI26" s="9"/>
      <c r="AJ26" s="46"/>
      <c r="AK26" s="27">
        <f t="shared" si="7"/>
        <v>0</v>
      </c>
      <c r="AL26" s="28">
        <f t="shared" si="7"/>
        <v>0</v>
      </c>
      <c r="AM26" s="29" t="e">
        <f t="shared" si="8"/>
        <v>#DIV/0!</v>
      </c>
      <c r="AO26" s="9" t="s">
        <v>12</v>
      </c>
      <c r="AP26" s="9"/>
      <c r="AQ26" s="8"/>
      <c r="AR26" s="7"/>
      <c r="AS26" s="27">
        <f t="shared" si="9"/>
        <v>0</v>
      </c>
      <c r="AT26" s="28">
        <f t="shared" si="9"/>
        <v>0</v>
      </c>
      <c r="AU26" s="29" t="e">
        <f t="shared" si="10"/>
        <v>#DIV/0!</v>
      </c>
      <c r="AW26" s="9" t="s">
        <v>12</v>
      </c>
      <c r="AX26" s="9"/>
      <c r="AY26" s="8"/>
      <c r="AZ26" s="7"/>
      <c r="BA26" s="27">
        <f t="shared" si="11"/>
        <v>0</v>
      </c>
      <c r="BB26" s="28">
        <f t="shared" si="12"/>
        <v>0</v>
      </c>
      <c r="BC26" s="29" t="e">
        <f t="shared" si="13"/>
        <v>#DIV/0!</v>
      </c>
      <c r="BE26" s="9" t="s">
        <v>12</v>
      </c>
      <c r="BF26" s="9"/>
      <c r="BG26" s="8"/>
      <c r="BH26" s="7"/>
      <c r="BI26" s="27">
        <f t="shared" si="14"/>
        <v>0</v>
      </c>
      <c r="BJ26" s="28">
        <f t="shared" si="15"/>
        <v>0</v>
      </c>
      <c r="BK26" s="29" t="e">
        <f t="shared" si="16"/>
        <v>#DIV/0!</v>
      </c>
      <c r="BM26" s="9" t="s">
        <v>12</v>
      </c>
      <c r="BN26" s="9"/>
      <c r="BO26" s="8"/>
      <c r="BP26" s="7"/>
      <c r="BQ26" s="27">
        <f t="shared" si="17"/>
        <v>0</v>
      </c>
      <c r="BR26" s="28">
        <f t="shared" si="18"/>
        <v>0</v>
      </c>
      <c r="BS26" s="29" t="e">
        <f t="shared" si="19"/>
        <v>#DIV/0!</v>
      </c>
      <c r="BU26" s="9" t="s">
        <v>12</v>
      </c>
      <c r="BV26" s="9"/>
      <c r="BW26" s="8"/>
      <c r="BX26" s="7"/>
      <c r="BY26" s="27">
        <f t="shared" si="20"/>
        <v>0</v>
      </c>
      <c r="BZ26" s="28">
        <f t="shared" si="21"/>
        <v>0</v>
      </c>
      <c r="CA26" s="29" t="e">
        <f t="shared" si="22"/>
        <v>#DIV/0!</v>
      </c>
      <c r="CC26" s="9" t="s">
        <v>12</v>
      </c>
      <c r="CD26" s="9"/>
      <c r="CE26" s="8"/>
      <c r="CF26" s="7"/>
      <c r="CG26" s="27">
        <v>138</v>
      </c>
      <c r="CH26" s="28">
        <v>1815254</v>
      </c>
      <c r="CI26" s="29">
        <v>0.61901329106672265</v>
      </c>
      <c r="CK26" s="9" t="s">
        <v>12</v>
      </c>
      <c r="CL26" s="9"/>
      <c r="CM26" s="8"/>
      <c r="CN26" s="7"/>
      <c r="CO26" s="27">
        <f t="shared" si="23"/>
        <v>0</v>
      </c>
      <c r="CP26" s="28">
        <f t="shared" si="24"/>
        <v>0</v>
      </c>
      <c r="CQ26" s="29" t="e">
        <f t="shared" si="25"/>
        <v>#DIV/0!</v>
      </c>
      <c r="CS26" s="9" t="s">
        <v>12</v>
      </c>
      <c r="CT26" s="9"/>
      <c r="CU26" s="8"/>
      <c r="CV26" s="7"/>
      <c r="CW26" s="27">
        <f t="shared" si="26"/>
        <v>0</v>
      </c>
      <c r="CX26" s="28">
        <f t="shared" si="27"/>
        <v>0</v>
      </c>
      <c r="CY26" s="29" t="e">
        <f t="shared" si="28"/>
        <v>#DIV/0!</v>
      </c>
    </row>
    <row r="27" spans="1:103" s="1" customFormat="1" ht="20" customHeight="1">
      <c r="A27" s="14">
        <v>77</v>
      </c>
      <c r="B27" s="32" t="s">
        <v>19</v>
      </c>
      <c r="C27" s="1">
        <v>9848</v>
      </c>
      <c r="D27" s="35"/>
      <c r="E27" s="10"/>
      <c r="F27" s="12"/>
      <c r="G27" s="36"/>
      <c r="I27" s="14">
        <v>77</v>
      </c>
      <c r="J27" s="32" t="s">
        <v>19</v>
      </c>
      <c r="K27" s="1">
        <v>8499</v>
      </c>
      <c r="L27" s="35"/>
      <c r="M27" s="10">
        <f t="shared" si="0"/>
        <v>-1349</v>
      </c>
      <c r="N27" s="12">
        <f t="shared" si="0"/>
        <v>0</v>
      </c>
      <c r="O27" s="11" t="e">
        <f t="shared" si="1"/>
        <v>#DIV/0!</v>
      </c>
      <c r="Q27" s="14">
        <v>77</v>
      </c>
      <c r="R27" s="32" t="s">
        <v>19</v>
      </c>
      <c r="T27" s="35"/>
      <c r="U27" s="10">
        <f t="shared" si="2"/>
        <v>-8499</v>
      </c>
      <c r="V27" s="12">
        <f t="shared" si="3"/>
        <v>0</v>
      </c>
      <c r="W27" s="11" t="e">
        <f t="shared" si="4"/>
        <v>#DIV/0!</v>
      </c>
      <c r="Y27" s="14">
        <v>77</v>
      </c>
      <c r="Z27" s="32" t="s">
        <v>19</v>
      </c>
      <c r="AB27" s="35"/>
      <c r="AC27" s="10">
        <f t="shared" si="5"/>
        <v>0</v>
      </c>
      <c r="AD27" s="12">
        <f t="shared" si="5"/>
        <v>0</v>
      </c>
      <c r="AE27" s="11" t="e">
        <f t="shared" si="6"/>
        <v>#DIV/0!</v>
      </c>
      <c r="AG27" s="14">
        <v>77</v>
      </c>
      <c r="AH27" s="32" t="s">
        <v>19</v>
      </c>
      <c r="AI27" s="32"/>
      <c r="AJ27" s="47"/>
      <c r="AK27" s="10">
        <f t="shared" si="7"/>
        <v>0</v>
      </c>
      <c r="AL27" s="12">
        <f t="shared" si="7"/>
        <v>0</v>
      </c>
      <c r="AM27" s="11" t="e">
        <f t="shared" si="8"/>
        <v>#DIV/0!</v>
      </c>
      <c r="AO27" s="14">
        <v>77</v>
      </c>
      <c r="AP27" s="32" t="s">
        <v>25</v>
      </c>
      <c r="AR27" s="35"/>
      <c r="AS27" s="10">
        <f t="shared" si="9"/>
        <v>0</v>
      </c>
      <c r="AT27" s="12">
        <f t="shared" si="9"/>
        <v>0</v>
      </c>
      <c r="AU27" s="11" t="e">
        <f t="shared" si="10"/>
        <v>#DIV/0!</v>
      </c>
      <c r="AW27" s="14">
        <v>77</v>
      </c>
      <c r="AX27" s="32" t="s">
        <v>25</v>
      </c>
      <c r="AZ27" s="35"/>
      <c r="BA27" s="10">
        <f t="shared" si="11"/>
        <v>0</v>
      </c>
      <c r="BB27" s="12">
        <f t="shared" si="12"/>
        <v>0</v>
      </c>
      <c r="BC27" s="11" t="e">
        <f t="shared" si="13"/>
        <v>#DIV/0!</v>
      </c>
      <c r="BE27" s="14">
        <v>77</v>
      </c>
      <c r="BF27" s="32" t="s">
        <v>19</v>
      </c>
      <c r="BH27" s="35"/>
      <c r="BI27" s="10">
        <f t="shared" si="14"/>
        <v>0</v>
      </c>
      <c r="BJ27" s="12">
        <f t="shared" si="15"/>
        <v>0</v>
      </c>
      <c r="BK27" s="11" t="e">
        <f t="shared" si="16"/>
        <v>#DIV/0!</v>
      </c>
      <c r="BM27" s="14">
        <v>77</v>
      </c>
      <c r="BN27" s="32" t="s">
        <v>25</v>
      </c>
      <c r="BP27" s="35"/>
      <c r="BQ27" s="10">
        <f t="shared" si="17"/>
        <v>0</v>
      </c>
      <c r="BR27" s="12">
        <f t="shared" si="18"/>
        <v>0</v>
      </c>
      <c r="BS27" s="11" t="e">
        <f t="shared" si="19"/>
        <v>#DIV/0!</v>
      </c>
      <c r="BU27" s="14">
        <v>77</v>
      </c>
      <c r="BV27" s="32" t="s">
        <v>25</v>
      </c>
      <c r="BW27" s="15"/>
      <c r="BX27" s="33"/>
      <c r="BY27" s="10">
        <f t="shared" si="20"/>
        <v>0</v>
      </c>
      <c r="BZ27" s="12">
        <f t="shared" si="21"/>
        <v>0</v>
      </c>
      <c r="CA27" s="11" t="e">
        <f t="shared" si="22"/>
        <v>#DIV/0!</v>
      </c>
      <c r="CC27" s="14">
        <v>77</v>
      </c>
      <c r="CD27" s="32" t="s">
        <v>25</v>
      </c>
      <c r="CE27" s="15"/>
      <c r="CF27" s="33"/>
      <c r="CG27" s="10">
        <v>1727</v>
      </c>
      <c r="CH27" s="12">
        <v>0</v>
      </c>
      <c r="CI27" s="11" t="e">
        <v>#DIV/0!</v>
      </c>
      <c r="CK27" s="14">
        <v>77</v>
      </c>
      <c r="CL27" s="32" t="s">
        <v>19</v>
      </c>
      <c r="CM27" s="15"/>
      <c r="CN27" s="33"/>
      <c r="CO27" s="10">
        <f t="shared" si="23"/>
        <v>0</v>
      </c>
      <c r="CP27" s="12">
        <f t="shared" si="24"/>
        <v>0</v>
      </c>
      <c r="CQ27" s="11" t="e">
        <f t="shared" si="25"/>
        <v>#DIV/0!</v>
      </c>
      <c r="CS27" s="14">
        <v>77</v>
      </c>
      <c r="CT27" s="32" t="s">
        <v>19</v>
      </c>
      <c r="CU27" s="15"/>
      <c r="CV27" s="33"/>
      <c r="CW27" s="10">
        <f t="shared" si="26"/>
        <v>0</v>
      </c>
      <c r="CX27" s="12">
        <f t="shared" si="27"/>
        <v>0</v>
      </c>
      <c r="CY27" s="11" t="e">
        <f t="shared" si="28"/>
        <v>#DIV/0!</v>
      </c>
    </row>
    <row r="28" spans="1:103" s="1" customFormat="1" ht="20" customHeight="1">
      <c r="A28" s="14"/>
      <c r="B28" s="32" t="s">
        <v>20</v>
      </c>
      <c r="C28" s="1">
        <v>5</v>
      </c>
      <c r="D28" s="35"/>
      <c r="E28" s="10"/>
      <c r="F28" s="12"/>
      <c r="G28" s="36"/>
      <c r="I28" s="14"/>
      <c r="J28" s="32" t="s">
        <v>20</v>
      </c>
      <c r="K28" s="1">
        <v>3</v>
      </c>
      <c r="L28" s="35"/>
      <c r="M28" s="10">
        <f t="shared" si="0"/>
        <v>-2</v>
      </c>
      <c r="N28" s="12">
        <f t="shared" si="0"/>
        <v>0</v>
      </c>
      <c r="O28" s="11" t="e">
        <f t="shared" si="1"/>
        <v>#DIV/0!</v>
      </c>
      <c r="Q28" s="14"/>
      <c r="R28" s="32" t="s">
        <v>20</v>
      </c>
      <c r="T28" s="35"/>
      <c r="U28" s="10">
        <f t="shared" si="2"/>
        <v>-3</v>
      </c>
      <c r="V28" s="12">
        <f t="shared" si="3"/>
        <v>0</v>
      </c>
      <c r="W28" s="11" t="e">
        <f t="shared" si="4"/>
        <v>#DIV/0!</v>
      </c>
      <c r="Y28" s="14"/>
      <c r="Z28" s="32" t="s">
        <v>20</v>
      </c>
      <c r="AB28" s="35"/>
      <c r="AC28" s="10">
        <f t="shared" si="5"/>
        <v>0</v>
      </c>
      <c r="AD28" s="12">
        <f t="shared" si="5"/>
        <v>0</v>
      </c>
      <c r="AE28" s="11" t="e">
        <f t="shared" si="6"/>
        <v>#DIV/0!</v>
      </c>
      <c r="AG28" s="14"/>
      <c r="AH28" s="32" t="s">
        <v>20</v>
      </c>
      <c r="AI28" s="32"/>
      <c r="AJ28" s="47"/>
      <c r="AK28" s="10">
        <f t="shared" si="7"/>
        <v>0</v>
      </c>
      <c r="AL28" s="12">
        <f t="shared" si="7"/>
        <v>0</v>
      </c>
      <c r="AM28" s="11" t="e">
        <f t="shared" si="8"/>
        <v>#DIV/0!</v>
      </c>
      <c r="AO28" s="14"/>
      <c r="AP28" s="32" t="s">
        <v>26</v>
      </c>
      <c r="AR28" s="35"/>
      <c r="AS28" s="10">
        <f t="shared" si="9"/>
        <v>0</v>
      </c>
      <c r="AT28" s="12">
        <f t="shared" si="9"/>
        <v>0</v>
      </c>
      <c r="AU28" s="11" t="e">
        <f t="shared" si="10"/>
        <v>#DIV/0!</v>
      </c>
      <c r="AW28" s="14"/>
      <c r="AX28" s="32" t="s">
        <v>26</v>
      </c>
      <c r="AZ28" s="35"/>
      <c r="BA28" s="10">
        <f t="shared" si="11"/>
        <v>0</v>
      </c>
      <c r="BB28" s="12">
        <f t="shared" si="12"/>
        <v>0</v>
      </c>
      <c r="BC28" s="11" t="e">
        <f t="shared" si="13"/>
        <v>#DIV/0!</v>
      </c>
      <c r="BE28" s="14"/>
      <c r="BF28" s="32" t="s">
        <v>20</v>
      </c>
      <c r="BH28" s="35"/>
      <c r="BI28" s="10">
        <f t="shared" si="14"/>
        <v>0</v>
      </c>
      <c r="BJ28" s="12">
        <f t="shared" si="15"/>
        <v>0</v>
      </c>
      <c r="BK28" s="11" t="e">
        <f t="shared" si="16"/>
        <v>#DIV/0!</v>
      </c>
      <c r="BM28" s="14"/>
      <c r="BN28" s="32" t="s">
        <v>26</v>
      </c>
      <c r="BP28" s="35"/>
      <c r="BQ28" s="10">
        <f t="shared" si="17"/>
        <v>0</v>
      </c>
      <c r="BR28" s="12">
        <f t="shared" si="18"/>
        <v>0</v>
      </c>
      <c r="BS28" s="11" t="e">
        <f t="shared" si="19"/>
        <v>#DIV/0!</v>
      </c>
      <c r="BU28" s="14"/>
      <c r="BV28" s="32" t="s">
        <v>26</v>
      </c>
      <c r="BW28" s="15"/>
      <c r="BX28" s="33"/>
      <c r="BY28" s="10">
        <f t="shared" si="20"/>
        <v>0</v>
      </c>
      <c r="BZ28" s="12">
        <f t="shared" si="21"/>
        <v>0</v>
      </c>
      <c r="CA28" s="11" t="e">
        <f t="shared" si="22"/>
        <v>#DIV/0!</v>
      </c>
      <c r="CC28" s="14"/>
      <c r="CD28" s="32" t="s">
        <v>26</v>
      </c>
      <c r="CE28" s="15"/>
      <c r="CF28" s="33"/>
      <c r="CG28" s="10">
        <v>-3</v>
      </c>
      <c r="CH28" s="12">
        <v>0</v>
      </c>
      <c r="CI28" s="11" t="e">
        <v>#DIV/0!</v>
      </c>
      <c r="CK28" s="14"/>
      <c r="CL28" s="32" t="s">
        <v>20</v>
      </c>
      <c r="CM28" s="15"/>
      <c r="CN28" s="33"/>
      <c r="CO28" s="10">
        <f t="shared" si="23"/>
        <v>0</v>
      </c>
      <c r="CP28" s="12">
        <f t="shared" si="24"/>
        <v>0</v>
      </c>
      <c r="CQ28" s="11" t="e">
        <f t="shared" si="25"/>
        <v>#DIV/0!</v>
      </c>
      <c r="CS28" s="14"/>
      <c r="CT28" s="32" t="s">
        <v>20</v>
      </c>
      <c r="CU28" s="15"/>
      <c r="CV28" s="33"/>
      <c r="CW28" s="10">
        <f t="shared" si="26"/>
        <v>0</v>
      </c>
      <c r="CX28" s="12">
        <f t="shared" si="27"/>
        <v>0</v>
      </c>
      <c r="CY28" s="11" t="e">
        <f t="shared" si="28"/>
        <v>#DIV/0!</v>
      </c>
    </row>
    <row r="29" spans="1:103" s="10" customFormat="1" ht="20" customHeight="1">
      <c r="A29" s="14"/>
      <c r="B29" s="13" t="s">
        <v>9</v>
      </c>
      <c r="C29" s="10">
        <v>116</v>
      </c>
      <c r="D29" s="12">
        <v>140467</v>
      </c>
      <c r="F29" s="12"/>
      <c r="G29" s="11"/>
      <c r="I29" s="14"/>
      <c r="J29" s="13" t="s">
        <v>9</v>
      </c>
      <c r="K29" s="10">
        <v>136</v>
      </c>
      <c r="L29" s="12">
        <v>146234</v>
      </c>
      <c r="M29" s="10">
        <f t="shared" si="0"/>
        <v>20</v>
      </c>
      <c r="N29" s="12">
        <f t="shared" si="0"/>
        <v>5767</v>
      </c>
      <c r="O29" s="11">
        <f t="shared" si="1"/>
        <v>4.1055906369467564E-2</v>
      </c>
      <c r="Q29" s="14"/>
      <c r="R29" s="13" t="s">
        <v>9</v>
      </c>
      <c r="T29" s="12"/>
      <c r="U29" s="10">
        <f t="shared" si="2"/>
        <v>-136</v>
      </c>
      <c r="V29" s="12">
        <f t="shared" si="3"/>
        <v>-146234</v>
      </c>
      <c r="W29" s="11">
        <f t="shared" si="4"/>
        <v>-1</v>
      </c>
      <c r="Y29" s="14"/>
      <c r="Z29" s="13" t="s">
        <v>9</v>
      </c>
      <c r="AB29" s="12"/>
      <c r="AC29" s="10">
        <f t="shared" si="5"/>
        <v>0</v>
      </c>
      <c r="AD29" s="12">
        <f t="shared" si="5"/>
        <v>0</v>
      </c>
      <c r="AE29" s="11" t="e">
        <f t="shared" si="6"/>
        <v>#DIV/0!</v>
      </c>
      <c r="AG29" s="14"/>
      <c r="AH29" s="13" t="s">
        <v>9</v>
      </c>
      <c r="AI29" s="13"/>
      <c r="AJ29" s="45"/>
      <c r="AK29" s="10">
        <f t="shared" si="7"/>
        <v>0</v>
      </c>
      <c r="AL29" s="12">
        <f t="shared" si="7"/>
        <v>0</v>
      </c>
      <c r="AM29" s="11" t="e">
        <f t="shared" si="8"/>
        <v>#DIV/0!</v>
      </c>
      <c r="AO29" s="14"/>
      <c r="AP29" s="13" t="s">
        <v>9</v>
      </c>
      <c r="AR29" s="12"/>
      <c r="AS29" s="10">
        <f t="shared" si="9"/>
        <v>0</v>
      </c>
      <c r="AT29" s="12">
        <f t="shared" si="9"/>
        <v>0</v>
      </c>
      <c r="AU29" s="11" t="e">
        <f t="shared" si="10"/>
        <v>#DIV/0!</v>
      </c>
      <c r="AW29" s="14"/>
      <c r="AX29" s="13" t="s">
        <v>9</v>
      </c>
      <c r="AZ29" s="12"/>
      <c r="BA29" s="10">
        <f t="shared" si="11"/>
        <v>0</v>
      </c>
      <c r="BB29" s="12">
        <f t="shared" si="12"/>
        <v>0</v>
      </c>
      <c r="BC29" s="11" t="e">
        <f t="shared" si="13"/>
        <v>#DIV/0!</v>
      </c>
      <c r="BE29" s="14"/>
      <c r="BF29" s="13" t="s">
        <v>9</v>
      </c>
      <c r="BH29" s="12"/>
      <c r="BI29" s="10">
        <f t="shared" si="14"/>
        <v>0</v>
      </c>
      <c r="BJ29" s="12">
        <f t="shared" si="15"/>
        <v>0</v>
      </c>
      <c r="BK29" s="11" t="e">
        <f t="shared" si="16"/>
        <v>#DIV/0!</v>
      </c>
      <c r="BM29" s="14"/>
      <c r="BN29" s="13" t="s">
        <v>9</v>
      </c>
      <c r="BP29" s="12"/>
      <c r="BQ29" s="10">
        <f t="shared" si="17"/>
        <v>0</v>
      </c>
      <c r="BR29" s="12">
        <f t="shared" si="18"/>
        <v>0</v>
      </c>
      <c r="BS29" s="11" t="e">
        <f t="shared" si="19"/>
        <v>#DIV/0!</v>
      </c>
      <c r="BU29" s="14"/>
      <c r="BV29" s="13" t="s">
        <v>9</v>
      </c>
      <c r="BX29" s="12"/>
      <c r="BY29" s="10">
        <f t="shared" si="20"/>
        <v>0</v>
      </c>
      <c r="BZ29" s="12">
        <f t="shared" si="21"/>
        <v>0</v>
      </c>
      <c r="CA29" s="11" t="e">
        <f t="shared" si="22"/>
        <v>#DIV/0!</v>
      </c>
      <c r="CC29" s="14"/>
      <c r="CD29" s="13" t="s">
        <v>9</v>
      </c>
      <c r="CF29" s="12"/>
      <c r="CG29" s="10">
        <v>-30</v>
      </c>
      <c r="CH29" s="12">
        <v>-39204</v>
      </c>
      <c r="CI29" s="11">
        <v>-0.41214440402851077</v>
      </c>
      <c r="CK29" s="14"/>
      <c r="CL29" s="13" t="s">
        <v>9</v>
      </c>
      <c r="CN29" s="12"/>
      <c r="CO29" s="10">
        <f t="shared" si="23"/>
        <v>0</v>
      </c>
      <c r="CP29" s="12">
        <f t="shared" si="24"/>
        <v>0</v>
      </c>
      <c r="CQ29" s="11" t="e">
        <f t="shared" si="25"/>
        <v>#DIV/0!</v>
      </c>
      <c r="CS29" s="14"/>
      <c r="CT29" s="13" t="s">
        <v>9</v>
      </c>
      <c r="CV29" s="12"/>
      <c r="CW29" s="10">
        <f t="shared" si="26"/>
        <v>0</v>
      </c>
      <c r="CX29" s="12">
        <f t="shared" si="27"/>
        <v>0</v>
      </c>
      <c r="CY29" s="11" t="e">
        <f t="shared" si="28"/>
        <v>#DIV/0!</v>
      </c>
    </row>
    <row r="30" spans="1:103" s="10" customFormat="1" ht="20" customHeight="1">
      <c r="A30" s="14"/>
      <c r="B30" s="13" t="s">
        <v>8</v>
      </c>
      <c r="C30" s="10">
        <v>104</v>
      </c>
      <c r="D30" s="12">
        <v>87707</v>
      </c>
      <c r="F30" s="12"/>
      <c r="G30" s="11"/>
      <c r="I30" s="14"/>
      <c r="J30" s="13" t="s">
        <v>8</v>
      </c>
      <c r="K30" s="10">
        <v>105</v>
      </c>
      <c r="L30" s="12">
        <v>102525</v>
      </c>
      <c r="M30" s="10">
        <f t="shared" si="0"/>
        <v>1</v>
      </c>
      <c r="N30" s="12">
        <f t="shared" si="0"/>
        <v>14818</v>
      </c>
      <c r="O30" s="11">
        <f t="shared" si="1"/>
        <v>0.16894888663390609</v>
      </c>
      <c r="Q30" s="14"/>
      <c r="R30" s="13" t="s">
        <v>8</v>
      </c>
      <c r="T30" s="12"/>
      <c r="U30" s="10">
        <f t="shared" si="2"/>
        <v>-105</v>
      </c>
      <c r="V30" s="12">
        <f t="shared" si="3"/>
        <v>-102525</v>
      </c>
      <c r="W30" s="11">
        <f t="shared" si="4"/>
        <v>-1</v>
      </c>
      <c r="Y30" s="14"/>
      <c r="Z30" s="13" t="s">
        <v>8</v>
      </c>
      <c r="AB30" s="12"/>
      <c r="AC30" s="10">
        <f t="shared" si="5"/>
        <v>0</v>
      </c>
      <c r="AD30" s="12">
        <f t="shared" si="5"/>
        <v>0</v>
      </c>
      <c r="AE30" s="11" t="e">
        <f t="shared" si="6"/>
        <v>#DIV/0!</v>
      </c>
      <c r="AG30" s="14"/>
      <c r="AH30" s="13" t="s">
        <v>8</v>
      </c>
      <c r="AI30" s="13"/>
      <c r="AJ30" s="45"/>
      <c r="AK30" s="10">
        <f t="shared" si="7"/>
        <v>0</v>
      </c>
      <c r="AL30" s="12">
        <f t="shared" si="7"/>
        <v>0</v>
      </c>
      <c r="AM30" s="11" t="e">
        <f t="shared" si="8"/>
        <v>#DIV/0!</v>
      </c>
      <c r="AO30" s="14"/>
      <c r="AP30" s="13" t="s">
        <v>8</v>
      </c>
      <c r="AR30" s="12"/>
      <c r="AS30" s="10">
        <f t="shared" si="9"/>
        <v>0</v>
      </c>
      <c r="AT30" s="12">
        <f t="shared" si="9"/>
        <v>0</v>
      </c>
      <c r="AU30" s="11" t="e">
        <f t="shared" si="10"/>
        <v>#DIV/0!</v>
      </c>
      <c r="AW30" s="14"/>
      <c r="AX30" s="13" t="s">
        <v>8</v>
      </c>
      <c r="AZ30" s="12"/>
      <c r="BA30" s="10">
        <f t="shared" si="11"/>
        <v>0</v>
      </c>
      <c r="BB30" s="12">
        <f t="shared" si="12"/>
        <v>0</v>
      </c>
      <c r="BC30" s="11" t="e">
        <f t="shared" si="13"/>
        <v>#DIV/0!</v>
      </c>
      <c r="BE30" s="14"/>
      <c r="BF30" s="13" t="s">
        <v>8</v>
      </c>
      <c r="BH30" s="12"/>
      <c r="BI30" s="10">
        <f t="shared" si="14"/>
        <v>0</v>
      </c>
      <c r="BJ30" s="12">
        <f t="shared" si="15"/>
        <v>0</v>
      </c>
      <c r="BK30" s="11" t="e">
        <f t="shared" si="16"/>
        <v>#DIV/0!</v>
      </c>
      <c r="BM30" s="14"/>
      <c r="BN30" s="13" t="s">
        <v>8</v>
      </c>
      <c r="BP30" s="12"/>
      <c r="BQ30" s="10">
        <f t="shared" si="17"/>
        <v>0</v>
      </c>
      <c r="BR30" s="12">
        <f t="shared" si="18"/>
        <v>0</v>
      </c>
      <c r="BS30" s="11" t="e">
        <f t="shared" si="19"/>
        <v>#DIV/0!</v>
      </c>
      <c r="BU30" s="14"/>
      <c r="BV30" s="13" t="s">
        <v>8</v>
      </c>
      <c r="BX30" s="12"/>
      <c r="BY30" s="10">
        <f t="shared" si="20"/>
        <v>0</v>
      </c>
      <c r="BZ30" s="12">
        <f t="shared" si="21"/>
        <v>0</v>
      </c>
      <c r="CA30" s="11" t="e">
        <f t="shared" si="22"/>
        <v>#DIV/0!</v>
      </c>
      <c r="CC30" s="14"/>
      <c r="CD30" s="13" t="s">
        <v>8</v>
      </c>
      <c r="CF30" s="12"/>
      <c r="CG30" s="10">
        <v>16</v>
      </c>
      <c r="CH30" s="12">
        <v>18252</v>
      </c>
      <c r="CI30" s="11">
        <v>0.34446184913280614</v>
      </c>
      <c r="CK30" s="14"/>
      <c r="CL30" s="13" t="s">
        <v>8</v>
      </c>
      <c r="CN30" s="12"/>
      <c r="CO30" s="10">
        <f t="shared" si="23"/>
        <v>0</v>
      </c>
      <c r="CP30" s="12">
        <f t="shared" si="24"/>
        <v>0</v>
      </c>
      <c r="CQ30" s="11" t="e">
        <f t="shared" si="25"/>
        <v>#DIV/0!</v>
      </c>
      <c r="CS30" s="14"/>
      <c r="CT30" s="13" t="s">
        <v>8</v>
      </c>
      <c r="CV30" s="12"/>
      <c r="CW30" s="10">
        <f t="shared" si="26"/>
        <v>0</v>
      </c>
      <c r="CX30" s="12">
        <f t="shared" si="27"/>
        <v>0</v>
      </c>
      <c r="CY30" s="11" t="e">
        <f t="shared" si="28"/>
        <v>#DIV/0!</v>
      </c>
    </row>
    <row r="31" spans="1:103" s="10" customFormat="1" ht="20" customHeight="1">
      <c r="A31" s="14"/>
      <c r="B31" s="13" t="s">
        <v>7</v>
      </c>
      <c r="C31" s="10">
        <v>38</v>
      </c>
      <c r="D31" s="12">
        <v>212400</v>
      </c>
      <c r="F31" s="12"/>
      <c r="G31" s="11"/>
      <c r="I31" s="14"/>
      <c r="J31" s="13" t="s">
        <v>7</v>
      </c>
      <c r="K31" s="10">
        <v>36</v>
      </c>
      <c r="L31" s="12">
        <v>196133</v>
      </c>
      <c r="M31" s="10">
        <f t="shared" si="0"/>
        <v>-2</v>
      </c>
      <c r="N31" s="12">
        <f t="shared" si="0"/>
        <v>-16267</v>
      </c>
      <c r="O31" s="11">
        <f t="shared" si="1"/>
        <v>-7.6586629001883233E-2</v>
      </c>
      <c r="Q31" s="14"/>
      <c r="R31" s="13" t="s">
        <v>7</v>
      </c>
      <c r="T31" s="12"/>
      <c r="U31" s="10">
        <f t="shared" si="2"/>
        <v>-36</v>
      </c>
      <c r="V31" s="12">
        <f t="shared" si="3"/>
        <v>-196133</v>
      </c>
      <c r="W31" s="11">
        <f t="shared" si="4"/>
        <v>-1</v>
      </c>
      <c r="Y31" s="14"/>
      <c r="Z31" s="13" t="s">
        <v>7</v>
      </c>
      <c r="AB31" s="12"/>
      <c r="AC31" s="10">
        <f t="shared" si="5"/>
        <v>0</v>
      </c>
      <c r="AD31" s="12">
        <f t="shared" si="5"/>
        <v>0</v>
      </c>
      <c r="AE31" s="11" t="e">
        <f t="shared" si="6"/>
        <v>#DIV/0!</v>
      </c>
      <c r="AG31" s="14"/>
      <c r="AH31" s="13" t="s">
        <v>7</v>
      </c>
      <c r="AI31" s="13"/>
      <c r="AJ31" s="45"/>
      <c r="AK31" s="10">
        <f t="shared" si="7"/>
        <v>0</v>
      </c>
      <c r="AL31" s="12">
        <f t="shared" si="7"/>
        <v>0</v>
      </c>
      <c r="AM31" s="11" t="e">
        <f t="shared" si="8"/>
        <v>#DIV/0!</v>
      </c>
      <c r="AO31" s="14"/>
      <c r="AP31" s="13" t="s">
        <v>7</v>
      </c>
      <c r="AR31" s="12"/>
      <c r="AS31" s="10">
        <f t="shared" si="9"/>
        <v>0</v>
      </c>
      <c r="AT31" s="12">
        <f t="shared" si="9"/>
        <v>0</v>
      </c>
      <c r="AU31" s="11" t="e">
        <f t="shared" si="10"/>
        <v>#DIV/0!</v>
      </c>
      <c r="AW31" s="14"/>
      <c r="AX31" s="13" t="s">
        <v>7</v>
      </c>
      <c r="AZ31" s="12"/>
      <c r="BA31" s="10">
        <f t="shared" si="11"/>
        <v>0</v>
      </c>
      <c r="BB31" s="12">
        <f t="shared" si="12"/>
        <v>0</v>
      </c>
      <c r="BC31" s="11" t="e">
        <f t="shared" si="13"/>
        <v>#DIV/0!</v>
      </c>
      <c r="BE31" s="14"/>
      <c r="BF31" s="13" t="s">
        <v>7</v>
      </c>
      <c r="BH31" s="12"/>
      <c r="BI31" s="10">
        <f t="shared" si="14"/>
        <v>0</v>
      </c>
      <c r="BJ31" s="12">
        <f t="shared" si="15"/>
        <v>0</v>
      </c>
      <c r="BK31" s="11" t="e">
        <f t="shared" si="16"/>
        <v>#DIV/0!</v>
      </c>
      <c r="BM31" s="14"/>
      <c r="BN31" s="13" t="s">
        <v>7</v>
      </c>
      <c r="BP31" s="12"/>
      <c r="BQ31" s="10">
        <f t="shared" si="17"/>
        <v>0</v>
      </c>
      <c r="BR31" s="12">
        <f t="shared" si="18"/>
        <v>0</v>
      </c>
      <c r="BS31" s="11" t="e">
        <f t="shared" si="19"/>
        <v>#DIV/0!</v>
      </c>
      <c r="BU31" s="14"/>
      <c r="BV31" s="13" t="s">
        <v>7</v>
      </c>
      <c r="BX31" s="12"/>
      <c r="BY31" s="10">
        <f t="shared" si="20"/>
        <v>0</v>
      </c>
      <c r="BZ31" s="12">
        <f t="shared" si="21"/>
        <v>0</v>
      </c>
      <c r="CA31" s="11" t="e">
        <f t="shared" si="22"/>
        <v>#DIV/0!</v>
      </c>
      <c r="CC31" s="14"/>
      <c r="CD31" s="13" t="s">
        <v>7</v>
      </c>
      <c r="CF31" s="12"/>
      <c r="CG31" s="10">
        <v>-3</v>
      </c>
      <c r="CH31" s="12">
        <v>-17315</v>
      </c>
      <c r="CI31" s="11">
        <v>-0.16967505487613671</v>
      </c>
      <c r="CK31" s="14"/>
      <c r="CL31" s="13" t="s">
        <v>7</v>
      </c>
      <c r="CN31" s="12"/>
      <c r="CO31" s="10">
        <f t="shared" si="23"/>
        <v>0</v>
      </c>
      <c r="CP31" s="12">
        <f t="shared" si="24"/>
        <v>0</v>
      </c>
      <c r="CQ31" s="11" t="e">
        <f t="shared" si="25"/>
        <v>#DIV/0!</v>
      </c>
      <c r="CS31" s="14"/>
      <c r="CT31" s="13" t="s">
        <v>7</v>
      </c>
      <c r="CV31" s="12"/>
      <c r="CW31" s="10">
        <f t="shared" si="26"/>
        <v>0</v>
      </c>
      <c r="CX31" s="12">
        <f t="shared" si="27"/>
        <v>0</v>
      </c>
      <c r="CY31" s="11" t="e">
        <f t="shared" si="28"/>
        <v>#DIV/0!</v>
      </c>
    </row>
    <row r="32" spans="1:103" s="10" customFormat="1" ht="20" customHeight="1">
      <c r="A32" s="14"/>
      <c r="B32" s="13" t="s">
        <v>6</v>
      </c>
      <c r="C32" s="10">
        <v>40</v>
      </c>
      <c r="D32" s="12">
        <v>588190</v>
      </c>
      <c r="F32" s="12"/>
      <c r="G32" s="11"/>
      <c r="I32" s="14"/>
      <c r="J32" s="13" t="s">
        <v>6</v>
      </c>
      <c r="K32" s="10">
        <v>11</v>
      </c>
      <c r="L32" s="12">
        <v>190857</v>
      </c>
      <c r="M32" s="10">
        <f t="shared" si="0"/>
        <v>-29</v>
      </c>
      <c r="N32" s="12">
        <f t="shared" si="0"/>
        <v>-397333</v>
      </c>
      <c r="O32" s="11">
        <f t="shared" si="1"/>
        <v>-0.67551811489484692</v>
      </c>
      <c r="Q32" s="14"/>
      <c r="R32" s="13" t="s">
        <v>6</v>
      </c>
      <c r="T32" s="12"/>
      <c r="U32" s="10">
        <f t="shared" si="2"/>
        <v>-11</v>
      </c>
      <c r="V32" s="12">
        <f t="shared" si="3"/>
        <v>-190857</v>
      </c>
      <c r="W32" s="11">
        <f t="shared" si="4"/>
        <v>-1</v>
      </c>
      <c r="Y32" s="14"/>
      <c r="Z32" s="13" t="s">
        <v>6</v>
      </c>
      <c r="AB32" s="12"/>
      <c r="AC32" s="10">
        <f t="shared" si="5"/>
        <v>0</v>
      </c>
      <c r="AD32" s="12">
        <f t="shared" si="5"/>
        <v>0</v>
      </c>
      <c r="AE32" s="11" t="e">
        <f t="shared" si="6"/>
        <v>#DIV/0!</v>
      </c>
      <c r="AG32" s="14"/>
      <c r="AH32" s="13" t="s">
        <v>6</v>
      </c>
      <c r="AI32" s="13"/>
      <c r="AJ32" s="45"/>
      <c r="AK32" s="10">
        <f t="shared" si="7"/>
        <v>0</v>
      </c>
      <c r="AL32" s="12">
        <f t="shared" si="7"/>
        <v>0</v>
      </c>
      <c r="AM32" s="11" t="e">
        <f t="shared" si="8"/>
        <v>#DIV/0!</v>
      </c>
      <c r="AO32" s="14"/>
      <c r="AP32" s="13" t="s">
        <v>6</v>
      </c>
      <c r="AR32" s="12"/>
      <c r="AS32" s="10">
        <f t="shared" si="9"/>
        <v>0</v>
      </c>
      <c r="AT32" s="12">
        <f t="shared" si="9"/>
        <v>0</v>
      </c>
      <c r="AU32" s="11" t="e">
        <f t="shared" si="10"/>
        <v>#DIV/0!</v>
      </c>
      <c r="AW32" s="14"/>
      <c r="AX32" s="13" t="s">
        <v>6</v>
      </c>
      <c r="AZ32" s="12"/>
      <c r="BA32" s="10">
        <f t="shared" si="11"/>
        <v>0</v>
      </c>
      <c r="BB32" s="12">
        <f t="shared" si="12"/>
        <v>0</v>
      </c>
      <c r="BC32" s="11" t="e">
        <f t="shared" si="13"/>
        <v>#DIV/0!</v>
      </c>
      <c r="BE32" s="14"/>
      <c r="BF32" s="13" t="s">
        <v>6</v>
      </c>
      <c r="BH32" s="12"/>
      <c r="BI32" s="10">
        <f t="shared" si="14"/>
        <v>0</v>
      </c>
      <c r="BJ32" s="12">
        <f t="shared" si="15"/>
        <v>0</v>
      </c>
      <c r="BK32" s="11" t="e">
        <f t="shared" si="16"/>
        <v>#DIV/0!</v>
      </c>
      <c r="BM32" s="14"/>
      <c r="BN32" s="13" t="s">
        <v>6</v>
      </c>
      <c r="BP32" s="12"/>
      <c r="BQ32" s="10">
        <f t="shared" si="17"/>
        <v>0</v>
      </c>
      <c r="BR32" s="12">
        <f t="shared" si="18"/>
        <v>0</v>
      </c>
      <c r="BS32" s="11" t="e">
        <f t="shared" si="19"/>
        <v>#DIV/0!</v>
      </c>
      <c r="BU32" s="14"/>
      <c r="BV32" s="13" t="s">
        <v>6</v>
      </c>
      <c r="BX32" s="12"/>
      <c r="BY32" s="10">
        <f t="shared" si="20"/>
        <v>0</v>
      </c>
      <c r="BZ32" s="12">
        <f t="shared" si="21"/>
        <v>0</v>
      </c>
      <c r="CA32" s="11" t="e">
        <f t="shared" si="22"/>
        <v>#DIV/0!</v>
      </c>
      <c r="CC32" s="14"/>
      <c r="CD32" s="13" t="s">
        <v>6</v>
      </c>
      <c r="CF32" s="12"/>
      <c r="CG32" s="10">
        <v>-2</v>
      </c>
      <c r="CH32" s="12">
        <v>-19809</v>
      </c>
      <c r="CI32" s="11">
        <v>-0.72472835034573591</v>
      </c>
      <c r="CK32" s="14"/>
      <c r="CL32" s="13" t="s">
        <v>6</v>
      </c>
      <c r="CN32" s="12"/>
      <c r="CO32" s="10">
        <f t="shared" si="23"/>
        <v>0</v>
      </c>
      <c r="CP32" s="12">
        <f t="shared" si="24"/>
        <v>0</v>
      </c>
      <c r="CQ32" s="11" t="e">
        <f t="shared" si="25"/>
        <v>#DIV/0!</v>
      </c>
      <c r="CS32" s="14"/>
      <c r="CT32" s="13" t="s">
        <v>6</v>
      </c>
      <c r="CV32" s="12"/>
      <c r="CW32" s="10">
        <f t="shared" si="26"/>
        <v>0</v>
      </c>
      <c r="CX32" s="12">
        <f t="shared" si="27"/>
        <v>0</v>
      </c>
      <c r="CY32" s="11" t="e">
        <f t="shared" si="28"/>
        <v>#DIV/0!</v>
      </c>
    </row>
    <row r="33" spans="1:103" s="10" customFormat="1" ht="20" customHeight="1">
      <c r="A33" s="14"/>
      <c r="B33" s="13" t="s">
        <v>5</v>
      </c>
      <c r="C33" s="10">
        <v>2</v>
      </c>
      <c r="D33" s="12">
        <v>7980</v>
      </c>
      <c r="F33" s="12"/>
      <c r="G33" s="11"/>
      <c r="I33" s="14"/>
      <c r="J33" s="13" t="s">
        <v>5</v>
      </c>
      <c r="K33" s="10">
        <v>3</v>
      </c>
      <c r="L33" s="12">
        <v>7970</v>
      </c>
      <c r="M33" s="10">
        <f t="shared" si="0"/>
        <v>1</v>
      </c>
      <c r="N33" s="12">
        <f t="shared" si="0"/>
        <v>-10</v>
      </c>
      <c r="O33" s="11">
        <f t="shared" si="1"/>
        <v>-1.2531328320802004E-3</v>
      </c>
      <c r="Q33" s="14"/>
      <c r="R33" s="13" t="s">
        <v>5</v>
      </c>
      <c r="T33" s="12"/>
      <c r="U33" s="10">
        <f t="shared" si="2"/>
        <v>-3</v>
      </c>
      <c r="V33" s="12">
        <f t="shared" si="3"/>
        <v>-7970</v>
      </c>
      <c r="W33" s="11">
        <f t="shared" si="4"/>
        <v>-1</v>
      </c>
      <c r="Y33" s="14"/>
      <c r="Z33" s="13" t="s">
        <v>5</v>
      </c>
      <c r="AB33" s="12"/>
      <c r="AC33" s="10">
        <f t="shared" si="5"/>
        <v>0</v>
      </c>
      <c r="AD33" s="12">
        <f t="shared" si="5"/>
        <v>0</v>
      </c>
      <c r="AE33" s="11" t="e">
        <f t="shared" si="6"/>
        <v>#DIV/0!</v>
      </c>
      <c r="AG33" s="14"/>
      <c r="AH33" s="13" t="s">
        <v>5</v>
      </c>
      <c r="AI33" s="52"/>
      <c r="AJ33" s="45"/>
      <c r="AK33" s="10">
        <f t="shared" si="7"/>
        <v>0</v>
      </c>
      <c r="AL33" s="12">
        <f t="shared" si="7"/>
        <v>0</v>
      </c>
      <c r="AM33" s="11" t="e">
        <f t="shared" si="8"/>
        <v>#DIV/0!</v>
      </c>
      <c r="AO33" s="14"/>
      <c r="AP33" s="13" t="s">
        <v>5</v>
      </c>
      <c r="AR33" s="12"/>
      <c r="AS33" s="10">
        <f t="shared" si="9"/>
        <v>0</v>
      </c>
      <c r="AT33" s="12">
        <f t="shared" si="9"/>
        <v>0</v>
      </c>
      <c r="AU33" s="11" t="e">
        <f t="shared" si="10"/>
        <v>#DIV/0!</v>
      </c>
      <c r="AW33" s="14"/>
      <c r="AX33" s="13" t="s">
        <v>5</v>
      </c>
      <c r="AZ33" s="12"/>
      <c r="BA33" s="10">
        <f t="shared" si="11"/>
        <v>0</v>
      </c>
      <c r="BB33" s="12">
        <f t="shared" si="12"/>
        <v>0</v>
      </c>
      <c r="BC33" s="11" t="e">
        <f t="shared" si="13"/>
        <v>#DIV/0!</v>
      </c>
      <c r="BE33" s="14"/>
      <c r="BF33" s="13" t="s">
        <v>5</v>
      </c>
      <c r="BH33" s="12"/>
      <c r="BI33" s="10">
        <f t="shared" si="14"/>
        <v>0</v>
      </c>
      <c r="BJ33" s="12">
        <f t="shared" si="15"/>
        <v>0</v>
      </c>
      <c r="BK33" s="11" t="e">
        <f t="shared" si="16"/>
        <v>#DIV/0!</v>
      </c>
      <c r="BM33" s="14"/>
      <c r="BN33" s="13" t="s">
        <v>5</v>
      </c>
      <c r="BP33" s="12"/>
      <c r="BQ33" s="10">
        <f t="shared" si="17"/>
        <v>0</v>
      </c>
      <c r="BR33" s="12">
        <f t="shared" si="18"/>
        <v>0</v>
      </c>
      <c r="BS33" s="11" t="e">
        <f t="shared" si="19"/>
        <v>#DIV/0!</v>
      </c>
      <c r="BU33" s="14"/>
      <c r="BV33" s="13" t="s">
        <v>5</v>
      </c>
      <c r="BX33" s="12"/>
      <c r="BY33" s="10">
        <f t="shared" si="20"/>
        <v>0</v>
      </c>
      <c r="BZ33" s="12">
        <f t="shared" si="21"/>
        <v>0</v>
      </c>
      <c r="CA33" s="11" t="e">
        <f t="shared" si="22"/>
        <v>#DIV/0!</v>
      </c>
      <c r="CC33" s="14"/>
      <c r="CD33" s="13" t="s">
        <v>5</v>
      </c>
      <c r="CF33" s="12"/>
      <c r="CG33" s="10">
        <v>5</v>
      </c>
      <c r="CH33" s="12">
        <v>20650</v>
      </c>
      <c r="CI33" s="11" t="e">
        <v>#DIV/0!</v>
      </c>
      <c r="CK33" s="14"/>
      <c r="CL33" s="13" t="s">
        <v>5</v>
      </c>
      <c r="CN33" s="12"/>
      <c r="CO33" s="10">
        <f t="shared" si="23"/>
        <v>0</v>
      </c>
      <c r="CP33" s="12">
        <f t="shared" si="24"/>
        <v>0</v>
      </c>
      <c r="CQ33" s="11" t="e">
        <f t="shared" si="25"/>
        <v>#DIV/0!</v>
      </c>
      <c r="CS33" s="14"/>
      <c r="CT33" s="13" t="s">
        <v>5</v>
      </c>
      <c r="CV33" s="12"/>
      <c r="CW33" s="10">
        <f t="shared" si="26"/>
        <v>0</v>
      </c>
      <c r="CX33" s="12">
        <f t="shared" si="27"/>
        <v>0</v>
      </c>
      <c r="CY33" s="11" t="e">
        <f t="shared" si="28"/>
        <v>#DIV/0!</v>
      </c>
    </row>
    <row r="34" spans="1:103" s="10" customFormat="1" ht="20" customHeight="1">
      <c r="A34" s="14"/>
      <c r="B34" s="13" t="s">
        <v>4</v>
      </c>
      <c r="C34" s="10">
        <v>3</v>
      </c>
      <c r="D34" s="12">
        <v>90190</v>
      </c>
      <c r="F34" s="12"/>
      <c r="G34" s="11"/>
      <c r="I34" s="14"/>
      <c r="J34" s="13" t="s">
        <v>4</v>
      </c>
      <c r="K34" s="10">
        <v>3</v>
      </c>
      <c r="L34" s="12">
        <v>90848</v>
      </c>
      <c r="M34" s="10">
        <f t="shared" si="0"/>
        <v>0</v>
      </c>
      <c r="N34" s="12">
        <f t="shared" si="0"/>
        <v>658</v>
      </c>
      <c r="O34" s="11">
        <f t="shared" si="1"/>
        <v>7.2957090586539524E-3</v>
      </c>
      <c r="Q34" s="14"/>
      <c r="R34" s="13" t="s">
        <v>4</v>
      </c>
      <c r="T34" s="12"/>
      <c r="U34" s="10">
        <f t="shared" si="2"/>
        <v>-3</v>
      </c>
      <c r="V34" s="12">
        <f t="shared" si="3"/>
        <v>-90848</v>
      </c>
      <c r="W34" s="11">
        <f t="shared" si="4"/>
        <v>-1</v>
      </c>
      <c r="Y34" s="14"/>
      <c r="Z34" s="13" t="s">
        <v>4</v>
      </c>
      <c r="AB34" s="12"/>
      <c r="AC34" s="10">
        <f t="shared" si="5"/>
        <v>0</v>
      </c>
      <c r="AD34" s="12">
        <f t="shared" si="5"/>
        <v>0</v>
      </c>
      <c r="AE34" s="11" t="e">
        <f t="shared" si="6"/>
        <v>#DIV/0!</v>
      </c>
      <c r="AG34" s="14"/>
      <c r="AH34" s="13" t="s">
        <v>4</v>
      </c>
      <c r="AI34" s="13"/>
      <c r="AJ34" s="45"/>
      <c r="AK34" s="10">
        <f t="shared" si="7"/>
        <v>0</v>
      </c>
      <c r="AL34" s="12">
        <f t="shared" si="7"/>
        <v>0</v>
      </c>
      <c r="AM34" s="11" t="e">
        <f t="shared" si="8"/>
        <v>#DIV/0!</v>
      </c>
      <c r="AO34" s="14"/>
      <c r="AP34" s="13" t="s">
        <v>4</v>
      </c>
      <c r="AR34" s="12"/>
      <c r="AS34" s="10">
        <f t="shared" si="9"/>
        <v>0</v>
      </c>
      <c r="AT34" s="12">
        <f t="shared" si="9"/>
        <v>0</v>
      </c>
      <c r="AU34" s="11" t="e">
        <f t="shared" si="10"/>
        <v>#DIV/0!</v>
      </c>
      <c r="AW34" s="14"/>
      <c r="AX34" s="13" t="s">
        <v>4</v>
      </c>
      <c r="AZ34" s="12"/>
      <c r="BA34" s="10">
        <f t="shared" si="11"/>
        <v>0</v>
      </c>
      <c r="BB34" s="12">
        <f t="shared" si="12"/>
        <v>0</v>
      </c>
      <c r="BC34" s="11" t="e">
        <f t="shared" si="13"/>
        <v>#DIV/0!</v>
      </c>
      <c r="BE34" s="14"/>
      <c r="BF34" s="13" t="s">
        <v>4</v>
      </c>
      <c r="BH34" s="12"/>
      <c r="BI34" s="10">
        <f t="shared" si="14"/>
        <v>0</v>
      </c>
      <c r="BJ34" s="12">
        <f t="shared" si="15"/>
        <v>0</v>
      </c>
      <c r="BK34" s="11" t="e">
        <f t="shared" si="16"/>
        <v>#DIV/0!</v>
      </c>
      <c r="BM34" s="14"/>
      <c r="BN34" s="13" t="s">
        <v>4</v>
      </c>
      <c r="BP34" s="12"/>
      <c r="BQ34" s="10">
        <f t="shared" si="17"/>
        <v>0</v>
      </c>
      <c r="BR34" s="12">
        <f t="shared" si="18"/>
        <v>0</v>
      </c>
      <c r="BS34" s="11" t="e">
        <f t="shared" si="19"/>
        <v>#DIV/0!</v>
      </c>
      <c r="BU34" s="14"/>
      <c r="BV34" s="13" t="s">
        <v>4</v>
      </c>
      <c r="BX34" s="12"/>
      <c r="BY34" s="10">
        <f t="shared" ref="BY34:BY60" si="29">BW34-BO34</f>
        <v>0</v>
      </c>
      <c r="BZ34" s="12">
        <f t="shared" si="21"/>
        <v>0</v>
      </c>
      <c r="CA34" s="11" t="e">
        <f t="shared" si="22"/>
        <v>#DIV/0!</v>
      </c>
      <c r="CC34" s="14"/>
      <c r="CD34" s="13" t="s">
        <v>4</v>
      </c>
      <c r="CF34" s="12"/>
      <c r="CG34" s="10">
        <v>-2</v>
      </c>
      <c r="CH34" s="12">
        <v>-56804</v>
      </c>
      <c r="CI34" s="11">
        <v>-0.32736849991643469</v>
      </c>
      <c r="CK34" s="14"/>
      <c r="CL34" s="13" t="s">
        <v>4</v>
      </c>
      <c r="CN34" s="12"/>
      <c r="CO34" s="10">
        <f t="shared" si="23"/>
        <v>0</v>
      </c>
      <c r="CP34" s="12">
        <f t="shared" si="24"/>
        <v>0</v>
      </c>
      <c r="CQ34" s="11" t="e">
        <f t="shared" si="25"/>
        <v>#DIV/0!</v>
      </c>
      <c r="CS34" s="14"/>
      <c r="CT34" s="13" t="s">
        <v>4</v>
      </c>
      <c r="CV34" s="12"/>
      <c r="CW34" s="10">
        <f t="shared" si="26"/>
        <v>0</v>
      </c>
      <c r="CX34" s="12">
        <f t="shared" si="27"/>
        <v>0</v>
      </c>
      <c r="CY34" s="11" t="e">
        <f t="shared" si="28"/>
        <v>#DIV/0!</v>
      </c>
    </row>
    <row r="35" spans="1:103" s="10" customFormat="1" ht="20" customHeight="1">
      <c r="A35" s="14"/>
      <c r="B35" s="13" t="s">
        <v>3</v>
      </c>
      <c r="C35" s="10">
        <v>16</v>
      </c>
      <c r="D35" s="12">
        <v>268476</v>
      </c>
      <c r="F35" s="12"/>
      <c r="G35" s="11"/>
      <c r="I35" s="14"/>
      <c r="J35" s="13" t="s">
        <v>3</v>
      </c>
      <c r="K35" s="10">
        <v>12</v>
      </c>
      <c r="L35" s="12">
        <v>275810</v>
      </c>
      <c r="M35" s="10">
        <f t="shared" si="0"/>
        <v>-4</v>
      </c>
      <c r="N35" s="12">
        <f t="shared" si="0"/>
        <v>7334</v>
      </c>
      <c r="O35" s="11">
        <f t="shared" si="1"/>
        <v>2.7317153116107211E-2</v>
      </c>
      <c r="Q35" s="14"/>
      <c r="R35" s="13" t="s">
        <v>3</v>
      </c>
      <c r="T35" s="12"/>
      <c r="U35" s="10">
        <f t="shared" si="2"/>
        <v>-12</v>
      </c>
      <c r="V35" s="12">
        <f t="shared" si="3"/>
        <v>-275810</v>
      </c>
      <c r="W35" s="11">
        <f t="shared" si="4"/>
        <v>-1</v>
      </c>
      <c r="Y35" s="14"/>
      <c r="Z35" s="13" t="s">
        <v>3</v>
      </c>
      <c r="AB35" s="12"/>
      <c r="AC35" s="10">
        <f t="shared" si="5"/>
        <v>0</v>
      </c>
      <c r="AD35" s="12">
        <f t="shared" si="5"/>
        <v>0</v>
      </c>
      <c r="AE35" s="11" t="e">
        <f t="shared" si="6"/>
        <v>#DIV/0!</v>
      </c>
      <c r="AG35" s="14"/>
      <c r="AH35" s="13" t="s">
        <v>3</v>
      </c>
      <c r="AI35" s="13"/>
      <c r="AJ35" s="45"/>
      <c r="AK35" s="10">
        <f t="shared" si="7"/>
        <v>0</v>
      </c>
      <c r="AL35" s="12">
        <f t="shared" si="7"/>
        <v>0</v>
      </c>
      <c r="AM35" s="11" t="e">
        <f t="shared" si="8"/>
        <v>#DIV/0!</v>
      </c>
      <c r="AO35" s="14"/>
      <c r="AP35" s="13" t="s">
        <v>3</v>
      </c>
      <c r="AR35" s="12"/>
      <c r="AS35" s="10">
        <f t="shared" si="9"/>
        <v>0</v>
      </c>
      <c r="AT35" s="12">
        <f t="shared" si="9"/>
        <v>0</v>
      </c>
      <c r="AU35" s="11" t="e">
        <f t="shared" si="10"/>
        <v>#DIV/0!</v>
      </c>
      <c r="AW35" s="14"/>
      <c r="AX35" s="13" t="s">
        <v>3</v>
      </c>
      <c r="AZ35" s="12"/>
      <c r="BA35" s="10">
        <f t="shared" si="11"/>
        <v>0</v>
      </c>
      <c r="BB35" s="12">
        <f t="shared" si="12"/>
        <v>0</v>
      </c>
      <c r="BC35" s="11" t="e">
        <f t="shared" si="13"/>
        <v>#DIV/0!</v>
      </c>
      <c r="BE35" s="14"/>
      <c r="BF35" s="13" t="s">
        <v>3</v>
      </c>
      <c r="BH35" s="12"/>
      <c r="BI35" s="10">
        <f t="shared" si="14"/>
        <v>0</v>
      </c>
      <c r="BJ35" s="12">
        <f t="shared" si="15"/>
        <v>0</v>
      </c>
      <c r="BK35" s="11" t="e">
        <f t="shared" si="16"/>
        <v>#DIV/0!</v>
      </c>
      <c r="BM35" s="14"/>
      <c r="BN35" s="13" t="s">
        <v>3</v>
      </c>
      <c r="BP35" s="12"/>
      <c r="BQ35" s="10">
        <f t="shared" si="17"/>
        <v>0</v>
      </c>
      <c r="BR35" s="12">
        <f t="shared" si="18"/>
        <v>0</v>
      </c>
      <c r="BS35" s="11" t="e">
        <f t="shared" si="19"/>
        <v>#DIV/0!</v>
      </c>
      <c r="BU35" s="14"/>
      <c r="BV35" s="13" t="s">
        <v>3</v>
      </c>
      <c r="BX35" s="12"/>
      <c r="BY35" s="10">
        <f t="shared" si="29"/>
        <v>0</v>
      </c>
      <c r="BZ35" s="12">
        <f t="shared" si="21"/>
        <v>0</v>
      </c>
      <c r="CA35" s="11" t="e">
        <f t="shared" si="22"/>
        <v>#DIV/0!</v>
      </c>
      <c r="CC35" s="14"/>
      <c r="CD35" s="13" t="s">
        <v>3</v>
      </c>
      <c r="CF35" s="12"/>
      <c r="CG35" s="10">
        <v>3</v>
      </c>
      <c r="CH35" s="12">
        <v>126571</v>
      </c>
      <c r="CI35" s="11">
        <v>1.044806550935671</v>
      </c>
      <c r="CK35" s="14"/>
      <c r="CL35" s="13" t="s">
        <v>3</v>
      </c>
      <c r="CN35" s="12"/>
      <c r="CO35" s="10">
        <f t="shared" si="23"/>
        <v>0</v>
      </c>
      <c r="CP35" s="12">
        <f t="shared" si="24"/>
        <v>0</v>
      </c>
      <c r="CQ35" s="11" t="e">
        <f t="shared" si="25"/>
        <v>#DIV/0!</v>
      </c>
      <c r="CS35" s="14"/>
      <c r="CT35" s="13" t="s">
        <v>3</v>
      </c>
      <c r="CV35" s="12"/>
      <c r="CW35" s="10">
        <f t="shared" si="26"/>
        <v>0</v>
      </c>
      <c r="CX35" s="12">
        <f t="shared" si="27"/>
        <v>0</v>
      </c>
      <c r="CY35" s="11" t="e">
        <f t="shared" si="28"/>
        <v>#DIV/0!</v>
      </c>
    </row>
    <row r="36" spans="1:103" s="10" customFormat="1" ht="20" customHeight="1">
      <c r="A36" s="14"/>
      <c r="B36" s="13" t="s">
        <v>2</v>
      </c>
      <c r="C36" s="10">
        <v>18</v>
      </c>
      <c r="D36" s="12">
        <v>830344</v>
      </c>
      <c r="F36" s="12"/>
      <c r="G36" s="11"/>
      <c r="I36" s="14"/>
      <c r="J36" s="13" t="s">
        <v>2</v>
      </c>
      <c r="K36" s="10">
        <v>44</v>
      </c>
      <c r="L36" s="12">
        <v>2032952</v>
      </c>
      <c r="M36" s="10">
        <f t="shared" si="0"/>
        <v>26</v>
      </c>
      <c r="N36" s="12">
        <f t="shared" si="0"/>
        <v>1202608</v>
      </c>
      <c r="O36" s="11">
        <f t="shared" si="1"/>
        <v>1.4483250315531877</v>
      </c>
      <c r="Q36" s="14"/>
      <c r="R36" s="13" t="s">
        <v>2</v>
      </c>
      <c r="T36" s="12"/>
      <c r="U36" s="10">
        <f t="shared" si="2"/>
        <v>-44</v>
      </c>
      <c r="V36" s="12">
        <f t="shared" si="3"/>
        <v>-2032952</v>
      </c>
      <c r="W36" s="11">
        <f t="shared" si="4"/>
        <v>-1</v>
      </c>
      <c r="Y36" s="14"/>
      <c r="Z36" s="13" t="s">
        <v>2</v>
      </c>
      <c r="AB36" s="12"/>
      <c r="AC36" s="10">
        <f t="shared" si="5"/>
        <v>0</v>
      </c>
      <c r="AD36" s="12">
        <f t="shared" si="5"/>
        <v>0</v>
      </c>
      <c r="AE36" s="11" t="e">
        <f t="shared" si="6"/>
        <v>#DIV/0!</v>
      </c>
      <c r="AG36" s="14"/>
      <c r="AH36" s="13" t="s">
        <v>2</v>
      </c>
      <c r="AI36" s="13"/>
      <c r="AJ36" s="45"/>
      <c r="AK36" s="10">
        <f t="shared" si="7"/>
        <v>0</v>
      </c>
      <c r="AL36" s="12">
        <f t="shared" si="7"/>
        <v>0</v>
      </c>
      <c r="AM36" s="11" t="e">
        <f t="shared" si="8"/>
        <v>#DIV/0!</v>
      </c>
      <c r="AO36" s="14"/>
      <c r="AP36" s="13" t="s">
        <v>2</v>
      </c>
      <c r="AR36" s="12"/>
      <c r="AS36" s="10">
        <f t="shared" si="9"/>
        <v>0</v>
      </c>
      <c r="AT36" s="12">
        <f t="shared" si="9"/>
        <v>0</v>
      </c>
      <c r="AU36" s="11" t="e">
        <f t="shared" si="10"/>
        <v>#DIV/0!</v>
      </c>
      <c r="AW36" s="14"/>
      <c r="AX36" s="13" t="s">
        <v>2</v>
      </c>
      <c r="AZ36" s="12"/>
      <c r="BA36" s="10">
        <f t="shared" si="11"/>
        <v>0</v>
      </c>
      <c r="BB36" s="12">
        <f t="shared" si="12"/>
        <v>0</v>
      </c>
      <c r="BC36" s="11" t="e">
        <f t="shared" si="13"/>
        <v>#DIV/0!</v>
      </c>
      <c r="BE36" s="14"/>
      <c r="BF36" s="13" t="s">
        <v>2</v>
      </c>
      <c r="BH36" s="12"/>
      <c r="BI36" s="10">
        <f t="shared" si="14"/>
        <v>0</v>
      </c>
      <c r="BJ36" s="12">
        <f t="shared" si="15"/>
        <v>0</v>
      </c>
      <c r="BK36" s="11" t="e">
        <f t="shared" si="16"/>
        <v>#DIV/0!</v>
      </c>
      <c r="BM36" s="14"/>
      <c r="BN36" s="13" t="s">
        <v>2</v>
      </c>
      <c r="BP36" s="12"/>
      <c r="BQ36" s="10">
        <f t="shared" si="17"/>
        <v>0</v>
      </c>
      <c r="BR36" s="12">
        <f t="shared" si="18"/>
        <v>0</v>
      </c>
      <c r="BS36" s="11" t="e">
        <f t="shared" si="19"/>
        <v>#DIV/0!</v>
      </c>
      <c r="BU36" s="14"/>
      <c r="BV36" s="13" t="s">
        <v>2</v>
      </c>
      <c r="BX36" s="12"/>
      <c r="BY36" s="10">
        <f t="shared" si="29"/>
        <v>0</v>
      </c>
      <c r="BZ36" s="12">
        <f t="shared" si="21"/>
        <v>0</v>
      </c>
      <c r="CA36" s="11" t="e">
        <f t="shared" si="22"/>
        <v>#DIV/0!</v>
      </c>
      <c r="CC36" s="14"/>
      <c r="CD36" s="13" t="s">
        <v>2</v>
      </c>
      <c r="CF36" s="12"/>
      <c r="CG36" s="10">
        <v>-5</v>
      </c>
      <c r="CH36" s="12">
        <v>-181814</v>
      </c>
      <c r="CI36" s="11">
        <v>-0.56065250238983622</v>
      </c>
      <c r="CK36" s="14"/>
      <c r="CL36" s="13" t="s">
        <v>2</v>
      </c>
      <c r="CN36" s="12"/>
      <c r="CO36" s="10">
        <f t="shared" si="23"/>
        <v>0</v>
      </c>
      <c r="CP36" s="12">
        <f t="shared" si="24"/>
        <v>0</v>
      </c>
      <c r="CQ36" s="11" t="e">
        <f t="shared" si="25"/>
        <v>#DIV/0!</v>
      </c>
      <c r="CS36" s="14"/>
      <c r="CT36" s="13" t="s">
        <v>2</v>
      </c>
      <c r="CV36" s="12"/>
      <c r="CW36" s="10">
        <f t="shared" si="26"/>
        <v>0</v>
      </c>
      <c r="CX36" s="12">
        <f t="shared" si="27"/>
        <v>0</v>
      </c>
      <c r="CY36" s="11" t="e">
        <f t="shared" si="28"/>
        <v>#DIV/0!</v>
      </c>
    </row>
    <row r="37" spans="1:103" s="1" customFormat="1" ht="20" customHeight="1">
      <c r="A37" s="9" t="s">
        <v>11</v>
      </c>
      <c r="B37" s="9"/>
      <c r="C37" s="8">
        <v>337</v>
      </c>
      <c r="D37" s="7">
        <v>2225754</v>
      </c>
      <c r="E37" s="27"/>
      <c r="F37" s="28"/>
      <c r="G37" s="29"/>
      <c r="I37" s="9" t="s">
        <v>11</v>
      </c>
      <c r="J37" s="9"/>
      <c r="K37" s="8">
        <v>350</v>
      </c>
      <c r="L37" s="7">
        <v>3043329</v>
      </c>
      <c r="M37" s="27">
        <f t="shared" si="0"/>
        <v>13</v>
      </c>
      <c r="N37" s="28">
        <f t="shared" si="0"/>
        <v>817575</v>
      </c>
      <c r="O37" s="29">
        <f t="shared" si="1"/>
        <v>0.36732496044037211</v>
      </c>
      <c r="Q37" s="9" t="s">
        <v>11</v>
      </c>
      <c r="R37" s="9"/>
      <c r="S37" s="8"/>
      <c r="T37" s="7"/>
      <c r="U37" s="27">
        <f t="shared" si="2"/>
        <v>-350</v>
      </c>
      <c r="V37" s="28">
        <f t="shared" si="3"/>
        <v>-3043329</v>
      </c>
      <c r="W37" s="29">
        <f t="shared" si="4"/>
        <v>-1</v>
      </c>
      <c r="Y37" s="9" t="s">
        <v>11</v>
      </c>
      <c r="Z37" s="9"/>
      <c r="AA37" s="8"/>
      <c r="AB37" s="7"/>
      <c r="AC37" s="27">
        <f t="shared" si="5"/>
        <v>0</v>
      </c>
      <c r="AD37" s="28">
        <f t="shared" si="5"/>
        <v>0</v>
      </c>
      <c r="AE37" s="29" t="e">
        <f t="shared" si="6"/>
        <v>#DIV/0!</v>
      </c>
      <c r="AG37" s="9" t="s">
        <v>11</v>
      </c>
      <c r="AH37" s="9"/>
      <c r="AI37" s="9"/>
      <c r="AJ37" s="46"/>
      <c r="AK37" s="27">
        <f t="shared" si="7"/>
        <v>0</v>
      </c>
      <c r="AL37" s="28">
        <f t="shared" si="7"/>
        <v>0</v>
      </c>
      <c r="AM37" s="29" t="e">
        <f t="shared" si="8"/>
        <v>#DIV/0!</v>
      </c>
      <c r="AO37" s="9" t="s">
        <v>11</v>
      </c>
      <c r="AP37" s="9"/>
      <c r="AQ37" s="8"/>
      <c r="AR37" s="7"/>
      <c r="AS37" s="27">
        <f t="shared" si="9"/>
        <v>0</v>
      </c>
      <c r="AT37" s="28">
        <f t="shared" si="9"/>
        <v>0</v>
      </c>
      <c r="AU37" s="29" t="e">
        <f t="shared" si="10"/>
        <v>#DIV/0!</v>
      </c>
      <c r="AW37" s="9" t="s">
        <v>11</v>
      </c>
      <c r="AX37" s="9"/>
      <c r="AY37" s="8"/>
      <c r="AZ37" s="7"/>
      <c r="BA37" s="27">
        <f t="shared" si="11"/>
        <v>0</v>
      </c>
      <c r="BB37" s="28">
        <f t="shared" si="12"/>
        <v>0</v>
      </c>
      <c r="BC37" s="29" t="e">
        <f t="shared" si="13"/>
        <v>#DIV/0!</v>
      </c>
      <c r="BE37" s="9" t="s">
        <v>11</v>
      </c>
      <c r="BF37" s="9"/>
      <c r="BG37" s="8"/>
      <c r="BH37" s="7"/>
      <c r="BI37" s="27">
        <f t="shared" si="14"/>
        <v>0</v>
      </c>
      <c r="BJ37" s="28">
        <f t="shared" si="15"/>
        <v>0</v>
      </c>
      <c r="BK37" s="29" t="e">
        <f t="shared" si="16"/>
        <v>#DIV/0!</v>
      </c>
      <c r="BM37" s="9" t="s">
        <v>11</v>
      </c>
      <c r="BN37" s="9"/>
      <c r="BO37" s="8"/>
      <c r="BP37" s="7"/>
      <c r="BQ37" s="27">
        <f t="shared" si="17"/>
        <v>0</v>
      </c>
      <c r="BR37" s="28">
        <f t="shared" si="18"/>
        <v>0</v>
      </c>
      <c r="BS37" s="29" t="e">
        <f t="shared" si="19"/>
        <v>#DIV/0!</v>
      </c>
      <c r="BU37" s="9" t="s">
        <v>11</v>
      </c>
      <c r="BV37" s="9"/>
      <c r="BW37" s="8"/>
      <c r="BX37" s="7"/>
      <c r="BY37" s="27">
        <f t="shared" si="29"/>
        <v>0</v>
      </c>
      <c r="BZ37" s="28">
        <f t="shared" si="21"/>
        <v>0</v>
      </c>
      <c r="CA37" s="29" t="e">
        <f t="shared" si="22"/>
        <v>#DIV/0!</v>
      </c>
      <c r="CC37" s="9" t="s">
        <v>11</v>
      </c>
      <c r="CD37" s="9"/>
      <c r="CE37" s="8"/>
      <c r="CF37" s="7"/>
      <c r="CG37" s="27">
        <v>-18</v>
      </c>
      <c r="CH37" s="28">
        <v>-149473</v>
      </c>
      <c r="CI37" s="29">
        <v>-0.16674066306724378</v>
      </c>
      <c r="CK37" s="9" t="s">
        <v>11</v>
      </c>
      <c r="CL37" s="9"/>
      <c r="CM37" s="8"/>
      <c r="CN37" s="7"/>
      <c r="CO37" s="27">
        <f t="shared" si="23"/>
        <v>0</v>
      </c>
      <c r="CP37" s="28">
        <f t="shared" si="24"/>
        <v>0</v>
      </c>
      <c r="CQ37" s="29" t="e">
        <f t="shared" si="25"/>
        <v>#DIV/0!</v>
      </c>
      <c r="CS37" s="9" t="s">
        <v>11</v>
      </c>
      <c r="CT37" s="9"/>
      <c r="CU37" s="8"/>
      <c r="CV37" s="7"/>
      <c r="CW37" s="27">
        <f t="shared" si="26"/>
        <v>0</v>
      </c>
      <c r="CX37" s="28">
        <f t="shared" si="27"/>
        <v>0</v>
      </c>
      <c r="CY37" s="29" t="e">
        <f t="shared" si="28"/>
        <v>#DIV/0!</v>
      </c>
    </row>
    <row r="38" spans="1:103" s="1" customFormat="1" ht="20" customHeight="1">
      <c r="A38" s="14">
        <v>81</v>
      </c>
      <c r="B38" s="32" t="s">
        <v>19</v>
      </c>
      <c r="C38" s="1">
        <v>4568</v>
      </c>
      <c r="D38" s="35"/>
      <c r="E38" s="10"/>
      <c r="F38" s="12"/>
      <c r="G38" s="36"/>
      <c r="I38" s="14">
        <v>81</v>
      </c>
      <c r="J38" s="32" t="s">
        <v>19</v>
      </c>
      <c r="K38" s="1">
        <v>4044</v>
      </c>
      <c r="L38" s="35"/>
      <c r="M38" s="10">
        <f t="shared" si="0"/>
        <v>-524</v>
      </c>
      <c r="N38" s="12">
        <f t="shared" si="0"/>
        <v>0</v>
      </c>
      <c r="O38" s="11" t="e">
        <f t="shared" si="1"/>
        <v>#DIV/0!</v>
      </c>
      <c r="Q38" s="14">
        <v>81</v>
      </c>
      <c r="R38" s="32" t="s">
        <v>19</v>
      </c>
      <c r="T38" s="35"/>
      <c r="U38" s="10">
        <f t="shared" si="2"/>
        <v>-4044</v>
      </c>
      <c r="V38" s="12">
        <f t="shared" si="3"/>
        <v>0</v>
      </c>
      <c r="W38" s="11" t="e">
        <f t="shared" si="4"/>
        <v>#DIV/0!</v>
      </c>
      <c r="Y38" s="14">
        <v>81</v>
      </c>
      <c r="Z38" s="32" t="s">
        <v>19</v>
      </c>
      <c r="AB38" s="35"/>
      <c r="AC38" s="10">
        <f t="shared" si="5"/>
        <v>0</v>
      </c>
      <c r="AD38" s="12">
        <f t="shared" si="5"/>
        <v>0</v>
      </c>
      <c r="AE38" s="11" t="e">
        <f t="shared" si="6"/>
        <v>#DIV/0!</v>
      </c>
      <c r="AG38" s="14">
        <v>81</v>
      </c>
      <c r="AH38" s="32" t="s">
        <v>19</v>
      </c>
      <c r="AI38" s="32"/>
      <c r="AJ38" s="47"/>
      <c r="AK38" s="10">
        <f t="shared" si="7"/>
        <v>0</v>
      </c>
      <c r="AL38" s="12">
        <f t="shared" si="7"/>
        <v>0</v>
      </c>
      <c r="AM38" s="11" t="e">
        <f t="shared" si="8"/>
        <v>#DIV/0!</v>
      </c>
      <c r="AO38" s="14">
        <v>81</v>
      </c>
      <c r="AP38" s="32" t="s">
        <v>25</v>
      </c>
      <c r="AR38" s="35"/>
      <c r="AS38" s="10">
        <f t="shared" si="9"/>
        <v>0</v>
      </c>
      <c r="AT38" s="12">
        <f t="shared" si="9"/>
        <v>0</v>
      </c>
      <c r="AU38" s="11" t="e">
        <f t="shared" si="10"/>
        <v>#DIV/0!</v>
      </c>
      <c r="AW38" s="14">
        <v>81</v>
      </c>
      <c r="AX38" s="32" t="s">
        <v>25</v>
      </c>
      <c r="AZ38" s="35"/>
      <c r="BA38" s="10">
        <f t="shared" si="11"/>
        <v>0</v>
      </c>
      <c r="BB38" s="12">
        <f t="shared" si="12"/>
        <v>0</v>
      </c>
      <c r="BC38" s="11" t="e">
        <f t="shared" si="13"/>
        <v>#DIV/0!</v>
      </c>
      <c r="BE38" s="14">
        <v>81</v>
      </c>
      <c r="BF38" s="32" t="s">
        <v>19</v>
      </c>
      <c r="BH38" s="35"/>
      <c r="BI38" s="10">
        <f t="shared" si="14"/>
        <v>0</v>
      </c>
      <c r="BJ38" s="12">
        <f t="shared" si="15"/>
        <v>0</v>
      </c>
      <c r="BK38" s="11" t="e">
        <f t="shared" si="16"/>
        <v>#DIV/0!</v>
      </c>
      <c r="BM38" s="14">
        <v>81</v>
      </c>
      <c r="BN38" s="32" t="s">
        <v>25</v>
      </c>
      <c r="BP38" s="35"/>
      <c r="BQ38" s="10">
        <f t="shared" si="17"/>
        <v>0</v>
      </c>
      <c r="BR38" s="12">
        <f t="shared" si="18"/>
        <v>0</v>
      </c>
      <c r="BS38" s="11" t="e">
        <f t="shared" si="19"/>
        <v>#DIV/0!</v>
      </c>
      <c r="BU38" s="14">
        <v>81</v>
      </c>
      <c r="BV38" s="32" t="s">
        <v>25</v>
      </c>
      <c r="BW38" s="15"/>
      <c r="BX38" s="33"/>
      <c r="BY38" s="10">
        <f t="shared" si="29"/>
        <v>0</v>
      </c>
      <c r="BZ38" s="12">
        <f t="shared" si="21"/>
        <v>0</v>
      </c>
      <c r="CA38" s="11" t="e">
        <f t="shared" si="22"/>
        <v>#DIV/0!</v>
      </c>
      <c r="CC38" s="14">
        <v>81</v>
      </c>
      <c r="CD38" s="32" t="s">
        <v>25</v>
      </c>
      <c r="CE38" s="15"/>
      <c r="CF38" s="33"/>
      <c r="CG38" s="10">
        <v>582</v>
      </c>
      <c r="CH38" s="12">
        <v>0</v>
      </c>
      <c r="CI38" s="11" t="e">
        <v>#DIV/0!</v>
      </c>
      <c r="CK38" s="14">
        <v>81</v>
      </c>
      <c r="CL38" s="32" t="s">
        <v>19</v>
      </c>
      <c r="CM38" s="15"/>
      <c r="CN38" s="33"/>
      <c r="CO38" s="10" t="e">
        <f>#REF!-CE38</f>
        <v>#REF!</v>
      </c>
      <c r="CP38" s="12">
        <f t="shared" si="24"/>
        <v>0</v>
      </c>
      <c r="CQ38" s="11" t="e">
        <f t="shared" si="25"/>
        <v>#DIV/0!</v>
      </c>
      <c r="CS38" s="14">
        <v>81</v>
      </c>
      <c r="CT38" s="32" t="s">
        <v>19</v>
      </c>
      <c r="CU38" s="15"/>
      <c r="CV38" s="33"/>
      <c r="CW38" s="10" t="e">
        <f>CU38-#REF!</f>
        <v>#REF!</v>
      </c>
      <c r="CX38" s="12">
        <f t="shared" si="27"/>
        <v>0</v>
      </c>
      <c r="CY38" s="11" t="e">
        <f t="shared" si="28"/>
        <v>#DIV/0!</v>
      </c>
    </row>
    <row r="39" spans="1:103" s="1" customFormat="1" ht="20" customHeight="1">
      <c r="A39" s="14"/>
      <c r="B39" s="32" t="s">
        <v>20</v>
      </c>
      <c r="C39" s="1">
        <v>2</v>
      </c>
      <c r="D39" s="35"/>
      <c r="E39" s="10"/>
      <c r="F39" s="12"/>
      <c r="G39" s="36"/>
      <c r="I39" s="14"/>
      <c r="J39" s="32" t="s">
        <v>20</v>
      </c>
      <c r="K39" s="1">
        <v>12</v>
      </c>
      <c r="L39" s="35"/>
      <c r="M39" s="10">
        <f t="shared" si="0"/>
        <v>10</v>
      </c>
      <c r="N39" s="12">
        <f t="shared" si="0"/>
        <v>0</v>
      </c>
      <c r="O39" s="11" t="e">
        <f t="shared" si="1"/>
        <v>#DIV/0!</v>
      </c>
      <c r="Q39" s="14"/>
      <c r="R39" s="32" t="s">
        <v>20</v>
      </c>
      <c r="T39" s="35"/>
      <c r="U39" s="10">
        <f t="shared" si="2"/>
        <v>-12</v>
      </c>
      <c r="V39" s="12">
        <f t="shared" si="3"/>
        <v>0</v>
      </c>
      <c r="W39" s="11" t="e">
        <f t="shared" si="4"/>
        <v>#DIV/0!</v>
      </c>
      <c r="Y39" s="14"/>
      <c r="Z39" s="32" t="s">
        <v>20</v>
      </c>
      <c r="AB39" s="35"/>
      <c r="AC39" s="10">
        <f t="shared" si="5"/>
        <v>0</v>
      </c>
      <c r="AD39" s="12">
        <f t="shared" si="5"/>
        <v>0</v>
      </c>
      <c r="AE39" s="11" t="e">
        <f t="shared" si="6"/>
        <v>#DIV/0!</v>
      </c>
      <c r="AG39" s="14"/>
      <c r="AH39" s="32" t="s">
        <v>20</v>
      </c>
      <c r="AI39" s="32"/>
      <c r="AJ39" s="47"/>
      <c r="AK39" s="10">
        <f t="shared" si="7"/>
        <v>0</v>
      </c>
      <c r="AL39" s="12">
        <f t="shared" si="7"/>
        <v>0</v>
      </c>
      <c r="AM39" s="11" t="e">
        <f t="shared" si="8"/>
        <v>#DIV/0!</v>
      </c>
      <c r="AO39" s="14"/>
      <c r="AP39" s="32" t="s">
        <v>26</v>
      </c>
      <c r="AR39" s="35"/>
      <c r="AS39" s="10">
        <f t="shared" si="9"/>
        <v>0</v>
      </c>
      <c r="AT39" s="12">
        <f t="shared" si="9"/>
        <v>0</v>
      </c>
      <c r="AU39" s="11" t="e">
        <f t="shared" si="10"/>
        <v>#DIV/0!</v>
      </c>
      <c r="AW39" s="14"/>
      <c r="AX39" s="32" t="s">
        <v>26</v>
      </c>
      <c r="AZ39" s="35"/>
      <c r="BA39" s="10">
        <f t="shared" si="11"/>
        <v>0</v>
      </c>
      <c r="BB39" s="12">
        <f t="shared" si="12"/>
        <v>0</v>
      </c>
      <c r="BC39" s="11" t="e">
        <f t="shared" si="13"/>
        <v>#DIV/0!</v>
      </c>
      <c r="BE39" s="14"/>
      <c r="BF39" s="32" t="s">
        <v>20</v>
      </c>
      <c r="BH39" s="35"/>
      <c r="BI39" s="10">
        <f t="shared" si="14"/>
        <v>0</v>
      </c>
      <c r="BJ39" s="12">
        <f t="shared" si="15"/>
        <v>0</v>
      </c>
      <c r="BK39" s="11" t="e">
        <f t="shared" si="16"/>
        <v>#DIV/0!</v>
      </c>
      <c r="BM39" s="14"/>
      <c r="BN39" s="32" t="s">
        <v>26</v>
      </c>
      <c r="BP39" s="35"/>
      <c r="BQ39" s="10">
        <f t="shared" si="17"/>
        <v>0</v>
      </c>
      <c r="BR39" s="12">
        <f t="shared" si="18"/>
        <v>0</v>
      </c>
      <c r="BS39" s="11" t="e">
        <f t="shared" si="19"/>
        <v>#DIV/0!</v>
      </c>
      <c r="BU39" s="14"/>
      <c r="BV39" s="32" t="s">
        <v>26</v>
      </c>
      <c r="BW39" s="15"/>
      <c r="BX39" s="33"/>
      <c r="BY39" s="10">
        <f t="shared" si="29"/>
        <v>0</v>
      </c>
      <c r="BZ39" s="12">
        <f t="shared" si="21"/>
        <v>0</v>
      </c>
      <c r="CA39" s="11" t="e">
        <f t="shared" si="22"/>
        <v>#DIV/0!</v>
      </c>
      <c r="CC39" s="14"/>
      <c r="CD39" s="32" t="s">
        <v>26</v>
      </c>
      <c r="CE39" s="15"/>
      <c r="CF39" s="33"/>
      <c r="CG39" s="10">
        <v>0</v>
      </c>
      <c r="CH39" s="12">
        <v>0</v>
      </c>
      <c r="CI39" s="11" t="e">
        <v>#DIV/0!</v>
      </c>
      <c r="CK39" s="14"/>
      <c r="CL39" s="32" t="s">
        <v>20</v>
      </c>
      <c r="CN39" s="33"/>
      <c r="CO39" s="10">
        <f>CM38-CE39</f>
        <v>0</v>
      </c>
      <c r="CP39" s="12">
        <f t="shared" si="24"/>
        <v>0</v>
      </c>
      <c r="CQ39" s="11" t="e">
        <f t="shared" si="25"/>
        <v>#DIV/0!</v>
      </c>
      <c r="CS39" s="14"/>
      <c r="CT39" s="32" t="s">
        <v>20</v>
      </c>
      <c r="CU39" s="15"/>
      <c r="CV39" s="33"/>
      <c r="CW39" s="10">
        <f>CU39-CM38</f>
        <v>0</v>
      </c>
      <c r="CX39" s="12">
        <f t="shared" si="27"/>
        <v>0</v>
      </c>
      <c r="CY39" s="11" t="e">
        <f t="shared" si="28"/>
        <v>#DIV/0!</v>
      </c>
    </row>
    <row r="40" spans="1:103" s="10" customFormat="1" ht="20" customHeight="1">
      <c r="A40" s="14"/>
      <c r="B40" s="13" t="s">
        <v>9</v>
      </c>
      <c r="C40" s="10">
        <v>128</v>
      </c>
      <c r="D40" s="12">
        <v>121398</v>
      </c>
      <c r="F40" s="12"/>
      <c r="G40" s="11"/>
      <c r="I40" s="14"/>
      <c r="J40" s="13" t="s">
        <v>9</v>
      </c>
      <c r="K40" s="10">
        <v>194</v>
      </c>
      <c r="L40" s="12">
        <v>189000</v>
      </c>
      <c r="M40" s="10">
        <f t="shared" si="0"/>
        <v>66</v>
      </c>
      <c r="N40" s="12">
        <f t="shared" si="0"/>
        <v>67602</v>
      </c>
      <c r="O40" s="11">
        <f t="shared" si="1"/>
        <v>0.55686255127761575</v>
      </c>
      <c r="Q40" s="14"/>
      <c r="R40" s="13" t="s">
        <v>9</v>
      </c>
      <c r="T40" s="12"/>
      <c r="U40" s="10">
        <f t="shared" si="2"/>
        <v>-194</v>
      </c>
      <c r="V40" s="12">
        <f t="shared" si="3"/>
        <v>-189000</v>
      </c>
      <c r="W40" s="11">
        <f t="shared" si="4"/>
        <v>-1</v>
      </c>
      <c r="Y40" s="14"/>
      <c r="Z40" s="13" t="s">
        <v>9</v>
      </c>
      <c r="AB40" s="12"/>
      <c r="AC40" s="10">
        <f t="shared" si="5"/>
        <v>0</v>
      </c>
      <c r="AD40" s="12">
        <f t="shared" si="5"/>
        <v>0</v>
      </c>
      <c r="AE40" s="11" t="e">
        <f t="shared" si="6"/>
        <v>#DIV/0!</v>
      </c>
      <c r="AG40" s="14"/>
      <c r="AH40" s="13" t="s">
        <v>9</v>
      </c>
      <c r="AI40" s="13"/>
      <c r="AJ40" s="45"/>
      <c r="AK40" s="10">
        <f t="shared" si="7"/>
        <v>0</v>
      </c>
      <c r="AL40" s="12">
        <f t="shared" si="7"/>
        <v>0</v>
      </c>
      <c r="AM40" s="11" t="e">
        <f t="shared" si="8"/>
        <v>#DIV/0!</v>
      </c>
      <c r="AO40" s="14"/>
      <c r="AP40" s="13" t="s">
        <v>9</v>
      </c>
      <c r="AR40" s="12"/>
      <c r="AS40" s="10">
        <f t="shared" si="9"/>
        <v>0</v>
      </c>
      <c r="AT40" s="12">
        <f t="shared" si="9"/>
        <v>0</v>
      </c>
      <c r="AU40" s="11" t="e">
        <f t="shared" si="10"/>
        <v>#DIV/0!</v>
      </c>
      <c r="AW40" s="14"/>
      <c r="AX40" s="13" t="s">
        <v>9</v>
      </c>
      <c r="AZ40" s="12"/>
      <c r="BA40" s="10">
        <f t="shared" si="11"/>
        <v>0</v>
      </c>
      <c r="BB40" s="12">
        <f t="shared" si="12"/>
        <v>0</v>
      </c>
      <c r="BC40" s="11" t="e">
        <f t="shared" si="13"/>
        <v>#DIV/0!</v>
      </c>
      <c r="BE40" s="14"/>
      <c r="BF40" s="13" t="s">
        <v>9</v>
      </c>
      <c r="BH40" s="12"/>
      <c r="BI40" s="10">
        <f t="shared" si="14"/>
        <v>0</v>
      </c>
      <c r="BJ40" s="12">
        <f t="shared" si="15"/>
        <v>0</v>
      </c>
      <c r="BK40" s="11" t="e">
        <f t="shared" si="16"/>
        <v>#DIV/0!</v>
      </c>
      <c r="BM40" s="14"/>
      <c r="BN40" s="13" t="s">
        <v>9</v>
      </c>
      <c r="BP40" s="12"/>
      <c r="BQ40" s="10">
        <f t="shared" si="17"/>
        <v>0</v>
      </c>
      <c r="BR40" s="12">
        <f t="shared" si="18"/>
        <v>0</v>
      </c>
      <c r="BS40" s="11" t="e">
        <f t="shared" si="19"/>
        <v>#DIV/0!</v>
      </c>
      <c r="BU40" s="14"/>
      <c r="BV40" s="13" t="s">
        <v>9</v>
      </c>
      <c r="BX40" s="12"/>
      <c r="BY40" s="10">
        <f t="shared" si="29"/>
        <v>0</v>
      </c>
      <c r="BZ40" s="12">
        <f t="shared" si="21"/>
        <v>0</v>
      </c>
      <c r="CA40" s="11" t="e">
        <f t="shared" si="22"/>
        <v>#DIV/0!</v>
      </c>
      <c r="CC40" s="14"/>
      <c r="CD40" s="13" t="s">
        <v>9</v>
      </c>
      <c r="CF40" s="12"/>
      <c r="CG40" s="10">
        <v>26</v>
      </c>
      <c r="CH40" s="12">
        <v>32911</v>
      </c>
      <c r="CI40" s="11">
        <v>0.49647005581535675</v>
      </c>
      <c r="CK40" s="14"/>
      <c r="CL40" s="13" t="s">
        <v>9</v>
      </c>
      <c r="CN40" s="12"/>
      <c r="CO40" s="10">
        <f t="shared" si="23"/>
        <v>0</v>
      </c>
      <c r="CP40" s="12">
        <f t="shared" si="24"/>
        <v>0</v>
      </c>
      <c r="CQ40" s="11" t="e">
        <f t="shared" si="25"/>
        <v>#DIV/0!</v>
      </c>
      <c r="CS40" s="14"/>
      <c r="CT40" s="13" t="s">
        <v>9</v>
      </c>
      <c r="CV40" s="12"/>
      <c r="CW40" s="10">
        <f t="shared" si="26"/>
        <v>0</v>
      </c>
      <c r="CX40" s="12">
        <f t="shared" si="27"/>
        <v>0</v>
      </c>
      <c r="CY40" s="11" t="e">
        <f t="shared" si="28"/>
        <v>#DIV/0!</v>
      </c>
    </row>
    <row r="41" spans="1:103" s="10" customFormat="1" ht="20" customHeight="1">
      <c r="A41" s="14"/>
      <c r="B41" s="13" t="s">
        <v>8</v>
      </c>
      <c r="C41" s="10">
        <v>75</v>
      </c>
      <c r="D41" s="12">
        <v>68781</v>
      </c>
      <c r="F41" s="12"/>
      <c r="G41" s="11"/>
      <c r="I41" s="14"/>
      <c r="J41" s="13" t="s">
        <v>8</v>
      </c>
      <c r="K41" s="10">
        <v>119</v>
      </c>
      <c r="L41" s="12">
        <v>119887</v>
      </c>
      <c r="M41" s="10">
        <f t="shared" si="0"/>
        <v>44</v>
      </c>
      <c r="N41" s="12">
        <f t="shared" si="0"/>
        <v>51106</v>
      </c>
      <c r="O41" s="11">
        <f t="shared" si="1"/>
        <v>0.74302496328928047</v>
      </c>
      <c r="Q41" s="14"/>
      <c r="R41" s="13" t="s">
        <v>8</v>
      </c>
      <c r="T41" s="12"/>
      <c r="U41" s="10">
        <f t="shared" si="2"/>
        <v>-119</v>
      </c>
      <c r="V41" s="12">
        <f t="shared" si="3"/>
        <v>-119887</v>
      </c>
      <c r="W41" s="11">
        <f t="shared" si="4"/>
        <v>-1</v>
      </c>
      <c r="Y41" s="14"/>
      <c r="Z41" s="13" t="s">
        <v>8</v>
      </c>
      <c r="AB41" s="12"/>
      <c r="AC41" s="10">
        <f t="shared" si="5"/>
        <v>0</v>
      </c>
      <c r="AD41" s="12">
        <f t="shared" si="5"/>
        <v>0</v>
      </c>
      <c r="AE41" s="11" t="e">
        <f t="shared" si="6"/>
        <v>#DIV/0!</v>
      </c>
      <c r="AG41" s="14"/>
      <c r="AH41" s="13" t="s">
        <v>8</v>
      </c>
      <c r="AI41" s="13"/>
      <c r="AJ41" s="45"/>
      <c r="AK41" s="10">
        <f t="shared" si="7"/>
        <v>0</v>
      </c>
      <c r="AL41" s="12">
        <f t="shared" si="7"/>
        <v>0</v>
      </c>
      <c r="AM41" s="11" t="e">
        <f t="shared" si="8"/>
        <v>#DIV/0!</v>
      </c>
      <c r="AO41" s="14"/>
      <c r="AP41" s="13" t="s">
        <v>8</v>
      </c>
      <c r="AR41" s="12"/>
      <c r="AS41" s="10">
        <f t="shared" si="9"/>
        <v>0</v>
      </c>
      <c r="AT41" s="12">
        <f t="shared" si="9"/>
        <v>0</v>
      </c>
      <c r="AU41" s="11" t="e">
        <f t="shared" si="10"/>
        <v>#DIV/0!</v>
      </c>
      <c r="AW41" s="14"/>
      <c r="AX41" s="13" t="s">
        <v>8</v>
      </c>
      <c r="AZ41" s="12"/>
      <c r="BA41" s="10">
        <f t="shared" si="11"/>
        <v>0</v>
      </c>
      <c r="BB41" s="12">
        <f t="shared" si="12"/>
        <v>0</v>
      </c>
      <c r="BC41" s="11" t="e">
        <f t="shared" si="13"/>
        <v>#DIV/0!</v>
      </c>
      <c r="BE41" s="14"/>
      <c r="BF41" s="13" t="s">
        <v>8</v>
      </c>
      <c r="BH41" s="12"/>
      <c r="BI41" s="10">
        <f t="shared" si="14"/>
        <v>0</v>
      </c>
      <c r="BJ41" s="12">
        <f t="shared" si="15"/>
        <v>0</v>
      </c>
      <c r="BK41" s="11" t="e">
        <f t="shared" si="16"/>
        <v>#DIV/0!</v>
      </c>
      <c r="BM41" s="14"/>
      <c r="BN41" s="13" t="s">
        <v>8</v>
      </c>
      <c r="BP41" s="12"/>
      <c r="BQ41" s="10">
        <f t="shared" si="17"/>
        <v>0</v>
      </c>
      <c r="BR41" s="12">
        <f t="shared" si="18"/>
        <v>0</v>
      </c>
      <c r="BS41" s="11" t="e">
        <f t="shared" si="19"/>
        <v>#DIV/0!</v>
      </c>
      <c r="BU41" s="14"/>
      <c r="BV41" s="13" t="s">
        <v>8</v>
      </c>
      <c r="BX41" s="12"/>
      <c r="BY41" s="10">
        <f t="shared" si="29"/>
        <v>0</v>
      </c>
      <c r="BZ41" s="12">
        <f t="shared" si="21"/>
        <v>0</v>
      </c>
      <c r="CA41" s="11" t="e">
        <f t="shared" si="22"/>
        <v>#DIV/0!</v>
      </c>
      <c r="CC41" s="14"/>
      <c r="CD41" s="13" t="s">
        <v>8</v>
      </c>
      <c r="CF41" s="12"/>
      <c r="CG41" s="10">
        <v>5</v>
      </c>
      <c r="CH41" s="12">
        <v>29429</v>
      </c>
      <c r="CI41" s="11">
        <v>0.33613167032163743</v>
      </c>
      <c r="CK41" s="14"/>
      <c r="CL41" s="13" t="s">
        <v>8</v>
      </c>
      <c r="CN41" s="12"/>
      <c r="CO41" s="10">
        <f t="shared" si="23"/>
        <v>0</v>
      </c>
      <c r="CP41" s="12">
        <f t="shared" si="24"/>
        <v>0</v>
      </c>
      <c r="CQ41" s="11" t="e">
        <f t="shared" si="25"/>
        <v>#DIV/0!</v>
      </c>
      <c r="CS41" s="14"/>
      <c r="CT41" s="13" t="s">
        <v>8</v>
      </c>
      <c r="CV41" s="12"/>
      <c r="CW41" s="10">
        <f t="shared" si="26"/>
        <v>0</v>
      </c>
      <c r="CX41" s="12">
        <f t="shared" si="27"/>
        <v>0</v>
      </c>
      <c r="CY41" s="11" t="e">
        <f t="shared" si="28"/>
        <v>#DIV/0!</v>
      </c>
    </row>
    <row r="42" spans="1:103" s="10" customFormat="1" ht="20" customHeight="1">
      <c r="A42" s="14"/>
      <c r="B42" s="13" t="s">
        <v>7</v>
      </c>
      <c r="C42" s="10">
        <v>21</v>
      </c>
      <c r="D42" s="12">
        <v>134253</v>
      </c>
      <c r="F42" s="12"/>
      <c r="G42" s="11"/>
      <c r="I42" s="14"/>
      <c r="J42" s="13" t="s">
        <v>7</v>
      </c>
      <c r="K42" s="10">
        <v>19</v>
      </c>
      <c r="L42" s="12">
        <v>108105</v>
      </c>
      <c r="M42" s="10">
        <f t="shared" si="0"/>
        <v>-2</v>
      </c>
      <c r="N42" s="12">
        <f t="shared" si="0"/>
        <v>-26148</v>
      </c>
      <c r="O42" s="11">
        <f t="shared" si="1"/>
        <v>-0.19476659739447164</v>
      </c>
      <c r="Q42" s="14"/>
      <c r="R42" s="13" t="s">
        <v>7</v>
      </c>
      <c r="T42" s="12"/>
      <c r="U42" s="10">
        <f t="shared" si="2"/>
        <v>-19</v>
      </c>
      <c r="V42" s="12">
        <f t="shared" si="3"/>
        <v>-108105</v>
      </c>
      <c r="W42" s="11">
        <f t="shared" si="4"/>
        <v>-1</v>
      </c>
      <c r="Y42" s="14"/>
      <c r="Z42" s="13" t="s">
        <v>7</v>
      </c>
      <c r="AB42" s="12"/>
      <c r="AC42" s="10">
        <f t="shared" si="5"/>
        <v>0</v>
      </c>
      <c r="AD42" s="12">
        <f t="shared" si="5"/>
        <v>0</v>
      </c>
      <c r="AE42" s="11" t="e">
        <f t="shared" si="6"/>
        <v>#DIV/0!</v>
      </c>
      <c r="AG42" s="14"/>
      <c r="AH42" s="13" t="s">
        <v>7</v>
      </c>
      <c r="AI42" s="13"/>
      <c r="AJ42" s="45"/>
      <c r="AK42" s="10">
        <f t="shared" si="7"/>
        <v>0</v>
      </c>
      <c r="AL42" s="12">
        <f t="shared" si="7"/>
        <v>0</v>
      </c>
      <c r="AM42" s="11" t="e">
        <f t="shared" si="8"/>
        <v>#DIV/0!</v>
      </c>
      <c r="AO42" s="14"/>
      <c r="AP42" s="13" t="s">
        <v>7</v>
      </c>
      <c r="AR42" s="12"/>
      <c r="AS42" s="10">
        <f t="shared" si="9"/>
        <v>0</v>
      </c>
      <c r="AT42" s="12">
        <f t="shared" si="9"/>
        <v>0</v>
      </c>
      <c r="AU42" s="11" t="e">
        <f t="shared" si="10"/>
        <v>#DIV/0!</v>
      </c>
      <c r="AW42" s="14"/>
      <c r="AX42" s="13" t="s">
        <v>7</v>
      </c>
      <c r="AZ42" s="12"/>
      <c r="BA42" s="10">
        <f t="shared" si="11"/>
        <v>0</v>
      </c>
      <c r="BB42" s="12">
        <f t="shared" si="12"/>
        <v>0</v>
      </c>
      <c r="BC42" s="11" t="e">
        <f t="shared" si="13"/>
        <v>#DIV/0!</v>
      </c>
      <c r="BE42" s="14"/>
      <c r="BF42" s="13" t="s">
        <v>7</v>
      </c>
      <c r="BH42" s="12"/>
      <c r="BI42" s="10">
        <f t="shared" si="14"/>
        <v>0</v>
      </c>
      <c r="BJ42" s="12">
        <f t="shared" si="15"/>
        <v>0</v>
      </c>
      <c r="BK42" s="11" t="e">
        <f t="shared" si="16"/>
        <v>#DIV/0!</v>
      </c>
      <c r="BM42" s="14"/>
      <c r="BN42" s="13" t="s">
        <v>7</v>
      </c>
      <c r="BP42" s="12"/>
      <c r="BQ42" s="10">
        <f t="shared" si="17"/>
        <v>0</v>
      </c>
      <c r="BR42" s="12">
        <f t="shared" si="18"/>
        <v>0</v>
      </c>
      <c r="BS42" s="11" t="e">
        <f t="shared" si="19"/>
        <v>#DIV/0!</v>
      </c>
      <c r="BU42" s="14"/>
      <c r="BV42" s="13" t="s">
        <v>7</v>
      </c>
      <c r="BX42" s="12"/>
      <c r="BY42" s="10">
        <f t="shared" si="29"/>
        <v>0</v>
      </c>
      <c r="BZ42" s="12">
        <f t="shared" si="21"/>
        <v>0</v>
      </c>
      <c r="CA42" s="11" t="e">
        <f t="shared" si="22"/>
        <v>#DIV/0!</v>
      </c>
      <c r="CC42" s="14"/>
      <c r="CD42" s="13" t="s">
        <v>7</v>
      </c>
      <c r="CF42" s="12"/>
      <c r="CG42" s="10">
        <v>-1</v>
      </c>
      <c r="CH42" s="12">
        <v>14581</v>
      </c>
      <c r="CI42" s="11">
        <v>0.23776987802491684</v>
      </c>
      <c r="CK42" s="14"/>
      <c r="CL42" s="13" t="s">
        <v>7</v>
      </c>
      <c r="CN42" s="12"/>
      <c r="CO42" s="10">
        <f t="shared" si="23"/>
        <v>0</v>
      </c>
      <c r="CP42" s="12">
        <f t="shared" si="24"/>
        <v>0</v>
      </c>
      <c r="CQ42" s="11" t="e">
        <f t="shared" si="25"/>
        <v>#DIV/0!</v>
      </c>
      <c r="CS42" s="14"/>
      <c r="CT42" s="13" t="s">
        <v>7</v>
      </c>
      <c r="CV42" s="12"/>
      <c r="CW42" s="10">
        <f t="shared" si="26"/>
        <v>0</v>
      </c>
      <c r="CX42" s="12">
        <f t="shared" si="27"/>
        <v>0</v>
      </c>
      <c r="CY42" s="11" t="e">
        <f t="shared" si="28"/>
        <v>#DIV/0!</v>
      </c>
    </row>
    <row r="43" spans="1:103" s="10" customFormat="1" ht="20" customHeight="1">
      <c r="A43" s="14"/>
      <c r="B43" s="13" t="s">
        <v>6</v>
      </c>
      <c r="C43" s="10">
        <v>20</v>
      </c>
      <c r="D43" s="12">
        <v>333810</v>
      </c>
      <c r="F43" s="12"/>
      <c r="G43" s="11"/>
      <c r="I43" s="14"/>
      <c r="J43" s="13" t="s">
        <v>6</v>
      </c>
      <c r="K43" s="10">
        <v>20</v>
      </c>
      <c r="L43" s="12">
        <v>286190</v>
      </c>
      <c r="M43" s="10">
        <f t="shared" si="0"/>
        <v>0</v>
      </c>
      <c r="N43" s="12">
        <f t="shared" si="0"/>
        <v>-47620</v>
      </c>
      <c r="O43" s="11">
        <f t="shared" si="1"/>
        <v>-0.14265600191725833</v>
      </c>
      <c r="Q43" s="14"/>
      <c r="R43" s="13" t="s">
        <v>6</v>
      </c>
      <c r="T43" s="12"/>
      <c r="U43" s="10">
        <f t="shared" si="2"/>
        <v>-20</v>
      </c>
      <c r="V43" s="12">
        <f t="shared" si="3"/>
        <v>-286190</v>
      </c>
      <c r="W43" s="11">
        <f t="shared" si="4"/>
        <v>-1</v>
      </c>
      <c r="Y43" s="14"/>
      <c r="Z43" s="13" t="s">
        <v>6</v>
      </c>
      <c r="AB43" s="12"/>
      <c r="AC43" s="10">
        <f t="shared" si="5"/>
        <v>0</v>
      </c>
      <c r="AD43" s="12">
        <f t="shared" si="5"/>
        <v>0</v>
      </c>
      <c r="AE43" s="11" t="e">
        <f t="shared" si="6"/>
        <v>#DIV/0!</v>
      </c>
      <c r="AG43" s="14"/>
      <c r="AH43" s="13" t="s">
        <v>6</v>
      </c>
      <c r="AI43" s="13"/>
      <c r="AJ43" s="45"/>
      <c r="AK43" s="10">
        <f t="shared" si="7"/>
        <v>0</v>
      </c>
      <c r="AL43" s="12">
        <f t="shared" si="7"/>
        <v>0</v>
      </c>
      <c r="AM43" s="11" t="e">
        <f t="shared" si="8"/>
        <v>#DIV/0!</v>
      </c>
      <c r="AO43" s="14"/>
      <c r="AP43" s="13" t="s">
        <v>6</v>
      </c>
      <c r="AR43" s="12"/>
      <c r="AS43" s="10">
        <f t="shared" si="9"/>
        <v>0</v>
      </c>
      <c r="AT43" s="12">
        <f t="shared" si="9"/>
        <v>0</v>
      </c>
      <c r="AU43" s="11" t="e">
        <f t="shared" si="10"/>
        <v>#DIV/0!</v>
      </c>
      <c r="AW43" s="14"/>
      <c r="AX43" s="13" t="s">
        <v>6</v>
      </c>
      <c r="AZ43" s="12"/>
      <c r="BA43" s="10">
        <f t="shared" si="11"/>
        <v>0</v>
      </c>
      <c r="BB43" s="12">
        <f t="shared" si="12"/>
        <v>0</v>
      </c>
      <c r="BC43" s="11" t="e">
        <f t="shared" si="13"/>
        <v>#DIV/0!</v>
      </c>
      <c r="BE43" s="14"/>
      <c r="BF43" s="13" t="s">
        <v>6</v>
      </c>
      <c r="BH43" s="12"/>
      <c r="BI43" s="10">
        <f t="shared" si="14"/>
        <v>0</v>
      </c>
      <c r="BJ43" s="12">
        <f t="shared" si="15"/>
        <v>0</v>
      </c>
      <c r="BK43" s="11" t="e">
        <f t="shared" si="16"/>
        <v>#DIV/0!</v>
      </c>
      <c r="BM43" s="14"/>
      <c r="BN43" s="13" t="s">
        <v>6</v>
      </c>
      <c r="BP43" s="12"/>
      <c r="BQ43" s="10">
        <f t="shared" si="17"/>
        <v>0</v>
      </c>
      <c r="BR43" s="12">
        <f t="shared" si="18"/>
        <v>0</v>
      </c>
      <c r="BS43" s="11" t="e">
        <f t="shared" si="19"/>
        <v>#DIV/0!</v>
      </c>
      <c r="BU43" s="14"/>
      <c r="BV43" s="13" t="s">
        <v>6</v>
      </c>
      <c r="BX43" s="12"/>
      <c r="BY43" s="10">
        <f t="shared" si="29"/>
        <v>0</v>
      </c>
      <c r="BZ43" s="12">
        <f t="shared" si="21"/>
        <v>0</v>
      </c>
      <c r="CA43" s="11" t="e">
        <f t="shared" si="22"/>
        <v>#DIV/0!</v>
      </c>
      <c r="CC43" s="14"/>
      <c r="CD43" s="13" t="s">
        <v>6</v>
      </c>
      <c r="CF43" s="12"/>
      <c r="CG43" s="10">
        <v>-1</v>
      </c>
      <c r="CH43" s="12">
        <v>-12285</v>
      </c>
      <c r="CI43" s="11">
        <v>-0.44945670069147187</v>
      </c>
      <c r="CK43" s="14"/>
      <c r="CL43" s="13" t="s">
        <v>6</v>
      </c>
      <c r="CN43" s="12"/>
      <c r="CO43" s="10">
        <f t="shared" si="23"/>
        <v>0</v>
      </c>
      <c r="CP43" s="12">
        <f t="shared" si="24"/>
        <v>0</v>
      </c>
      <c r="CQ43" s="11" t="e">
        <f t="shared" si="25"/>
        <v>#DIV/0!</v>
      </c>
      <c r="CS43" s="14"/>
      <c r="CT43" s="13" t="s">
        <v>6</v>
      </c>
      <c r="CV43" s="12"/>
      <c r="CW43" s="10">
        <f t="shared" si="26"/>
        <v>0</v>
      </c>
      <c r="CX43" s="12">
        <f t="shared" si="27"/>
        <v>0</v>
      </c>
      <c r="CY43" s="11" t="e">
        <f t="shared" si="28"/>
        <v>#DIV/0!</v>
      </c>
    </row>
    <row r="44" spans="1:103" s="10" customFormat="1" ht="20" customHeight="1">
      <c r="A44" s="14"/>
      <c r="B44" s="13" t="s">
        <v>5</v>
      </c>
      <c r="C44" s="10">
        <v>3</v>
      </c>
      <c r="D44" s="12">
        <v>12770</v>
      </c>
      <c r="F44" s="12"/>
      <c r="G44" s="11"/>
      <c r="I44" s="14"/>
      <c r="J44" s="13" t="s">
        <v>5</v>
      </c>
      <c r="K44" s="10">
        <v>6</v>
      </c>
      <c r="L44" s="12">
        <v>41740</v>
      </c>
      <c r="M44" s="10">
        <f t="shared" si="0"/>
        <v>3</v>
      </c>
      <c r="N44" s="12">
        <f t="shared" si="0"/>
        <v>28970</v>
      </c>
      <c r="O44" s="11">
        <f t="shared" si="1"/>
        <v>2.2685982772122162</v>
      </c>
      <c r="Q44" s="14"/>
      <c r="R44" s="13" t="s">
        <v>5</v>
      </c>
      <c r="T44" s="12"/>
      <c r="U44" s="10">
        <f t="shared" si="2"/>
        <v>-6</v>
      </c>
      <c r="V44" s="12">
        <f t="shared" si="3"/>
        <v>-41740</v>
      </c>
      <c r="W44" s="11">
        <f t="shared" si="4"/>
        <v>-1</v>
      </c>
      <c r="Y44" s="14"/>
      <c r="Z44" s="13" t="s">
        <v>5</v>
      </c>
      <c r="AB44" s="12"/>
      <c r="AC44" s="10">
        <f t="shared" si="5"/>
        <v>0</v>
      </c>
      <c r="AD44" s="12">
        <f t="shared" si="5"/>
        <v>0</v>
      </c>
      <c r="AE44" s="11" t="e">
        <f t="shared" si="6"/>
        <v>#DIV/0!</v>
      </c>
      <c r="AG44" s="14"/>
      <c r="AH44" s="13" t="s">
        <v>5</v>
      </c>
      <c r="AI44" s="13"/>
      <c r="AJ44" s="45"/>
      <c r="AK44" s="10">
        <f t="shared" si="7"/>
        <v>0</v>
      </c>
      <c r="AL44" s="12">
        <f t="shared" si="7"/>
        <v>0</v>
      </c>
      <c r="AM44" s="11" t="e">
        <f t="shared" si="8"/>
        <v>#DIV/0!</v>
      </c>
      <c r="AO44" s="14"/>
      <c r="AP44" s="13" t="s">
        <v>5</v>
      </c>
      <c r="AR44" s="12"/>
      <c r="AS44" s="10">
        <f t="shared" si="9"/>
        <v>0</v>
      </c>
      <c r="AT44" s="12">
        <f t="shared" si="9"/>
        <v>0</v>
      </c>
      <c r="AU44" s="11" t="e">
        <f t="shared" si="10"/>
        <v>#DIV/0!</v>
      </c>
      <c r="AW44" s="14"/>
      <c r="AX44" s="13" t="s">
        <v>5</v>
      </c>
      <c r="AZ44" s="12"/>
      <c r="BA44" s="10">
        <f t="shared" si="11"/>
        <v>0</v>
      </c>
      <c r="BB44" s="12">
        <f t="shared" si="12"/>
        <v>0</v>
      </c>
      <c r="BC44" s="11" t="e">
        <f t="shared" si="13"/>
        <v>#DIV/0!</v>
      </c>
      <c r="BE44" s="14"/>
      <c r="BF44" s="13" t="s">
        <v>5</v>
      </c>
      <c r="BH44" s="12"/>
      <c r="BI44" s="10">
        <f t="shared" si="14"/>
        <v>0</v>
      </c>
      <c r="BJ44" s="12">
        <f t="shared" si="15"/>
        <v>0</v>
      </c>
      <c r="BK44" s="11" t="e">
        <f t="shared" si="16"/>
        <v>#DIV/0!</v>
      </c>
      <c r="BM44" s="14"/>
      <c r="BN44" s="13" t="s">
        <v>5</v>
      </c>
      <c r="BP44" s="12"/>
      <c r="BQ44" s="10">
        <f t="shared" si="17"/>
        <v>0</v>
      </c>
      <c r="BR44" s="12">
        <f t="shared" si="18"/>
        <v>0</v>
      </c>
      <c r="BS44" s="11" t="e">
        <f t="shared" si="19"/>
        <v>#DIV/0!</v>
      </c>
      <c r="BU44" s="14"/>
      <c r="BV44" s="13" t="s">
        <v>5</v>
      </c>
      <c r="BX44" s="12"/>
      <c r="BY44" s="10">
        <f t="shared" si="29"/>
        <v>0</v>
      </c>
      <c r="BZ44" s="12">
        <f t="shared" si="21"/>
        <v>0</v>
      </c>
      <c r="CA44" s="11" t="e">
        <f t="shared" si="22"/>
        <v>#DIV/0!</v>
      </c>
      <c r="CC44" s="14"/>
      <c r="CD44" s="13" t="s">
        <v>5</v>
      </c>
      <c r="CE44" s="50"/>
      <c r="CF44" s="50"/>
      <c r="CG44" s="10">
        <v>-1</v>
      </c>
      <c r="CH44" s="12">
        <v>-3690</v>
      </c>
      <c r="CI44" s="11">
        <v>-0.3455056179775281</v>
      </c>
      <c r="CK44" s="14"/>
      <c r="CL44" s="13" t="s">
        <v>5</v>
      </c>
      <c r="CM44" s="50"/>
      <c r="CN44" s="12"/>
      <c r="CO44" s="10">
        <f t="shared" si="23"/>
        <v>0</v>
      </c>
      <c r="CP44" s="12">
        <f t="shared" si="24"/>
        <v>0</v>
      </c>
      <c r="CQ44" s="11" t="e">
        <f t="shared" si="25"/>
        <v>#DIV/0!</v>
      </c>
      <c r="CS44" s="14"/>
      <c r="CT44" s="13" t="s">
        <v>5</v>
      </c>
      <c r="CU44" s="50"/>
      <c r="CV44" s="12"/>
      <c r="CW44" s="10">
        <f t="shared" si="26"/>
        <v>0</v>
      </c>
      <c r="CX44" s="12">
        <f t="shared" si="27"/>
        <v>0</v>
      </c>
      <c r="CY44" s="11" t="e">
        <f t="shared" si="28"/>
        <v>#DIV/0!</v>
      </c>
    </row>
    <row r="45" spans="1:103" s="10" customFormat="1" ht="20" customHeight="1">
      <c r="A45" s="14"/>
      <c r="B45" s="13" t="s">
        <v>4</v>
      </c>
      <c r="C45" s="10">
        <v>5</v>
      </c>
      <c r="D45" s="12">
        <v>119229</v>
      </c>
      <c r="F45" s="12"/>
      <c r="G45" s="11"/>
      <c r="I45" s="14"/>
      <c r="J45" s="13" t="s">
        <v>4</v>
      </c>
      <c r="K45" s="10">
        <v>10</v>
      </c>
      <c r="L45" s="12">
        <v>321607</v>
      </c>
      <c r="M45" s="10">
        <f t="shared" si="0"/>
        <v>5</v>
      </c>
      <c r="N45" s="12">
        <f t="shared" si="0"/>
        <v>202378</v>
      </c>
      <c r="O45" s="11">
        <f t="shared" si="1"/>
        <v>1.6973890580311837</v>
      </c>
      <c r="Q45" s="14"/>
      <c r="R45" s="13" t="s">
        <v>4</v>
      </c>
      <c r="T45" s="12"/>
      <c r="U45" s="10">
        <f t="shared" si="2"/>
        <v>-10</v>
      </c>
      <c r="V45" s="12">
        <f t="shared" si="3"/>
        <v>-321607</v>
      </c>
      <c r="W45" s="11">
        <f t="shared" si="4"/>
        <v>-1</v>
      </c>
      <c r="Y45" s="14"/>
      <c r="Z45" s="13" t="s">
        <v>4</v>
      </c>
      <c r="AB45" s="12"/>
      <c r="AC45" s="10">
        <f t="shared" si="5"/>
        <v>0</v>
      </c>
      <c r="AD45" s="12">
        <f t="shared" si="5"/>
        <v>0</v>
      </c>
      <c r="AE45" s="11" t="e">
        <f t="shared" si="6"/>
        <v>#DIV/0!</v>
      </c>
      <c r="AG45" s="14"/>
      <c r="AH45" s="13" t="s">
        <v>4</v>
      </c>
      <c r="AI45" s="13"/>
      <c r="AJ45" s="45"/>
      <c r="AK45" s="10">
        <f t="shared" si="7"/>
        <v>0</v>
      </c>
      <c r="AL45" s="12">
        <f t="shared" si="7"/>
        <v>0</v>
      </c>
      <c r="AM45" s="11" t="e">
        <f t="shared" si="8"/>
        <v>#DIV/0!</v>
      </c>
      <c r="AO45" s="14"/>
      <c r="AP45" s="13" t="s">
        <v>4</v>
      </c>
      <c r="AR45" s="12"/>
      <c r="AS45" s="10">
        <f t="shared" si="9"/>
        <v>0</v>
      </c>
      <c r="AT45" s="12">
        <f t="shared" si="9"/>
        <v>0</v>
      </c>
      <c r="AU45" s="11" t="e">
        <f t="shared" si="10"/>
        <v>#DIV/0!</v>
      </c>
      <c r="AW45" s="14"/>
      <c r="AX45" s="13" t="s">
        <v>4</v>
      </c>
      <c r="AZ45" s="12"/>
      <c r="BA45" s="10">
        <f t="shared" si="11"/>
        <v>0</v>
      </c>
      <c r="BB45" s="12">
        <f t="shared" si="12"/>
        <v>0</v>
      </c>
      <c r="BC45" s="11" t="e">
        <f t="shared" si="13"/>
        <v>#DIV/0!</v>
      </c>
      <c r="BE45" s="14"/>
      <c r="BF45" s="13" t="s">
        <v>4</v>
      </c>
      <c r="BH45" s="12"/>
      <c r="BI45" s="10">
        <f t="shared" si="14"/>
        <v>0</v>
      </c>
      <c r="BJ45" s="12">
        <f t="shared" si="15"/>
        <v>0</v>
      </c>
      <c r="BK45" s="11" t="e">
        <f t="shared" si="16"/>
        <v>#DIV/0!</v>
      </c>
      <c r="BM45" s="14"/>
      <c r="BN45" s="13" t="s">
        <v>4</v>
      </c>
      <c r="BP45" s="12"/>
      <c r="BQ45" s="10">
        <f t="shared" si="17"/>
        <v>0</v>
      </c>
      <c r="BR45" s="12">
        <f t="shared" si="18"/>
        <v>0</v>
      </c>
      <c r="BS45" s="11" t="e">
        <f t="shared" si="19"/>
        <v>#DIV/0!</v>
      </c>
      <c r="BU45" s="14"/>
      <c r="BV45" s="13" t="s">
        <v>4</v>
      </c>
      <c r="BX45" s="12"/>
      <c r="BY45" s="10">
        <f t="shared" si="29"/>
        <v>0</v>
      </c>
      <c r="BZ45" s="12">
        <f t="shared" si="21"/>
        <v>0</v>
      </c>
      <c r="CA45" s="11" t="e">
        <f t="shared" si="22"/>
        <v>#DIV/0!</v>
      </c>
      <c r="CC45" s="14"/>
      <c r="CD45" s="13" t="s">
        <v>4</v>
      </c>
      <c r="CE45" s="50"/>
      <c r="CF45" s="50"/>
      <c r="CG45" s="10">
        <v>-4</v>
      </c>
      <c r="CH45" s="12">
        <v>-145770</v>
      </c>
      <c r="CI45" s="11">
        <v>-0.56342328831718991</v>
      </c>
      <c r="CK45" s="14"/>
      <c r="CL45" s="13" t="s">
        <v>4</v>
      </c>
      <c r="CM45" s="50"/>
      <c r="CN45" s="12"/>
      <c r="CO45" s="10">
        <f t="shared" si="23"/>
        <v>0</v>
      </c>
      <c r="CP45" s="12">
        <f t="shared" si="24"/>
        <v>0</v>
      </c>
      <c r="CQ45" s="11" t="e">
        <f t="shared" si="25"/>
        <v>#DIV/0!</v>
      </c>
      <c r="CS45" s="14"/>
      <c r="CT45" s="13" t="s">
        <v>4</v>
      </c>
      <c r="CU45" s="50"/>
      <c r="CV45" s="12"/>
      <c r="CW45" s="10">
        <f t="shared" si="26"/>
        <v>0</v>
      </c>
      <c r="CX45" s="12">
        <f t="shared" si="27"/>
        <v>0</v>
      </c>
      <c r="CY45" s="11" t="e">
        <f t="shared" si="28"/>
        <v>#DIV/0!</v>
      </c>
    </row>
    <row r="46" spans="1:103" s="10" customFormat="1" ht="20" customHeight="1">
      <c r="A46" s="14"/>
      <c r="B46" s="13" t="s">
        <v>3</v>
      </c>
      <c r="C46" s="10">
        <v>6</v>
      </c>
      <c r="D46" s="12">
        <v>101905</v>
      </c>
      <c r="F46" s="12"/>
      <c r="G46" s="11"/>
      <c r="I46" s="14"/>
      <c r="J46" s="13" t="s">
        <v>3</v>
      </c>
      <c r="K46" s="10">
        <v>12</v>
      </c>
      <c r="L46" s="12">
        <v>242952</v>
      </c>
      <c r="M46" s="10">
        <f t="shared" si="0"/>
        <v>6</v>
      </c>
      <c r="N46" s="12">
        <f t="shared" si="0"/>
        <v>141047</v>
      </c>
      <c r="O46" s="11">
        <f t="shared" si="1"/>
        <v>1.3841028408812128</v>
      </c>
      <c r="Q46" s="14"/>
      <c r="R46" s="13" t="s">
        <v>3</v>
      </c>
      <c r="T46" s="12"/>
      <c r="U46" s="10">
        <f t="shared" si="2"/>
        <v>-12</v>
      </c>
      <c r="V46" s="12">
        <f t="shared" si="3"/>
        <v>-242952</v>
      </c>
      <c r="W46" s="11">
        <f t="shared" si="4"/>
        <v>-1</v>
      </c>
      <c r="Y46" s="14"/>
      <c r="Z46" s="13" t="s">
        <v>3</v>
      </c>
      <c r="AB46" s="12"/>
      <c r="AC46" s="10">
        <f t="shared" si="5"/>
        <v>0</v>
      </c>
      <c r="AD46" s="12">
        <f t="shared" si="5"/>
        <v>0</v>
      </c>
      <c r="AE46" s="11" t="e">
        <f t="shared" si="6"/>
        <v>#DIV/0!</v>
      </c>
      <c r="AG46" s="14"/>
      <c r="AH46" s="13" t="s">
        <v>3</v>
      </c>
      <c r="AI46" s="13"/>
      <c r="AJ46" s="45"/>
      <c r="AK46" s="10">
        <f t="shared" si="7"/>
        <v>0</v>
      </c>
      <c r="AL46" s="12">
        <f t="shared" si="7"/>
        <v>0</v>
      </c>
      <c r="AM46" s="11" t="e">
        <f t="shared" si="8"/>
        <v>#DIV/0!</v>
      </c>
      <c r="AO46" s="14"/>
      <c r="AP46" s="13" t="s">
        <v>3</v>
      </c>
      <c r="AR46" s="12"/>
      <c r="AS46" s="10">
        <f t="shared" si="9"/>
        <v>0</v>
      </c>
      <c r="AT46" s="12">
        <f t="shared" si="9"/>
        <v>0</v>
      </c>
      <c r="AU46" s="11" t="e">
        <f t="shared" si="10"/>
        <v>#DIV/0!</v>
      </c>
      <c r="AW46" s="14"/>
      <c r="AX46" s="13" t="s">
        <v>3</v>
      </c>
      <c r="AZ46" s="12"/>
      <c r="BA46" s="10">
        <f t="shared" si="11"/>
        <v>0</v>
      </c>
      <c r="BB46" s="12">
        <f t="shared" si="12"/>
        <v>0</v>
      </c>
      <c r="BC46" s="11" t="e">
        <f t="shared" si="13"/>
        <v>#DIV/0!</v>
      </c>
      <c r="BE46" s="14"/>
      <c r="BF46" s="13" t="s">
        <v>3</v>
      </c>
      <c r="BH46" s="12"/>
      <c r="BI46" s="10">
        <f t="shared" si="14"/>
        <v>0</v>
      </c>
      <c r="BJ46" s="12">
        <f t="shared" si="15"/>
        <v>0</v>
      </c>
      <c r="BK46" s="11" t="e">
        <f t="shared" si="16"/>
        <v>#DIV/0!</v>
      </c>
      <c r="BM46" s="14"/>
      <c r="BN46" s="13" t="s">
        <v>3</v>
      </c>
      <c r="BP46" s="12"/>
      <c r="BQ46" s="10">
        <f t="shared" si="17"/>
        <v>0</v>
      </c>
      <c r="BR46" s="12">
        <f t="shared" si="18"/>
        <v>0</v>
      </c>
      <c r="BS46" s="11" t="e">
        <f t="shared" si="19"/>
        <v>#DIV/0!</v>
      </c>
      <c r="BU46" s="14"/>
      <c r="BV46" s="13" t="s">
        <v>3</v>
      </c>
      <c r="BX46" s="12"/>
      <c r="BY46" s="10">
        <f t="shared" si="29"/>
        <v>0</v>
      </c>
      <c r="BZ46" s="12">
        <f t="shared" si="21"/>
        <v>0</v>
      </c>
      <c r="CA46" s="11" t="e">
        <f t="shared" si="22"/>
        <v>#DIV/0!</v>
      </c>
      <c r="CC46" s="14"/>
      <c r="CD46" s="13" t="s">
        <v>3</v>
      </c>
      <c r="CE46" s="50"/>
      <c r="CF46" s="50"/>
      <c r="CG46" s="10">
        <v>15</v>
      </c>
      <c r="CH46" s="12">
        <v>355714</v>
      </c>
      <c r="CI46" s="11">
        <v>1.894009903626005</v>
      </c>
      <c r="CK46" s="14"/>
      <c r="CL46" s="13" t="s">
        <v>3</v>
      </c>
      <c r="CM46" s="50"/>
      <c r="CN46" s="12"/>
      <c r="CO46" s="10">
        <f t="shared" si="23"/>
        <v>0</v>
      </c>
      <c r="CP46" s="12">
        <f t="shared" si="24"/>
        <v>0</v>
      </c>
      <c r="CQ46" s="11" t="e">
        <f t="shared" si="25"/>
        <v>#DIV/0!</v>
      </c>
      <c r="CS46" s="14"/>
      <c r="CT46" s="13" t="s">
        <v>3</v>
      </c>
      <c r="CU46" s="50"/>
      <c r="CV46" s="12"/>
      <c r="CW46" s="10">
        <f t="shared" si="26"/>
        <v>0</v>
      </c>
      <c r="CX46" s="12">
        <f t="shared" si="27"/>
        <v>0</v>
      </c>
      <c r="CY46" s="11" t="e">
        <f t="shared" si="28"/>
        <v>#DIV/0!</v>
      </c>
    </row>
    <row r="47" spans="1:103" s="10" customFormat="1" ht="20" customHeight="1">
      <c r="A47" s="14"/>
      <c r="B47" s="13" t="s">
        <v>2</v>
      </c>
      <c r="C47" s="10">
        <v>26</v>
      </c>
      <c r="D47" s="12">
        <v>1217524</v>
      </c>
      <c r="F47" s="12"/>
      <c r="G47" s="11"/>
      <c r="I47" s="14"/>
      <c r="J47" s="13" t="s">
        <v>2</v>
      </c>
      <c r="K47" s="10">
        <v>70</v>
      </c>
      <c r="L47" s="12">
        <v>3181905</v>
      </c>
      <c r="M47" s="10">
        <f t="shared" si="0"/>
        <v>44</v>
      </c>
      <c r="N47" s="12">
        <f t="shared" si="0"/>
        <v>1964381</v>
      </c>
      <c r="O47" s="11">
        <f t="shared" si="1"/>
        <v>1.6134228154845407</v>
      </c>
      <c r="Q47" s="14"/>
      <c r="R47" s="13" t="s">
        <v>2</v>
      </c>
      <c r="T47" s="12"/>
      <c r="U47" s="10">
        <f t="shared" si="2"/>
        <v>-70</v>
      </c>
      <c r="V47" s="12">
        <f t="shared" si="3"/>
        <v>-3181905</v>
      </c>
      <c r="W47" s="11">
        <f t="shared" si="4"/>
        <v>-1</v>
      </c>
      <c r="Y47" s="14"/>
      <c r="Z47" s="13" t="s">
        <v>2</v>
      </c>
      <c r="AB47" s="12"/>
      <c r="AC47" s="10">
        <f t="shared" si="5"/>
        <v>0</v>
      </c>
      <c r="AD47" s="12">
        <f t="shared" si="5"/>
        <v>0</v>
      </c>
      <c r="AE47" s="11" t="e">
        <f t="shared" si="6"/>
        <v>#DIV/0!</v>
      </c>
      <c r="AG47" s="14"/>
      <c r="AH47" s="13" t="s">
        <v>2</v>
      </c>
      <c r="AI47" s="13"/>
      <c r="AJ47" s="45"/>
      <c r="AK47" s="10">
        <f t="shared" si="7"/>
        <v>0</v>
      </c>
      <c r="AL47" s="12">
        <f t="shared" si="7"/>
        <v>0</v>
      </c>
      <c r="AM47" s="11" t="e">
        <f t="shared" si="8"/>
        <v>#DIV/0!</v>
      </c>
      <c r="AO47" s="14"/>
      <c r="AP47" s="13" t="s">
        <v>2</v>
      </c>
      <c r="AR47" s="12"/>
      <c r="AS47" s="10">
        <f t="shared" si="9"/>
        <v>0</v>
      </c>
      <c r="AT47" s="12">
        <f t="shared" si="9"/>
        <v>0</v>
      </c>
      <c r="AU47" s="11" t="e">
        <f t="shared" si="10"/>
        <v>#DIV/0!</v>
      </c>
      <c r="AW47" s="14"/>
      <c r="AX47" s="13" t="s">
        <v>2</v>
      </c>
      <c r="AZ47" s="12"/>
      <c r="BA47" s="10">
        <f t="shared" si="11"/>
        <v>0</v>
      </c>
      <c r="BB47" s="12">
        <f t="shared" si="12"/>
        <v>0</v>
      </c>
      <c r="BC47" s="11" t="e">
        <f t="shared" si="13"/>
        <v>#DIV/0!</v>
      </c>
      <c r="BE47" s="14"/>
      <c r="BF47" s="13" t="s">
        <v>2</v>
      </c>
      <c r="BH47" s="12"/>
      <c r="BI47" s="10">
        <f t="shared" si="14"/>
        <v>0</v>
      </c>
      <c r="BJ47" s="12">
        <f t="shared" si="15"/>
        <v>0</v>
      </c>
      <c r="BK47" s="11" t="e">
        <f t="shared" si="16"/>
        <v>#DIV/0!</v>
      </c>
      <c r="BM47" s="14"/>
      <c r="BN47" s="13" t="s">
        <v>2</v>
      </c>
      <c r="BP47" s="12"/>
      <c r="BQ47" s="10">
        <f t="shared" si="17"/>
        <v>0</v>
      </c>
      <c r="BR47" s="12">
        <f t="shared" si="18"/>
        <v>0</v>
      </c>
      <c r="BS47" s="11" t="e">
        <f t="shared" si="19"/>
        <v>#DIV/0!</v>
      </c>
      <c r="BU47" s="14"/>
      <c r="BV47" s="13" t="s">
        <v>2</v>
      </c>
      <c r="BX47" s="12"/>
      <c r="BY47" s="10">
        <f t="shared" si="29"/>
        <v>0</v>
      </c>
      <c r="BZ47" s="12">
        <f t="shared" si="21"/>
        <v>0</v>
      </c>
      <c r="CA47" s="11" t="e">
        <f t="shared" si="22"/>
        <v>#DIV/0!</v>
      </c>
      <c r="CC47" s="14"/>
      <c r="CD47" s="13" t="s">
        <v>2</v>
      </c>
      <c r="CE47" s="50"/>
      <c r="CF47" s="50"/>
      <c r="CG47" s="10">
        <v>-5</v>
      </c>
      <c r="CH47" s="12">
        <v>-98571</v>
      </c>
      <c r="CI47" s="11">
        <v>-0.19770704673958173</v>
      </c>
      <c r="CK47" s="14"/>
      <c r="CL47" s="13" t="s">
        <v>2</v>
      </c>
      <c r="CM47" s="50"/>
      <c r="CN47" s="12"/>
      <c r="CO47" s="10">
        <f t="shared" si="23"/>
        <v>0</v>
      </c>
      <c r="CP47" s="12">
        <f t="shared" si="24"/>
        <v>0</v>
      </c>
      <c r="CQ47" s="11" t="e">
        <f t="shared" si="25"/>
        <v>#DIV/0!</v>
      </c>
      <c r="CS47" s="14"/>
      <c r="CT47" s="13" t="s">
        <v>2</v>
      </c>
      <c r="CU47" s="50"/>
      <c r="CV47" s="12"/>
      <c r="CW47" s="10">
        <f t="shared" si="26"/>
        <v>0</v>
      </c>
      <c r="CX47" s="12">
        <f t="shared" si="27"/>
        <v>0</v>
      </c>
      <c r="CY47" s="11" t="e">
        <f t="shared" si="28"/>
        <v>#DIV/0!</v>
      </c>
    </row>
    <row r="48" spans="1:103" s="1" customFormat="1" ht="20" customHeight="1">
      <c r="A48" s="9" t="s">
        <v>10</v>
      </c>
      <c r="B48" s="9"/>
      <c r="C48" s="8">
        <v>284</v>
      </c>
      <c r="D48" s="7">
        <v>2109670</v>
      </c>
      <c r="E48" s="27"/>
      <c r="F48" s="28"/>
      <c r="G48" s="29"/>
      <c r="I48" s="9" t="s">
        <v>10</v>
      </c>
      <c r="J48" s="9"/>
      <c r="K48" s="8">
        <v>450</v>
      </c>
      <c r="L48" s="7">
        <v>4491386</v>
      </c>
      <c r="M48" s="27">
        <f t="shared" si="0"/>
        <v>166</v>
      </c>
      <c r="N48" s="28">
        <f t="shared" si="0"/>
        <v>2381716</v>
      </c>
      <c r="O48" s="29">
        <f t="shared" si="1"/>
        <v>1.1289519213905492</v>
      </c>
      <c r="Q48" s="9" t="s">
        <v>10</v>
      </c>
      <c r="R48" s="9"/>
      <c r="S48" s="8"/>
      <c r="T48" s="7"/>
      <c r="U48" s="27">
        <f t="shared" si="2"/>
        <v>-450</v>
      </c>
      <c r="V48" s="28">
        <f t="shared" si="3"/>
        <v>-4491386</v>
      </c>
      <c r="W48" s="29">
        <f t="shared" si="4"/>
        <v>-1</v>
      </c>
      <c r="Y48" s="9" t="s">
        <v>10</v>
      </c>
      <c r="Z48" s="9"/>
      <c r="AA48" s="8"/>
      <c r="AB48" s="7"/>
      <c r="AC48" s="27">
        <f t="shared" si="5"/>
        <v>0</v>
      </c>
      <c r="AD48" s="28">
        <f t="shared" si="5"/>
        <v>0</v>
      </c>
      <c r="AE48" s="29" t="e">
        <f t="shared" si="6"/>
        <v>#DIV/0!</v>
      </c>
      <c r="AG48" s="9" t="s">
        <v>10</v>
      </c>
      <c r="AH48" s="9"/>
      <c r="AI48" s="9"/>
      <c r="AJ48" s="46"/>
      <c r="AK48" s="27">
        <f t="shared" si="7"/>
        <v>0</v>
      </c>
      <c r="AL48" s="28">
        <f t="shared" si="7"/>
        <v>0</v>
      </c>
      <c r="AM48" s="29" t="e">
        <f t="shared" si="8"/>
        <v>#DIV/0!</v>
      </c>
      <c r="AO48" s="9" t="s">
        <v>10</v>
      </c>
      <c r="AP48" s="9"/>
      <c r="AQ48" s="8"/>
      <c r="AR48" s="7"/>
      <c r="AS48" s="27">
        <f t="shared" si="9"/>
        <v>0</v>
      </c>
      <c r="AT48" s="28">
        <f t="shared" si="9"/>
        <v>0</v>
      </c>
      <c r="AU48" s="29" t="e">
        <f t="shared" si="10"/>
        <v>#DIV/0!</v>
      </c>
      <c r="AW48" s="9" t="s">
        <v>10</v>
      </c>
      <c r="AX48" s="9"/>
      <c r="AY48" s="8"/>
      <c r="AZ48" s="7"/>
      <c r="BA48" s="27">
        <f t="shared" si="11"/>
        <v>0</v>
      </c>
      <c r="BB48" s="28">
        <f t="shared" si="12"/>
        <v>0</v>
      </c>
      <c r="BC48" s="29" t="e">
        <f t="shared" si="13"/>
        <v>#DIV/0!</v>
      </c>
      <c r="BE48" s="9" t="s">
        <v>10</v>
      </c>
      <c r="BF48" s="9"/>
      <c r="BG48" s="8"/>
      <c r="BH48" s="7"/>
      <c r="BI48" s="27">
        <f t="shared" si="14"/>
        <v>0</v>
      </c>
      <c r="BJ48" s="28">
        <f t="shared" si="15"/>
        <v>0</v>
      </c>
      <c r="BK48" s="29" t="e">
        <f t="shared" si="16"/>
        <v>#DIV/0!</v>
      </c>
      <c r="BM48" s="9" t="s">
        <v>10</v>
      </c>
      <c r="BN48" s="9"/>
      <c r="BO48" s="8"/>
      <c r="BP48" s="7"/>
      <c r="BQ48" s="27">
        <f t="shared" si="17"/>
        <v>0</v>
      </c>
      <c r="BR48" s="28">
        <f t="shared" si="18"/>
        <v>0</v>
      </c>
      <c r="BS48" s="29" t="e">
        <f t="shared" si="19"/>
        <v>#DIV/0!</v>
      </c>
      <c r="BU48" s="9" t="s">
        <v>10</v>
      </c>
      <c r="BV48" s="9"/>
      <c r="BW48" s="8"/>
      <c r="BX48" s="7"/>
      <c r="BY48" s="27">
        <f t="shared" si="29"/>
        <v>0</v>
      </c>
      <c r="BZ48" s="28">
        <f t="shared" si="21"/>
        <v>0</v>
      </c>
      <c r="CA48" s="29" t="e">
        <f t="shared" si="22"/>
        <v>#DIV/0!</v>
      </c>
      <c r="CC48" s="9" t="s">
        <v>10</v>
      </c>
      <c r="CD48" s="9"/>
      <c r="CE48" s="51"/>
      <c r="CF48" s="51"/>
      <c r="CG48" s="27">
        <v>34</v>
      </c>
      <c r="CH48" s="28">
        <v>172319</v>
      </c>
      <c r="CI48" s="29">
        <v>0.14380504755975637</v>
      </c>
      <c r="CK48" s="9" t="s">
        <v>10</v>
      </c>
      <c r="CL48" s="9"/>
      <c r="CM48" s="8"/>
      <c r="CN48" s="7"/>
      <c r="CO48" s="27">
        <f t="shared" si="23"/>
        <v>0</v>
      </c>
      <c r="CP48" s="28">
        <f t="shared" si="24"/>
        <v>0</v>
      </c>
      <c r="CQ48" s="29" t="e">
        <f t="shared" si="25"/>
        <v>#DIV/0!</v>
      </c>
      <c r="CS48" s="9" t="s">
        <v>10</v>
      </c>
      <c r="CT48" s="9"/>
      <c r="CU48" s="8"/>
      <c r="CV48" s="7"/>
      <c r="CW48" s="27">
        <f t="shared" si="26"/>
        <v>0</v>
      </c>
      <c r="CX48" s="28">
        <f t="shared" si="27"/>
        <v>0</v>
      </c>
      <c r="CY48" s="29" t="e">
        <f t="shared" si="28"/>
        <v>#DIV/0!</v>
      </c>
    </row>
    <row r="49" spans="1:103" s="1" customFormat="1" ht="20" customHeight="1">
      <c r="A49" s="14">
        <v>84</v>
      </c>
      <c r="B49" s="32" t="s">
        <v>19</v>
      </c>
      <c r="D49" s="35"/>
      <c r="E49" s="10"/>
      <c r="F49" s="12"/>
      <c r="G49" s="36"/>
      <c r="I49" s="14">
        <v>84</v>
      </c>
      <c r="J49" s="32" t="s">
        <v>19</v>
      </c>
      <c r="L49" s="35"/>
      <c r="M49" s="10">
        <f t="shared" si="0"/>
        <v>0</v>
      </c>
      <c r="N49" s="12">
        <f t="shared" si="0"/>
        <v>0</v>
      </c>
      <c r="O49" s="11" t="e">
        <f t="shared" si="1"/>
        <v>#DIV/0!</v>
      </c>
      <c r="Q49" s="14">
        <v>84</v>
      </c>
      <c r="R49" s="32" t="s">
        <v>19</v>
      </c>
      <c r="T49" s="35"/>
      <c r="U49" s="10">
        <f t="shared" si="2"/>
        <v>0</v>
      </c>
      <c r="V49" s="12">
        <f t="shared" si="3"/>
        <v>0</v>
      </c>
      <c r="W49" s="11" t="e">
        <f t="shared" si="4"/>
        <v>#DIV/0!</v>
      </c>
      <c r="Y49" s="14">
        <v>84</v>
      </c>
      <c r="Z49" s="32" t="s">
        <v>19</v>
      </c>
      <c r="AB49" s="35"/>
      <c r="AC49" s="10">
        <f t="shared" si="5"/>
        <v>0</v>
      </c>
      <c r="AD49" s="12">
        <f t="shared" si="5"/>
        <v>0</v>
      </c>
      <c r="AE49" s="11" t="e">
        <f t="shared" si="6"/>
        <v>#DIV/0!</v>
      </c>
      <c r="AG49" s="14">
        <v>84</v>
      </c>
      <c r="AH49" s="32" t="s">
        <v>19</v>
      </c>
      <c r="AI49" s="32"/>
      <c r="AJ49" s="47"/>
      <c r="AK49" s="10">
        <f t="shared" si="7"/>
        <v>0</v>
      </c>
      <c r="AL49" s="12">
        <f t="shared" si="7"/>
        <v>0</v>
      </c>
      <c r="AM49" s="11" t="e">
        <f t="shared" si="8"/>
        <v>#DIV/0!</v>
      </c>
      <c r="AO49" s="14">
        <v>84</v>
      </c>
      <c r="AP49" s="32" t="s">
        <v>25</v>
      </c>
      <c r="AR49" s="35"/>
      <c r="AS49" s="10">
        <f t="shared" si="9"/>
        <v>0</v>
      </c>
      <c r="AT49" s="12">
        <f t="shared" si="9"/>
        <v>0</v>
      </c>
      <c r="AU49" s="11" t="e">
        <f t="shared" si="10"/>
        <v>#DIV/0!</v>
      </c>
      <c r="AW49" s="14">
        <v>84</v>
      </c>
      <c r="AX49" s="32" t="s">
        <v>25</v>
      </c>
      <c r="AZ49" s="35"/>
      <c r="BA49" s="10">
        <f t="shared" si="11"/>
        <v>0</v>
      </c>
      <c r="BB49" s="12">
        <f t="shared" si="12"/>
        <v>0</v>
      </c>
      <c r="BC49" s="11" t="e">
        <f t="shared" si="13"/>
        <v>#DIV/0!</v>
      </c>
      <c r="BE49" s="14">
        <v>84</v>
      </c>
      <c r="BF49" s="32" t="s">
        <v>19</v>
      </c>
      <c r="BH49" s="35"/>
      <c r="BI49" s="10">
        <f t="shared" si="14"/>
        <v>0</v>
      </c>
      <c r="BJ49" s="12">
        <f t="shared" si="15"/>
        <v>0</v>
      </c>
      <c r="BK49" s="11" t="e">
        <f t="shared" si="16"/>
        <v>#DIV/0!</v>
      </c>
      <c r="BM49" s="14">
        <v>84</v>
      </c>
      <c r="BN49" s="32" t="s">
        <v>25</v>
      </c>
      <c r="BP49" s="35"/>
      <c r="BQ49" s="10">
        <f t="shared" si="17"/>
        <v>0</v>
      </c>
      <c r="BR49" s="12">
        <f t="shared" si="18"/>
        <v>0</v>
      </c>
      <c r="BS49" s="11" t="e">
        <f t="shared" si="19"/>
        <v>#DIV/0!</v>
      </c>
      <c r="BU49" s="14">
        <v>84</v>
      </c>
      <c r="BV49" s="32" t="s">
        <v>25</v>
      </c>
      <c r="BW49" s="15"/>
      <c r="BX49" s="33"/>
      <c r="BY49" s="10">
        <f t="shared" si="29"/>
        <v>0</v>
      </c>
      <c r="BZ49" s="12">
        <f t="shared" si="21"/>
        <v>0</v>
      </c>
      <c r="CA49" s="11" t="e">
        <f t="shared" si="22"/>
        <v>#DIV/0!</v>
      </c>
      <c r="CC49" s="14">
        <v>84</v>
      </c>
      <c r="CD49" s="32" t="s">
        <v>25</v>
      </c>
      <c r="CE49" s="15"/>
      <c r="CF49" s="33"/>
      <c r="CG49" s="10">
        <v>0</v>
      </c>
      <c r="CH49" s="12">
        <v>0</v>
      </c>
      <c r="CI49" s="11" t="e">
        <v>#DIV/0!</v>
      </c>
      <c r="CK49" s="14">
        <v>84</v>
      </c>
      <c r="CL49" s="32" t="s">
        <v>19</v>
      </c>
      <c r="CM49" s="15"/>
      <c r="CN49" s="33"/>
      <c r="CO49" s="10">
        <f t="shared" si="23"/>
        <v>0</v>
      </c>
      <c r="CP49" s="12">
        <f t="shared" si="24"/>
        <v>0</v>
      </c>
      <c r="CQ49" s="11" t="e">
        <f t="shared" si="25"/>
        <v>#DIV/0!</v>
      </c>
      <c r="CS49" s="14">
        <v>84</v>
      </c>
      <c r="CT49" s="32" t="s">
        <v>19</v>
      </c>
      <c r="CU49" s="15"/>
      <c r="CV49" s="33"/>
      <c r="CW49" s="10">
        <f t="shared" si="26"/>
        <v>0</v>
      </c>
      <c r="CX49" s="12">
        <f t="shared" si="27"/>
        <v>0</v>
      </c>
      <c r="CY49" s="11" t="e">
        <f t="shared" si="28"/>
        <v>#DIV/0!</v>
      </c>
    </row>
    <row r="50" spans="1:103" s="1" customFormat="1" ht="20" customHeight="1">
      <c r="A50" s="14"/>
      <c r="B50" s="32" t="s">
        <v>20</v>
      </c>
      <c r="C50" s="1">
        <v>4</v>
      </c>
      <c r="D50" s="35"/>
      <c r="E50" s="10"/>
      <c r="F50" s="12"/>
      <c r="G50" s="36"/>
      <c r="I50" s="14"/>
      <c r="J50" s="32" t="s">
        <v>20</v>
      </c>
      <c r="K50" s="1">
        <v>7</v>
      </c>
      <c r="L50" s="35"/>
      <c r="M50" s="10">
        <f t="shared" si="0"/>
        <v>3</v>
      </c>
      <c r="N50" s="12">
        <f t="shared" si="0"/>
        <v>0</v>
      </c>
      <c r="O50" s="11" t="e">
        <f t="shared" si="1"/>
        <v>#DIV/0!</v>
      </c>
      <c r="Q50" s="14"/>
      <c r="R50" s="32" t="s">
        <v>20</v>
      </c>
      <c r="T50" s="35"/>
      <c r="U50" s="10">
        <f t="shared" si="2"/>
        <v>-7</v>
      </c>
      <c r="V50" s="12">
        <f t="shared" si="3"/>
        <v>0</v>
      </c>
      <c r="W50" s="11" t="e">
        <f t="shared" si="4"/>
        <v>#DIV/0!</v>
      </c>
      <c r="Y50" s="14"/>
      <c r="Z50" s="32" t="s">
        <v>20</v>
      </c>
      <c r="AB50" s="35"/>
      <c r="AC50" s="10">
        <f t="shared" si="5"/>
        <v>0</v>
      </c>
      <c r="AD50" s="12">
        <f t="shared" si="5"/>
        <v>0</v>
      </c>
      <c r="AE50" s="11" t="e">
        <f t="shared" si="6"/>
        <v>#DIV/0!</v>
      </c>
      <c r="AG50" s="14"/>
      <c r="AH50" s="32" t="s">
        <v>20</v>
      </c>
      <c r="AI50" s="32"/>
      <c r="AJ50" s="47"/>
      <c r="AK50" s="10">
        <f t="shared" si="7"/>
        <v>0</v>
      </c>
      <c r="AL50" s="12">
        <f t="shared" si="7"/>
        <v>0</v>
      </c>
      <c r="AM50" s="11" t="e">
        <f t="shared" si="8"/>
        <v>#DIV/0!</v>
      </c>
      <c r="AO50" s="14"/>
      <c r="AP50" s="32" t="s">
        <v>26</v>
      </c>
      <c r="AR50" s="35"/>
      <c r="AS50" s="10">
        <f t="shared" si="9"/>
        <v>0</v>
      </c>
      <c r="AT50" s="12">
        <f t="shared" si="9"/>
        <v>0</v>
      </c>
      <c r="AU50" s="11" t="e">
        <f t="shared" si="10"/>
        <v>#DIV/0!</v>
      </c>
      <c r="AW50" s="14"/>
      <c r="AX50" s="32" t="s">
        <v>26</v>
      </c>
      <c r="AZ50" s="35"/>
      <c r="BA50" s="10">
        <f t="shared" si="11"/>
        <v>0</v>
      </c>
      <c r="BB50" s="12">
        <f t="shared" si="12"/>
        <v>0</v>
      </c>
      <c r="BC50" s="11" t="e">
        <f t="shared" si="13"/>
        <v>#DIV/0!</v>
      </c>
      <c r="BE50" s="14"/>
      <c r="BF50" s="32" t="s">
        <v>20</v>
      </c>
      <c r="BH50" s="35"/>
      <c r="BI50" s="10">
        <f t="shared" si="14"/>
        <v>0</v>
      </c>
      <c r="BJ50" s="12">
        <f t="shared" si="15"/>
        <v>0</v>
      </c>
      <c r="BK50" s="11" t="e">
        <f t="shared" si="16"/>
        <v>#DIV/0!</v>
      </c>
      <c r="BM50" s="14"/>
      <c r="BN50" s="32" t="s">
        <v>26</v>
      </c>
      <c r="BP50" s="35"/>
      <c r="BQ50" s="10">
        <f t="shared" si="17"/>
        <v>0</v>
      </c>
      <c r="BR50" s="12">
        <f t="shared" si="18"/>
        <v>0</v>
      </c>
      <c r="BS50" s="11" t="e">
        <f t="shared" si="19"/>
        <v>#DIV/0!</v>
      </c>
      <c r="BU50" s="14"/>
      <c r="BV50" s="32" t="s">
        <v>26</v>
      </c>
      <c r="BW50" s="15"/>
      <c r="BX50" s="33"/>
      <c r="BY50" s="10">
        <f t="shared" si="29"/>
        <v>0</v>
      </c>
      <c r="BZ50" s="12">
        <f t="shared" si="21"/>
        <v>0</v>
      </c>
      <c r="CA50" s="11" t="e">
        <f t="shared" si="22"/>
        <v>#DIV/0!</v>
      </c>
      <c r="CC50" s="14"/>
      <c r="CD50" s="32" t="s">
        <v>26</v>
      </c>
      <c r="CE50" s="15"/>
      <c r="CF50" s="33"/>
      <c r="CG50" s="10">
        <v>1</v>
      </c>
      <c r="CH50" s="12">
        <v>0</v>
      </c>
      <c r="CI50" s="11" t="e">
        <v>#DIV/0!</v>
      </c>
      <c r="CK50" s="14"/>
      <c r="CL50" s="32" t="s">
        <v>20</v>
      </c>
      <c r="CM50" s="15"/>
      <c r="CN50" s="33"/>
      <c r="CO50" s="10">
        <f t="shared" si="23"/>
        <v>0</v>
      </c>
      <c r="CP50" s="12">
        <f t="shared" si="24"/>
        <v>0</v>
      </c>
      <c r="CQ50" s="11" t="e">
        <f t="shared" si="25"/>
        <v>#DIV/0!</v>
      </c>
      <c r="CS50" s="14"/>
      <c r="CT50" s="32" t="s">
        <v>20</v>
      </c>
      <c r="CU50" s="15"/>
      <c r="CV50" s="33"/>
      <c r="CW50" s="10">
        <f t="shared" si="26"/>
        <v>0</v>
      </c>
      <c r="CX50" s="12">
        <f t="shared" si="27"/>
        <v>0</v>
      </c>
      <c r="CY50" s="11" t="e">
        <f t="shared" si="28"/>
        <v>#DIV/0!</v>
      </c>
    </row>
    <row r="51" spans="1:103" s="10" customFormat="1" ht="20" customHeight="1">
      <c r="A51" s="14"/>
      <c r="B51" s="13" t="s">
        <v>9</v>
      </c>
      <c r="C51" s="10">
        <v>230</v>
      </c>
      <c r="D51" s="12">
        <v>235344</v>
      </c>
      <c r="F51" s="12"/>
      <c r="G51" s="11"/>
      <c r="I51" s="14"/>
      <c r="J51" s="13" t="s">
        <v>9</v>
      </c>
      <c r="K51" s="10">
        <v>274</v>
      </c>
      <c r="L51" s="12">
        <v>277390</v>
      </c>
      <c r="M51" s="10">
        <f t="shared" si="0"/>
        <v>44</v>
      </c>
      <c r="N51" s="12">
        <f t="shared" si="0"/>
        <v>42046</v>
      </c>
      <c r="O51" s="11">
        <f t="shared" si="1"/>
        <v>0.17865762458358828</v>
      </c>
      <c r="Q51" s="14"/>
      <c r="R51" s="13" t="s">
        <v>9</v>
      </c>
      <c r="T51" s="12"/>
      <c r="U51" s="10">
        <f t="shared" si="2"/>
        <v>-274</v>
      </c>
      <c r="V51" s="12">
        <f t="shared" si="3"/>
        <v>-277390</v>
      </c>
      <c r="W51" s="11">
        <f t="shared" si="4"/>
        <v>-1</v>
      </c>
      <c r="Y51" s="14"/>
      <c r="Z51" s="13" t="s">
        <v>9</v>
      </c>
      <c r="AB51" s="12"/>
      <c r="AC51" s="10">
        <f t="shared" si="5"/>
        <v>0</v>
      </c>
      <c r="AD51" s="12">
        <f t="shared" si="5"/>
        <v>0</v>
      </c>
      <c r="AE51" s="11" t="e">
        <f t="shared" si="6"/>
        <v>#DIV/0!</v>
      </c>
      <c r="AG51" s="14"/>
      <c r="AH51" s="13" t="s">
        <v>9</v>
      </c>
      <c r="AI51" s="13"/>
      <c r="AJ51" s="45"/>
      <c r="AK51" s="10">
        <f t="shared" si="7"/>
        <v>0</v>
      </c>
      <c r="AL51" s="12">
        <f t="shared" si="7"/>
        <v>0</v>
      </c>
      <c r="AM51" s="11" t="e">
        <f t="shared" si="8"/>
        <v>#DIV/0!</v>
      </c>
      <c r="AO51" s="14"/>
      <c r="AP51" s="13" t="s">
        <v>9</v>
      </c>
      <c r="AR51" s="12"/>
      <c r="AS51" s="10">
        <f t="shared" si="9"/>
        <v>0</v>
      </c>
      <c r="AT51" s="12">
        <f t="shared" si="9"/>
        <v>0</v>
      </c>
      <c r="AU51" s="11" t="e">
        <f t="shared" si="10"/>
        <v>#DIV/0!</v>
      </c>
      <c r="AW51" s="14"/>
      <c r="AX51" s="13" t="s">
        <v>9</v>
      </c>
      <c r="AZ51" s="12"/>
      <c r="BA51" s="10">
        <f t="shared" si="11"/>
        <v>0</v>
      </c>
      <c r="BB51" s="12">
        <f t="shared" si="12"/>
        <v>0</v>
      </c>
      <c r="BC51" s="11" t="e">
        <f t="shared" si="13"/>
        <v>#DIV/0!</v>
      </c>
      <c r="BE51" s="14"/>
      <c r="BF51" s="13" t="s">
        <v>9</v>
      </c>
      <c r="BH51" s="12"/>
      <c r="BI51" s="10">
        <f t="shared" si="14"/>
        <v>0</v>
      </c>
      <c r="BJ51" s="12">
        <f t="shared" si="15"/>
        <v>0</v>
      </c>
      <c r="BK51" s="11" t="e">
        <f t="shared" si="16"/>
        <v>#DIV/0!</v>
      </c>
      <c r="BM51" s="14"/>
      <c r="BN51" s="13" t="s">
        <v>9</v>
      </c>
      <c r="BP51" s="12"/>
      <c r="BQ51" s="10">
        <f t="shared" si="17"/>
        <v>0</v>
      </c>
      <c r="BR51" s="12">
        <f t="shared" si="18"/>
        <v>0</v>
      </c>
      <c r="BS51" s="11" t="e">
        <f t="shared" si="19"/>
        <v>#DIV/0!</v>
      </c>
      <c r="BU51" s="14"/>
      <c r="BV51" s="13" t="s">
        <v>9</v>
      </c>
      <c r="BX51" s="12"/>
      <c r="BY51" s="10">
        <f t="shared" si="29"/>
        <v>0</v>
      </c>
      <c r="BZ51" s="12">
        <f t="shared" si="21"/>
        <v>0</v>
      </c>
      <c r="CA51" s="11" t="e">
        <f t="shared" si="22"/>
        <v>#DIV/0!</v>
      </c>
      <c r="CC51" s="14"/>
      <c r="CD51" s="13" t="s">
        <v>9</v>
      </c>
      <c r="CF51" s="12"/>
      <c r="CG51" s="10">
        <v>-14</v>
      </c>
      <c r="CH51" s="12">
        <v>-5951</v>
      </c>
      <c r="CI51" s="11">
        <v>-6.2092423910434992E-2</v>
      </c>
      <c r="CK51" s="14"/>
      <c r="CL51" s="13" t="s">
        <v>9</v>
      </c>
      <c r="CN51" s="12"/>
      <c r="CO51" s="10">
        <f t="shared" si="23"/>
        <v>0</v>
      </c>
      <c r="CP51" s="12">
        <f t="shared" si="24"/>
        <v>0</v>
      </c>
      <c r="CQ51" s="11" t="e">
        <f t="shared" si="25"/>
        <v>#DIV/0!</v>
      </c>
      <c r="CS51" s="14"/>
      <c r="CT51" s="13" t="s">
        <v>9</v>
      </c>
      <c r="CV51" s="12"/>
      <c r="CW51" s="10">
        <f t="shared" si="26"/>
        <v>0</v>
      </c>
      <c r="CX51" s="12">
        <f t="shared" si="27"/>
        <v>0</v>
      </c>
      <c r="CY51" s="11" t="e">
        <f t="shared" si="28"/>
        <v>#DIV/0!</v>
      </c>
    </row>
    <row r="52" spans="1:103" s="10" customFormat="1" ht="20" customHeight="1">
      <c r="A52" s="14"/>
      <c r="B52" s="13" t="s">
        <v>8</v>
      </c>
      <c r="C52" s="10">
        <v>118</v>
      </c>
      <c r="D52" s="12">
        <v>135657</v>
      </c>
      <c r="F52" s="12"/>
      <c r="G52" s="11"/>
      <c r="I52" s="14"/>
      <c r="J52" s="13" t="s">
        <v>8</v>
      </c>
      <c r="K52" s="10">
        <v>115</v>
      </c>
      <c r="L52" s="12">
        <v>131696</v>
      </c>
      <c r="M52" s="10">
        <f t="shared" si="0"/>
        <v>-3</v>
      </c>
      <c r="N52" s="12">
        <f t="shared" si="0"/>
        <v>-3961</v>
      </c>
      <c r="O52" s="11">
        <f t="shared" si="1"/>
        <v>-2.919864068938573E-2</v>
      </c>
      <c r="Q52" s="14"/>
      <c r="R52" s="13" t="s">
        <v>8</v>
      </c>
      <c r="T52" s="12"/>
      <c r="U52" s="10">
        <f t="shared" si="2"/>
        <v>-115</v>
      </c>
      <c r="V52" s="12">
        <f t="shared" si="3"/>
        <v>-131696</v>
      </c>
      <c r="W52" s="11">
        <f t="shared" si="4"/>
        <v>-1</v>
      </c>
      <c r="Y52" s="14"/>
      <c r="Z52" s="13" t="s">
        <v>8</v>
      </c>
      <c r="AB52" s="12"/>
      <c r="AC52" s="10">
        <f t="shared" si="5"/>
        <v>0</v>
      </c>
      <c r="AD52" s="12">
        <f t="shared" si="5"/>
        <v>0</v>
      </c>
      <c r="AE52" s="11" t="e">
        <f t="shared" si="6"/>
        <v>#DIV/0!</v>
      </c>
      <c r="AG52" s="14"/>
      <c r="AH52" s="13" t="s">
        <v>8</v>
      </c>
      <c r="AI52" s="13"/>
      <c r="AJ52" s="45"/>
      <c r="AK52" s="10">
        <f t="shared" si="7"/>
        <v>0</v>
      </c>
      <c r="AL52" s="12">
        <f t="shared" si="7"/>
        <v>0</v>
      </c>
      <c r="AM52" s="11" t="e">
        <f t="shared" si="8"/>
        <v>#DIV/0!</v>
      </c>
      <c r="AO52" s="14"/>
      <c r="AP52" s="13" t="s">
        <v>8</v>
      </c>
      <c r="AR52" s="12"/>
      <c r="AS52" s="10">
        <f t="shared" si="9"/>
        <v>0</v>
      </c>
      <c r="AT52" s="12">
        <f t="shared" si="9"/>
        <v>0</v>
      </c>
      <c r="AU52" s="11" t="e">
        <f t="shared" si="10"/>
        <v>#DIV/0!</v>
      </c>
      <c r="AW52" s="14"/>
      <c r="AX52" s="13" t="s">
        <v>8</v>
      </c>
      <c r="AZ52" s="12"/>
      <c r="BA52" s="10">
        <f t="shared" si="11"/>
        <v>0</v>
      </c>
      <c r="BB52" s="12">
        <f t="shared" si="12"/>
        <v>0</v>
      </c>
      <c r="BC52" s="11" t="e">
        <f t="shared" si="13"/>
        <v>#DIV/0!</v>
      </c>
      <c r="BE52" s="14"/>
      <c r="BF52" s="13" t="s">
        <v>8</v>
      </c>
      <c r="BH52" s="12"/>
      <c r="BI52" s="10">
        <f t="shared" si="14"/>
        <v>0</v>
      </c>
      <c r="BJ52" s="12">
        <f t="shared" si="15"/>
        <v>0</v>
      </c>
      <c r="BK52" s="11" t="e">
        <f t="shared" si="16"/>
        <v>#DIV/0!</v>
      </c>
      <c r="BM52" s="14"/>
      <c r="BN52" s="13" t="s">
        <v>8</v>
      </c>
      <c r="BP52" s="12"/>
      <c r="BQ52" s="10">
        <f t="shared" si="17"/>
        <v>0</v>
      </c>
      <c r="BR52" s="12">
        <f t="shared" si="18"/>
        <v>0</v>
      </c>
      <c r="BS52" s="11" t="e">
        <f t="shared" si="19"/>
        <v>#DIV/0!</v>
      </c>
      <c r="BU52" s="14"/>
      <c r="BV52" s="13" t="s">
        <v>8</v>
      </c>
      <c r="BX52" s="12"/>
      <c r="BY52" s="10">
        <f t="shared" si="29"/>
        <v>0</v>
      </c>
      <c r="BZ52" s="12">
        <f t="shared" si="21"/>
        <v>0</v>
      </c>
      <c r="CA52" s="11" t="e">
        <f t="shared" si="22"/>
        <v>#DIV/0!</v>
      </c>
      <c r="CC52" s="14"/>
      <c r="CD52" s="13" t="s">
        <v>8</v>
      </c>
      <c r="CF52" s="12"/>
      <c r="CG52" s="10">
        <v>14</v>
      </c>
      <c r="CH52" s="12">
        <v>-14134</v>
      </c>
      <c r="CI52" s="11">
        <v>-0.15826661441128717</v>
      </c>
      <c r="CK52" s="14"/>
      <c r="CL52" s="13" t="s">
        <v>8</v>
      </c>
      <c r="CN52" s="12"/>
      <c r="CO52" s="10">
        <f t="shared" si="23"/>
        <v>0</v>
      </c>
      <c r="CP52" s="12">
        <f t="shared" si="24"/>
        <v>0</v>
      </c>
      <c r="CQ52" s="11" t="e">
        <f t="shared" si="25"/>
        <v>#DIV/0!</v>
      </c>
      <c r="CS52" s="14"/>
      <c r="CT52" s="13" t="s">
        <v>8</v>
      </c>
      <c r="CV52" s="12"/>
      <c r="CW52" s="10">
        <f t="shared" si="26"/>
        <v>0</v>
      </c>
      <c r="CX52" s="12">
        <f t="shared" si="27"/>
        <v>0</v>
      </c>
      <c r="CY52" s="11" t="e">
        <f t="shared" si="28"/>
        <v>#DIV/0!</v>
      </c>
    </row>
    <row r="53" spans="1:103" s="10" customFormat="1" ht="20" customHeight="1">
      <c r="A53" s="14"/>
      <c r="B53" s="13" t="s">
        <v>7</v>
      </c>
      <c r="C53" s="10">
        <v>32</v>
      </c>
      <c r="D53" s="12">
        <v>158944</v>
      </c>
      <c r="F53" s="12"/>
      <c r="G53" s="11"/>
      <c r="I53" s="14"/>
      <c r="J53" s="13" t="s">
        <v>7</v>
      </c>
      <c r="K53" s="10">
        <v>35</v>
      </c>
      <c r="L53" s="12">
        <v>199350</v>
      </c>
      <c r="M53" s="10">
        <f t="shared" si="0"/>
        <v>3</v>
      </c>
      <c r="N53" s="12">
        <f t="shared" si="0"/>
        <v>40406</v>
      </c>
      <c r="O53" s="11">
        <f t="shared" si="1"/>
        <v>0.25421532111938794</v>
      </c>
      <c r="Q53" s="14"/>
      <c r="R53" s="13" t="s">
        <v>7</v>
      </c>
      <c r="T53" s="12"/>
      <c r="U53" s="10">
        <f t="shared" si="2"/>
        <v>-35</v>
      </c>
      <c r="V53" s="12">
        <f t="shared" si="3"/>
        <v>-199350</v>
      </c>
      <c r="W53" s="11">
        <f t="shared" si="4"/>
        <v>-1</v>
      </c>
      <c r="Y53" s="14"/>
      <c r="Z53" s="13" t="s">
        <v>7</v>
      </c>
      <c r="AB53" s="12"/>
      <c r="AC53" s="10">
        <f t="shared" si="5"/>
        <v>0</v>
      </c>
      <c r="AD53" s="12">
        <f t="shared" si="5"/>
        <v>0</v>
      </c>
      <c r="AE53" s="11" t="e">
        <f t="shared" si="6"/>
        <v>#DIV/0!</v>
      </c>
      <c r="AG53" s="14"/>
      <c r="AH53" s="13" t="s">
        <v>7</v>
      </c>
      <c r="AI53" s="13"/>
      <c r="AJ53" s="45"/>
      <c r="AK53" s="10">
        <f t="shared" si="7"/>
        <v>0</v>
      </c>
      <c r="AL53" s="12">
        <f t="shared" si="7"/>
        <v>0</v>
      </c>
      <c r="AM53" s="11" t="e">
        <f t="shared" si="8"/>
        <v>#DIV/0!</v>
      </c>
      <c r="AO53" s="14"/>
      <c r="AP53" s="13" t="s">
        <v>7</v>
      </c>
      <c r="AR53" s="12"/>
      <c r="AS53" s="10">
        <f t="shared" si="9"/>
        <v>0</v>
      </c>
      <c r="AT53" s="12">
        <f t="shared" si="9"/>
        <v>0</v>
      </c>
      <c r="AU53" s="11" t="e">
        <f t="shared" si="10"/>
        <v>#DIV/0!</v>
      </c>
      <c r="AW53" s="14"/>
      <c r="AX53" s="13" t="s">
        <v>7</v>
      </c>
      <c r="AZ53" s="12"/>
      <c r="BA53" s="10">
        <f t="shared" si="11"/>
        <v>0</v>
      </c>
      <c r="BB53" s="12">
        <f t="shared" si="12"/>
        <v>0</v>
      </c>
      <c r="BC53" s="11" t="e">
        <f t="shared" si="13"/>
        <v>#DIV/0!</v>
      </c>
      <c r="BE53" s="14"/>
      <c r="BF53" s="13" t="s">
        <v>7</v>
      </c>
      <c r="BH53" s="12"/>
      <c r="BI53" s="10">
        <f t="shared" si="14"/>
        <v>0</v>
      </c>
      <c r="BJ53" s="12">
        <f t="shared" si="15"/>
        <v>0</v>
      </c>
      <c r="BK53" s="11" t="e">
        <f t="shared" si="16"/>
        <v>#DIV/0!</v>
      </c>
      <c r="BM53" s="14"/>
      <c r="BN53" s="13" t="s">
        <v>7</v>
      </c>
      <c r="BP53" s="12"/>
      <c r="BQ53" s="10">
        <f t="shared" si="17"/>
        <v>0</v>
      </c>
      <c r="BR53" s="12">
        <f t="shared" si="18"/>
        <v>0</v>
      </c>
      <c r="BS53" s="11" t="e">
        <f t="shared" si="19"/>
        <v>#DIV/0!</v>
      </c>
      <c r="BU53" s="14"/>
      <c r="BV53" s="13" t="s">
        <v>7</v>
      </c>
      <c r="BX53" s="12"/>
      <c r="BY53" s="10">
        <f t="shared" si="29"/>
        <v>0</v>
      </c>
      <c r="BZ53" s="12">
        <f t="shared" si="21"/>
        <v>0</v>
      </c>
      <c r="CA53" s="11" t="e">
        <f t="shared" si="22"/>
        <v>#DIV/0!</v>
      </c>
      <c r="CC53" s="14"/>
      <c r="CD53" s="13" t="s">
        <v>7</v>
      </c>
      <c r="CF53" s="12"/>
      <c r="CG53" s="10">
        <v>7</v>
      </c>
      <c r="CH53" s="12">
        <v>68124</v>
      </c>
      <c r="CI53" s="11">
        <v>1.9105365005468773</v>
      </c>
      <c r="CK53" s="14"/>
      <c r="CL53" s="13" t="s">
        <v>7</v>
      </c>
      <c r="CN53" s="12"/>
      <c r="CO53" s="10">
        <f t="shared" si="23"/>
        <v>0</v>
      </c>
      <c r="CP53" s="12">
        <f t="shared" si="24"/>
        <v>0</v>
      </c>
      <c r="CQ53" s="11" t="e">
        <f t="shared" si="25"/>
        <v>#DIV/0!</v>
      </c>
      <c r="CS53" s="14"/>
      <c r="CT53" s="13" t="s">
        <v>7</v>
      </c>
      <c r="CV53" s="12"/>
      <c r="CW53" s="10">
        <f t="shared" si="26"/>
        <v>0</v>
      </c>
      <c r="CX53" s="12">
        <f t="shared" si="27"/>
        <v>0</v>
      </c>
      <c r="CY53" s="11" t="e">
        <f t="shared" si="28"/>
        <v>#DIV/0!</v>
      </c>
    </row>
    <row r="54" spans="1:103" s="10" customFormat="1" ht="20" customHeight="1">
      <c r="A54" s="14"/>
      <c r="B54" s="13" t="s">
        <v>6</v>
      </c>
      <c r="C54" s="10">
        <v>29</v>
      </c>
      <c r="D54" s="12">
        <v>552000</v>
      </c>
      <c r="F54" s="12"/>
      <c r="G54" s="11"/>
      <c r="I54" s="14"/>
      <c r="J54" s="13" t="s">
        <v>6</v>
      </c>
      <c r="K54" s="10">
        <v>15</v>
      </c>
      <c r="L54" s="12">
        <v>248571</v>
      </c>
      <c r="M54" s="10">
        <f t="shared" si="0"/>
        <v>-14</v>
      </c>
      <c r="N54" s="12">
        <f t="shared" si="0"/>
        <v>-303429</v>
      </c>
      <c r="O54" s="11">
        <f t="shared" si="1"/>
        <v>-0.5496902173913043</v>
      </c>
      <c r="Q54" s="14"/>
      <c r="R54" s="13" t="s">
        <v>6</v>
      </c>
      <c r="T54" s="12"/>
      <c r="U54" s="10">
        <f t="shared" si="2"/>
        <v>-15</v>
      </c>
      <c r="V54" s="12">
        <f t="shared" si="3"/>
        <v>-248571</v>
      </c>
      <c r="W54" s="11">
        <f t="shared" si="4"/>
        <v>-1</v>
      </c>
      <c r="Y54" s="14"/>
      <c r="Z54" s="13" t="s">
        <v>6</v>
      </c>
      <c r="AB54" s="12"/>
      <c r="AC54" s="10">
        <f t="shared" si="5"/>
        <v>0</v>
      </c>
      <c r="AD54" s="12">
        <f t="shared" si="5"/>
        <v>0</v>
      </c>
      <c r="AE54" s="11" t="e">
        <f t="shared" si="6"/>
        <v>#DIV/0!</v>
      </c>
      <c r="AG54" s="14"/>
      <c r="AH54" s="13" t="s">
        <v>6</v>
      </c>
      <c r="AI54" s="13"/>
      <c r="AJ54" s="45"/>
      <c r="AK54" s="10">
        <f t="shared" si="7"/>
        <v>0</v>
      </c>
      <c r="AL54" s="12">
        <f t="shared" si="7"/>
        <v>0</v>
      </c>
      <c r="AM54" s="11" t="e">
        <f t="shared" si="8"/>
        <v>#DIV/0!</v>
      </c>
      <c r="AO54" s="14"/>
      <c r="AP54" s="13" t="s">
        <v>6</v>
      </c>
      <c r="AR54" s="12"/>
      <c r="AS54" s="10">
        <f t="shared" si="9"/>
        <v>0</v>
      </c>
      <c r="AT54" s="12">
        <f t="shared" si="9"/>
        <v>0</v>
      </c>
      <c r="AU54" s="11" t="e">
        <f t="shared" si="10"/>
        <v>#DIV/0!</v>
      </c>
      <c r="AW54" s="14"/>
      <c r="AX54" s="13" t="s">
        <v>6</v>
      </c>
      <c r="AZ54" s="12"/>
      <c r="BA54" s="10">
        <f t="shared" si="11"/>
        <v>0</v>
      </c>
      <c r="BB54" s="12">
        <f t="shared" si="12"/>
        <v>0</v>
      </c>
      <c r="BC54" s="11" t="e">
        <f t="shared" si="13"/>
        <v>#DIV/0!</v>
      </c>
      <c r="BE54" s="14"/>
      <c r="BF54" s="13" t="s">
        <v>6</v>
      </c>
      <c r="BH54" s="12"/>
      <c r="BI54" s="10">
        <f t="shared" si="14"/>
        <v>0</v>
      </c>
      <c r="BJ54" s="12">
        <f t="shared" si="15"/>
        <v>0</v>
      </c>
      <c r="BK54" s="11" t="e">
        <f t="shared" si="16"/>
        <v>#DIV/0!</v>
      </c>
      <c r="BM54" s="14"/>
      <c r="BN54" s="13" t="s">
        <v>6</v>
      </c>
      <c r="BP54" s="12"/>
      <c r="BQ54" s="10">
        <f t="shared" si="17"/>
        <v>0</v>
      </c>
      <c r="BR54" s="12">
        <f t="shared" si="18"/>
        <v>0</v>
      </c>
      <c r="BS54" s="11" t="e">
        <f t="shared" si="19"/>
        <v>#DIV/0!</v>
      </c>
      <c r="BU54" s="14"/>
      <c r="BV54" s="13" t="s">
        <v>6</v>
      </c>
      <c r="BX54" s="12"/>
      <c r="BY54" s="10">
        <f t="shared" si="29"/>
        <v>0</v>
      </c>
      <c r="BZ54" s="12">
        <f t="shared" si="21"/>
        <v>0</v>
      </c>
      <c r="CA54" s="11" t="e">
        <f t="shared" si="22"/>
        <v>#DIV/0!</v>
      </c>
      <c r="CC54" s="14"/>
      <c r="CD54" s="13" t="s">
        <v>6</v>
      </c>
      <c r="CF54" s="12"/>
      <c r="CG54" s="10">
        <v>-1</v>
      </c>
      <c r="CH54" s="12">
        <v>-7524</v>
      </c>
      <c r="CI54" s="11">
        <v>-0.5</v>
      </c>
      <c r="CK54" s="14"/>
      <c r="CL54" s="13" t="s">
        <v>6</v>
      </c>
      <c r="CN54" s="12"/>
      <c r="CO54" s="10">
        <f t="shared" si="23"/>
        <v>0</v>
      </c>
      <c r="CP54" s="12">
        <f t="shared" si="24"/>
        <v>0</v>
      </c>
      <c r="CQ54" s="11" t="e">
        <f t="shared" si="25"/>
        <v>#DIV/0!</v>
      </c>
      <c r="CS54" s="14"/>
      <c r="CT54" s="13" t="s">
        <v>6</v>
      </c>
      <c r="CV54" s="12"/>
      <c r="CW54" s="10">
        <f t="shared" si="26"/>
        <v>0</v>
      </c>
      <c r="CX54" s="12">
        <f t="shared" si="27"/>
        <v>0</v>
      </c>
      <c r="CY54" s="11" t="e">
        <f t="shared" si="28"/>
        <v>#DIV/0!</v>
      </c>
    </row>
    <row r="55" spans="1:103" s="10" customFormat="1" ht="20" customHeight="1">
      <c r="A55" s="14"/>
      <c r="B55" s="13" t="s">
        <v>5</v>
      </c>
      <c r="C55" s="10">
        <v>13</v>
      </c>
      <c r="D55" s="12">
        <v>59270</v>
      </c>
      <c r="F55" s="12"/>
      <c r="G55" s="11"/>
      <c r="I55" s="14"/>
      <c r="J55" s="13" t="s">
        <v>5</v>
      </c>
      <c r="K55" s="10">
        <v>5</v>
      </c>
      <c r="L55" s="12">
        <v>31750</v>
      </c>
      <c r="M55" s="10">
        <f t="shared" si="0"/>
        <v>-8</v>
      </c>
      <c r="N55" s="12">
        <f t="shared" si="0"/>
        <v>-27520</v>
      </c>
      <c r="O55" s="11">
        <f t="shared" si="1"/>
        <v>-0.46431584275350091</v>
      </c>
      <c r="Q55" s="14"/>
      <c r="R55" s="13" t="s">
        <v>5</v>
      </c>
      <c r="T55" s="12"/>
      <c r="U55" s="10">
        <f t="shared" si="2"/>
        <v>-5</v>
      </c>
      <c r="V55" s="12">
        <f t="shared" si="3"/>
        <v>-31750</v>
      </c>
      <c r="W55" s="11">
        <f t="shared" si="4"/>
        <v>-1</v>
      </c>
      <c r="Y55" s="14"/>
      <c r="Z55" s="13" t="s">
        <v>5</v>
      </c>
      <c r="AB55" s="12"/>
      <c r="AC55" s="10">
        <f t="shared" si="5"/>
        <v>0</v>
      </c>
      <c r="AD55" s="12">
        <f t="shared" si="5"/>
        <v>0</v>
      </c>
      <c r="AE55" s="11" t="e">
        <f t="shared" si="6"/>
        <v>#DIV/0!</v>
      </c>
      <c r="AG55" s="14"/>
      <c r="AH55" s="13" t="s">
        <v>5</v>
      </c>
      <c r="AI55" s="13"/>
      <c r="AJ55" s="45"/>
      <c r="AK55" s="10">
        <f t="shared" si="7"/>
        <v>0</v>
      </c>
      <c r="AL55" s="12">
        <f t="shared" si="7"/>
        <v>0</v>
      </c>
      <c r="AM55" s="11" t="e">
        <f t="shared" si="8"/>
        <v>#DIV/0!</v>
      </c>
      <c r="AO55" s="14"/>
      <c r="AP55" s="13" t="s">
        <v>5</v>
      </c>
      <c r="AR55" s="12"/>
      <c r="AS55" s="10">
        <f t="shared" si="9"/>
        <v>0</v>
      </c>
      <c r="AT55" s="12">
        <f t="shared" si="9"/>
        <v>0</v>
      </c>
      <c r="AU55" s="11" t="e">
        <f t="shared" si="10"/>
        <v>#DIV/0!</v>
      </c>
      <c r="AW55" s="14"/>
      <c r="AX55" s="13" t="s">
        <v>5</v>
      </c>
      <c r="AZ55" s="12"/>
      <c r="BA55" s="10">
        <f t="shared" si="11"/>
        <v>0</v>
      </c>
      <c r="BB55" s="12">
        <f t="shared" si="12"/>
        <v>0</v>
      </c>
      <c r="BC55" s="11" t="e">
        <f t="shared" si="13"/>
        <v>#DIV/0!</v>
      </c>
      <c r="BE55" s="14"/>
      <c r="BF55" s="13" t="s">
        <v>5</v>
      </c>
      <c r="BH55" s="12"/>
      <c r="BI55" s="10">
        <f t="shared" si="14"/>
        <v>0</v>
      </c>
      <c r="BJ55" s="12">
        <f t="shared" si="15"/>
        <v>0</v>
      </c>
      <c r="BK55" s="11" t="e">
        <f t="shared" si="16"/>
        <v>#DIV/0!</v>
      </c>
      <c r="BM55" s="14"/>
      <c r="BN55" s="13" t="s">
        <v>5</v>
      </c>
      <c r="BP55" s="12"/>
      <c r="BQ55" s="10">
        <f t="shared" si="17"/>
        <v>0</v>
      </c>
      <c r="BR55" s="12">
        <f t="shared" si="18"/>
        <v>0</v>
      </c>
      <c r="BS55" s="11" t="e">
        <f t="shared" si="19"/>
        <v>#DIV/0!</v>
      </c>
      <c r="BU55" s="14"/>
      <c r="BV55" s="13" t="s">
        <v>5</v>
      </c>
      <c r="BX55" s="12"/>
      <c r="BY55" s="10">
        <f t="shared" si="29"/>
        <v>0</v>
      </c>
      <c r="BZ55" s="12">
        <f t="shared" si="21"/>
        <v>0</v>
      </c>
      <c r="CA55" s="11" t="e">
        <f t="shared" si="22"/>
        <v>#DIV/0!</v>
      </c>
      <c r="CC55" s="14"/>
      <c r="CD55" s="13" t="s">
        <v>5</v>
      </c>
      <c r="CE55" s="50"/>
      <c r="CF55" s="50"/>
      <c r="CG55" s="10">
        <v>0</v>
      </c>
      <c r="CH55" s="12">
        <v>-3800</v>
      </c>
      <c r="CI55" s="11">
        <v>-0.27596223674655046</v>
      </c>
      <c r="CK55" s="14"/>
      <c r="CL55" s="13" t="s">
        <v>5</v>
      </c>
      <c r="CM55" s="50"/>
      <c r="CN55" s="12"/>
      <c r="CO55" s="10">
        <f t="shared" si="23"/>
        <v>0</v>
      </c>
      <c r="CP55" s="12">
        <f t="shared" si="24"/>
        <v>0</v>
      </c>
      <c r="CQ55" s="11" t="e">
        <f t="shared" si="25"/>
        <v>#DIV/0!</v>
      </c>
      <c r="CS55" s="14"/>
      <c r="CT55" s="13" t="s">
        <v>5</v>
      </c>
      <c r="CU55" s="50"/>
      <c r="CV55" s="12"/>
      <c r="CW55" s="10">
        <f t="shared" si="26"/>
        <v>0</v>
      </c>
      <c r="CX55" s="12">
        <f t="shared" si="27"/>
        <v>0</v>
      </c>
      <c r="CY55" s="11" t="e">
        <f t="shared" si="28"/>
        <v>#DIV/0!</v>
      </c>
    </row>
    <row r="56" spans="1:103" s="10" customFormat="1" ht="20" customHeight="1">
      <c r="A56" s="14"/>
      <c r="B56" s="13" t="s">
        <v>4</v>
      </c>
      <c r="C56" s="10">
        <v>8</v>
      </c>
      <c r="D56" s="12">
        <v>293157</v>
      </c>
      <c r="F56" s="12"/>
      <c r="G56" s="11"/>
      <c r="I56" s="14"/>
      <c r="J56" s="13" t="s">
        <v>4</v>
      </c>
      <c r="K56" s="10">
        <v>12</v>
      </c>
      <c r="L56" s="12">
        <v>422033</v>
      </c>
      <c r="M56" s="10">
        <f t="shared" si="0"/>
        <v>4</v>
      </c>
      <c r="N56" s="12">
        <f t="shared" si="0"/>
        <v>128876</v>
      </c>
      <c r="O56" s="11">
        <f t="shared" si="1"/>
        <v>0.43961426812254184</v>
      </c>
      <c r="Q56" s="14"/>
      <c r="R56" s="13" t="s">
        <v>4</v>
      </c>
      <c r="T56" s="12"/>
      <c r="U56" s="10">
        <f t="shared" si="2"/>
        <v>-12</v>
      </c>
      <c r="V56" s="12">
        <f t="shared" si="3"/>
        <v>-422033</v>
      </c>
      <c r="W56" s="11">
        <f t="shared" si="4"/>
        <v>-1</v>
      </c>
      <c r="Y56" s="14"/>
      <c r="Z56" s="13" t="s">
        <v>4</v>
      </c>
      <c r="AB56" s="12"/>
      <c r="AC56" s="10">
        <f t="shared" si="5"/>
        <v>0</v>
      </c>
      <c r="AD56" s="12">
        <f t="shared" si="5"/>
        <v>0</v>
      </c>
      <c r="AE56" s="11" t="e">
        <f t="shared" si="6"/>
        <v>#DIV/0!</v>
      </c>
      <c r="AG56" s="14"/>
      <c r="AH56" s="13" t="s">
        <v>4</v>
      </c>
      <c r="AI56" s="13"/>
      <c r="AJ56" s="45"/>
      <c r="AK56" s="10">
        <f t="shared" si="7"/>
        <v>0</v>
      </c>
      <c r="AL56" s="12">
        <f t="shared" si="7"/>
        <v>0</v>
      </c>
      <c r="AM56" s="11" t="e">
        <f t="shared" si="8"/>
        <v>#DIV/0!</v>
      </c>
      <c r="AO56" s="14"/>
      <c r="AP56" s="13" t="s">
        <v>4</v>
      </c>
      <c r="AR56" s="12"/>
      <c r="AS56" s="10">
        <f t="shared" si="9"/>
        <v>0</v>
      </c>
      <c r="AT56" s="12">
        <f t="shared" si="9"/>
        <v>0</v>
      </c>
      <c r="AU56" s="11" t="e">
        <f t="shared" si="10"/>
        <v>#DIV/0!</v>
      </c>
      <c r="AW56" s="14"/>
      <c r="AX56" s="13" t="s">
        <v>4</v>
      </c>
      <c r="AZ56" s="12"/>
      <c r="BA56" s="10">
        <f t="shared" si="11"/>
        <v>0</v>
      </c>
      <c r="BB56" s="12">
        <f t="shared" si="12"/>
        <v>0</v>
      </c>
      <c r="BC56" s="11" t="e">
        <f t="shared" si="13"/>
        <v>#DIV/0!</v>
      </c>
      <c r="BE56" s="14"/>
      <c r="BF56" s="13" t="s">
        <v>4</v>
      </c>
      <c r="BH56" s="12"/>
      <c r="BI56" s="10">
        <f t="shared" si="14"/>
        <v>0</v>
      </c>
      <c r="BJ56" s="12">
        <f t="shared" si="15"/>
        <v>0</v>
      </c>
      <c r="BK56" s="11" t="e">
        <f t="shared" si="16"/>
        <v>#DIV/0!</v>
      </c>
      <c r="BM56" s="14"/>
      <c r="BN56" s="13" t="s">
        <v>4</v>
      </c>
      <c r="BP56" s="12"/>
      <c r="BQ56" s="10">
        <f t="shared" si="17"/>
        <v>0</v>
      </c>
      <c r="BR56" s="12">
        <f t="shared" si="18"/>
        <v>0</v>
      </c>
      <c r="BS56" s="11" t="e">
        <f t="shared" si="19"/>
        <v>#DIV/0!</v>
      </c>
      <c r="BU56" s="14"/>
      <c r="BV56" s="13" t="s">
        <v>4</v>
      </c>
      <c r="BX56" s="12"/>
      <c r="BY56" s="10">
        <f t="shared" si="29"/>
        <v>0</v>
      </c>
      <c r="BZ56" s="12">
        <f t="shared" si="21"/>
        <v>0</v>
      </c>
      <c r="CA56" s="11" t="e">
        <f t="shared" si="22"/>
        <v>#DIV/0!</v>
      </c>
      <c r="CC56" s="14"/>
      <c r="CD56" s="13" t="s">
        <v>4</v>
      </c>
      <c r="CE56" s="50"/>
      <c r="CF56" s="50"/>
      <c r="CG56" s="10">
        <v>0</v>
      </c>
      <c r="CH56" s="12">
        <v>-30844</v>
      </c>
      <c r="CI56" s="11">
        <v>-0.18104338842975207</v>
      </c>
      <c r="CK56" s="14"/>
      <c r="CL56" s="13" t="s">
        <v>4</v>
      </c>
      <c r="CM56" s="50"/>
      <c r="CN56" s="12"/>
      <c r="CO56" s="10">
        <f t="shared" si="23"/>
        <v>0</v>
      </c>
      <c r="CP56" s="12">
        <f t="shared" si="24"/>
        <v>0</v>
      </c>
      <c r="CQ56" s="11" t="e">
        <f t="shared" si="25"/>
        <v>#DIV/0!</v>
      </c>
      <c r="CS56" s="14"/>
      <c r="CT56" s="13" t="s">
        <v>4</v>
      </c>
      <c r="CU56" s="50"/>
      <c r="CV56" s="12"/>
      <c r="CW56" s="10">
        <f t="shared" si="26"/>
        <v>0</v>
      </c>
      <c r="CX56" s="12">
        <f t="shared" si="27"/>
        <v>0</v>
      </c>
      <c r="CY56" s="11" t="e">
        <f t="shared" si="28"/>
        <v>#DIV/0!</v>
      </c>
    </row>
    <row r="57" spans="1:103" s="10" customFormat="1" ht="20" customHeight="1">
      <c r="A57" s="14"/>
      <c r="B57" s="13" t="s">
        <v>3</v>
      </c>
      <c r="C57" s="10">
        <v>27</v>
      </c>
      <c r="D57" s="12">
        <v>619810</v>
      </c>
      <c r="F57" s="12"/>
      <c r="G57" s="11"/>
      <c r="I57" s="14"/>
      <c r="J57" s="13" t="s">
        <v>3</v>
      </c>
      <c r="K57" s="10">
        <v>33</v>
      </c>
      <c r="L57" s="12">
        <v>891619</v>
      </c>
      <c r="M57" s="10">
        <f t="shared" si="0"/>
        <v>6</v>
      </c>
      <c r="N57" s="12">
        <f t="shared" si="0"/>
        <v>271809</v>
      </c>
      <c r="O57" s="11">
        <f t="shared" si="1"/>
        <v>0.43853600296865169</v>
      </c>
      <c r="Q57" s="14"/>
      <c r="R57" s="13" t="s">
        <v>3</v>
      </c>
      <c r="T57" s="12"/>
      <c r="U57" s="10">
        <f t="shared" si="2"/>
        <v>-33</v>
      </c>
      <c r="V57" s="12">
        <f t="shared" si="3"/>
        <v>-891619</v>
      </c>
      <c r="W57" s="11">
        <f t="shared" si="4"/>
        <v>-1</v>
      </c>
      <c r="Y57" s="14"/>
      <c r="Z57" s="13" t="s">
        <v>3</v>
      </c>
      <c r="AB57" s="12"/>
      <c r="AC57" s="10">
        <f t="shared" si="5"/>
        <v>0</v>
      </c>
      <c r="AD57" s="12">
        <f t="shared" si="5"/>
        <v>0</v>
      </c>
      <c r="AE57" s="11" t="e">
        <f t="shared" si="6"/>
        <v>#DIV/0!</v>
      </c>
      <c r="AG57" s="14"/>
      <c r="AH57" s="13" t="s">
        <v>3</v>
      </c>
      <c r="AI57" s="13"/>
      <c r="AJ57" s="45"/>
      <c r="AK57" s="10">
        <f t="shared" si="7"/>
        <v>0</v>
      </c>
      <c r="AL57" s="12">
        <f t="shared" si="7"/>
        <v>0</v>
      </c>
      <c r="AM57" s="11" t="e">
        <f t="shared" si="8"/>
        <v>#DIV/0!</v>
      </c>
      <c r="AO57" s="14"/>
      <c r="AP57" s="13" t="s">
        <v>3</v>
      </c>
      <c r="AR57" s="12"/>
      <c r="AS57" s="10">
        <f t="shared" si="9"/>
        <v>0</v>
      </c>
      <c r="AT57" s="12">
        <f t="shared" si="9"/>
        <v>0</v>
      </c>
      <c r="AU57" s="11" t="e">
        <f t="shared" si="10"/>
        <v>#DIV/0!</v>
      </c>
      <c r="AW57" s="14"/>
      <c r="AX57" s="13" t="s">
        <v>3</v>
      </c>
      <c r="AZ57" s="12"/>
      <c r="BA57" s="10">
        <f t="shared" si="11"/>
        <v>0</v>
      </c>
      <c r="BB57" s="12">
        <f t="shared" si="12"/>
        <v>0</v>
      </c>
      <c r="BC57" s="11" t="e">
        <f t="shared" si="13"/>
        <v>#DIV/0!</v>
      </c>
      <c r="BE57" s="14"/>
      <c r="BF57" s="13" t="s">
        <v>3</v>
      </c>
      <c r="BH57" s="12"/>
      <c r="BI57" s="10">
        <f t="shared" si="14"/>
        <v>0</v>
      </c>
      <c r="BJ57" s="12">
        <f t="shared" si="15"/>
        <v>0</v>
      </c>
      <c r="BK57" s="11" t="e">
        <f t="shared" si="16"/>
        <v>#DIV/0!</v>
      </c>
      <c r="BM57" s="14"/>
      <c r="BN57" s="13" t="s">
        <v>3</v>
      </c>
      <c r="BP57" s="12"/>
      <c r="BQ57" s="10">
        <f t="shared" si="17"/>
        <v>0</v>
      </c>
      <c r="BR57" s="12">
        <f t="shared" si="18"/>
        <v>0</v>
      </c>
      <c r="BS57" s="11" t="e">
        <f t="shared" si="19"/>
        <v>#DIV/0!</v>
      </c>
      <c r="BU57" s="14"/>
      <c r="BV57" s="13" t="s">
        <v>3</v>
      </c>
      <c r="BX57" s="12"/>
      <c r="BY57" s="10">
        <f t="shared" si="29"/>
        <v>0</v>
      </c>
      <c r="BZ57" s="12">
        <f t="shared" si="21"/>
        <v>0</v>
      </c>
      <c r="CA57" s="11" t="e">
        <f t="shared" si="22"/>
        <v>#DIV/0!</v>
      </c>
      <c r="CC57" s="14"/>
      <c r="CD57" s="13" t="s">
        <v>3</v>
      </c>
      <c r="CE57" s="50"/>
      <c r="CF57" s="50"/>
      <c r="CG57" s="10">
        <v>2</v>
      </c>
      <c r="CH57" s="12">
        <v>66476</v>
      </c>
      <c r="CI57" s="11">
        <v>0.43706893717742201</v>
      </c>
      <c r="CK57" s="14"/>
      <c r="CL57" s="13" t="s">
        <v>3</v>
      </c>
      <c r="CM57" s="50"/>
      <c r="CN57" s="12"/>
      <c r="CO57" s="10">
        <f t="shared" si="23"/>
        <v>0</v>
      </c>
      <c r="CP57" s="12">
        <f t="shared" si="24"/>
        <v>0</v>
      </c>
      <c r="CQ57" s="11" t="e">
        <f t="shared" si="25"/>
        <v>#DIV/0!</v>
      </c>
      <c r="CS57" s="14"/>
      <c r="CT57" s="13" t="s">
        <v>3</v>
      </c>
      <c r="CU57" s="50"/>
      <c r="CV57" s="12"/>
      <c r="CW57" s="10">
        <f t="shared" si="26"/>
        <v>0</v>
      </c>
      <c r="CX57" s="12">
        <f t="shared" si="27"/>
        <v>0</v>
      </c>
      <c r="CY57" s="11" t="e">
        <f t="shared" si="28"/>
        <v>#DIV/0!</v>
      </c>
    </row>
    <row r="58" spans="1:103" s="10" customFormat="1" ht="20" customHeight="1">
      <c r="A58" s="14"/>
      <c r="B58" s="13" t="s">
        <v>2</v>
      </c>
      <c r="C58" s="10">
        <v>79</v>
      </c>
      <c r="D58" s="12">
        <v>3822952</v>
      </c>
      <c r="F58" s="12"/>
      <c r="G58" s="11"/>
      <c r="I58" s="14"/>
      <c r="J58" s="13" t="s">
        <v>2</v>
      </c>
      <c r="K58" s="10">
        <v>81</v>
      </c>
      <c r="L58" s="12">
        <v>3641810</v>
      </c>
      <c r="M58" s="10">
        <f t="shared" si="0"/>
        <v>2</v>
      </c>
      <c r="N58" s="12">
        <f t="shared" si="0"/>
        <v>-181142</v>
      </c>
      <c r="O58" s="11">
        <f t="shared" si="1"/>
        <v>-4.7382755525049752E-2</v>
      </c>
      <c r="Q58" s="14"/>
      <c r="R58" s="13" t="s">
        <v>2</v>
      </c>
      <c r="T58" s="12"/>
      <c r="U58" s="10">
        <f t="shared" si="2"/>
        <v>-81</v>
      </c>
      <c r="V58" s="12">
        <f t="shared" si="3"/>
        <v>-3641810</v>
      </c>
      <c r="W58" s="11">
        <f t="shared" si="4"/>
        <v>-1</v>
      </c>
      <c r="Y58" s="14"/>
      <c r="Z58" s="13" t="s">
        <v>2</v>
      </c>
      <c r="AB58" s="12"/>
      <c r="AC58" s="10">
        <f t="shared" si="5"/>
        <v>0</v>
      </c>
      <c r="AD58" s="12">
        <f t="shared" si="5"/>
        <v>0</v>
      </c>
      <c r="AE58" s="11" t="e">
        <f t="shared" si="6"/>
        <v>#DIV/0!</v>
      </c>
      <c r="AG58" s="14"/>
      <c r="AH58" s="13" t="s">
        <v>2</v>
      </c>
      <c r="AI58" s="13"/>
      <c r="AJ58" s="45"/>
      <c r="AK58" s="10">
        <f t="shared" si="7"/>
        <v>0</v>
      </c>
      <c r="AL58" s="12">
        <f t="shared" si="7"/>
        <v>0</v>
      </c>
      <c r="AM58" s="11" t="e">
        <f t="shared" si="8"/>
        <v>#DIV/0!</v>
      </c>
      <c r="AO58" s="14"/>
      <c r="AP58" s="13" t="s">
        <v>2</v>
      </c>
      <c r="AR58" s="12"/>
      <c r="AS58" s="10">
        <f t="shared" si="9"/>
        <v>0</v>
      </c>
      <c r="AT58" s="12">
        <f t="shared" si="9"/>
        <v>0</v>
      </c>
      <c r="AU58" s="11" t="e">
        <f t="shared" si="10"/>
        <v>#DIV/0!</v>
      </c>
      <c r="AW58" s="14"/>
      <c r="AX58" s="13" t="s">
        <v>2</v>
      </c>
      <c r="AZ58" s="12"/>
      <c r="BA58" s="10">
        <f t="shared" si="11"/>
        <v>0</v>
      </c>
      <c r="BB58" s="12">
        <f t="shared" si="12"/>
        <v>0</v>
      </c>
      <c r="BC58" s="11" t="e">
        <f t="shared" si="13"/>
        <v>#DIV/0!</v>
      </c>
      <c r="BE58" s="14"/>
      <c r="BF58" s="13" t="s">
        <v>2</v>
      </c>
      <c r="BH58" s="12"/>
      <c r="BI58" s="10">
        <f t="shared" si="14"/>
        <v>0</v>
      </c>
      <c r="BJ58" s="12">
        <f t="shared" si="15"/>
        <v>0</v>
      </c>
      <c r="BK58" s="11" t="e">
        <f t="shared" si="16"/>
        <v>#DIV/0!</v>
      </c>
      <c r="BM58" s="14"/>
      <c r="BN58" s="13" t="s">
        <v>2</v>
      </c>
      <c r="BP58" s="12"/>
      <c r="BQ58" s="10">
        <f t="shared" si="17"/>
        <v>0</v>
      </c>
      <c r="BR58" s="12">
        <f t="shared" si="18"/>
        <v>0</v>
      </c>
      <c r="BS58" s="11" t="e">
        <f t="shared" si="19"/>
        <v>#DIV/0!</v>
      </c>
      <c r="BU58" s="14"/>
      <c r="BV58" s="13" t="s">
        <v>2</v>
      </c>
      <c r="BX58" s="12"/>
      <c r="BY58" s="10">
        <f t="shared" si="29"/>
        <v>0</v>
      </c>
      <c r="BZ58" s="12">
        <f t="shared" si="21"/>
        <v>0</v>
      </c>
      <c r="CA58" s="11" t="e">
        <f t="shared" si="22"/>
        <v>#DIV/0!</v>
      </c>
      <c r="CC58" s="14"/>
      <c r="CD58" s="13" t="s">
        <v>2</v>
      </c>
      <c r="CE58" s="50"/>
      <c r="CF58" s="50"/>
      <c r="CG58" s="10">
        <v>0</v>
      </c>
      <c r="CH58" s="12">
        <v>35148</v>
      </c>
      <c r="CI58" s="11">
        <v>9.6157844628533287E-2</v>
      </c>
      <c r="CK58" s="14"/>
      <c r="CL58" s="13" t="s">
        <v>2</v>
      </c>
      <c r="CM58" s="50"/>
      <c r="CN58" s="12"/>
      <c r="CO58" s="10">
        <f t="shared" si="23"/>
        <v>0</v>
      </c>
      <c r="CP58" s="12">
        <f t="shared" si="24"/>
        <v>0</v>
      </c>
      <c r="CQ58" s="11" t="e">
        <f t="shared" si="25"/>
        <v>#DIV/0!</v>
      </c>
      <c r="CS58" s="14"/>
      <c r="CT58" s="13" t="s">
        <v>2</v>
      </c>
      <c r="CU58" s="50"/>
      <c r="CV58" s="12"/>
      <c r="CW58" s="10">
        <f t="shared" si="26"/>
        <v>0</v>
      </c>
      <c r="CX58" s="12">
        <f t="shared" si="27"/>
        <v>0</v>
      </c>
      <c r="CY58" s="11" t="e">
        <f t="shared" si="28"/>
        <v>#DIV/0!</v>
      </c>
    </row>
    <row r="59" spans="1:103" s="1" customFormat="1" ht="20" customHeight="1">
      <c r="A59" s="9" t="s">
        <v>1</v>
      </c>
      <c r="B59" s="9"/>
      <c r="C59" s="8">
        <v>536</v>
      </c>
      <c r="D59" s="7">
        <v>5877134</v>
      </c>
      <c r="E59" s="27"/>
      <c r="F59" s="28"/>
      <c r="G59" s="29"/>
      <c r="I59" s="9" t="s">
        <v>1</v>
      </c>
      <c r="J59" s="9"/>
      <c r="K59" s="8">
        <v>570</v>
      </c>
      <c r="L59" s="7">
        <v>5844219</v>
      </c>
      <c r="M59" s="27">
        <f t="shared" si="0"/>
        <v>34</v>
      </c>
      <c r="N59" s="28">
        <f t="shared" si="0"/>
        <v>-32915</v>
      </c>
      <c r="O59" s="29">
        <f t="shared" si="1"/>
        <v>-5.6005188923716901E-3</v>
      </c>
      <c r="Q59" s="9" t="s">
        <v>1</v>
      </c>
      <c r="R59" s="9"/>
      <c r="S59" s="8"/>
      <c r="T59" s="7"/>
      <c r="U59" s="27">
        <f t="shared" si="2"/>
        <v>-570</v>
      </c>
      <c r="V59" s="28">
        <f t="shared" si="3"/>
        <v>-5844219</v>
      </c>
      <c r="W59" s="29">
        <f t="shared" si="4"/>
        <v>-1</v>
      </c>
      <c r="Y59" s="9" t="s">
        <v>1</v>
      </c>
      <c r="Z59" s="9"/>
      <c r="AA59" s="8"/>
      <c r="AB59" s="7"/>
      <c r="AC59" s="27">
        <f t="shared" si="5"/>
        <v>0</v>
      </c>
      <c r="AD59" s="28">
        <f t="shared" si="5"/>
        <v>0</v>
      </c>
      <c r="AE59" s="29" t="e">
        <f t="shared" si="6"/>
        <v>#DIV/0!</v>
      </c>
      <c r="AG59" s="9" t="s">
        <v>1</v>
      </c>
      <c r="AH59" s="9"/>
      <c r="AI59" s="9"/>
      <c r="AJ59" s="46"/>
      <c r="AK59" s="27">
        <f t="shared" si="7"/>
        <v>0</v>
      </c>
      <c r="AL59" s="28">
        <f t="shared" si="7"/>
        <v>0</v>
      </c>
      <c r="AM59" s="29" t="e">
        <f t="shared" si="8"/>
        <v>#DIV/0!</v>
      </c>
      <c r="AO59" s="9" t="s">
        <v>1</v>
      </c>
      <c r="AP59" s="9"/>
      <c r="AQ59" s="8"/>
      <c r="AR59" s="7"/>
      <c r="AS59" s="27">
        <f t="shared" si="9"/>
        <v>0</v>
      </c>
      <c r="AT59" s="28">
        <f t="shared" si="9"/>
        <v>0</v>
      </c>
      <c r="AU59" s="29" t="e">
        <f t="shared" si="10"/>
        <v>#DIV/0!</v>
      </c>
      <c r="AW59" s="9" t="s">
        <v>1</v>
      </c>
      <c r="AX59" s="9"/>
      <c r="AY59" s="8"/>
      <c r="AZ59" s="7"/>
      <c r="BA59" s="27">
        <f t="shared" si="11"/>
        <v>0</v>
      </c>
      <c r="BB59" s="28">
        <f t="shared" si="12"/>
        <v>0</v>
      </c>
      <c r="BC59" s="29" t="e">
        <f t="shared" si="13"/>
        <v>#DIV/0!</v>
      </c>
      <c r="BE59" s="9" t="s">
        <v>1</v>
      </c>
      <c r="BF59" s="9"/>
      <c r="BG59" s="8"/>
      <c r="BH59" s="7"/>
      <c r="BI59" s="27">
        <f t="shared" si="14"/>
        <v>0</v>
      </c>
      <c r="BJ59" s="28">
        <f t="shared" si="15"/>
        <v>0</v>
      </c>
      <c r="BK59" s="29" t="e">
        <f t="shared" si="16"/>
        <v>#DIV/0!</v>
      </c>
      <c r="BM59" s="9" t="s">
        <v>1</v>
      </c>
      <c r="BN59" s="9"/>
      <c r="BO59" s="8"/>
      <c r="BP59" s="7"/>
      <c r="BQ59" s="27">
        <f t="shared" si="17"/>
        <v>0</v>
      </c>
      <c r="BR59" s="28">
        <f t="shared" si="18"/>
        <v>0</v>
      </c>
      <c r="BS59" s="29" t="e">
        <f t="shared" si="19"/>
        <v>#DIV/0!</v>
      </c>
      <c r="BU59" s="9" t="s">
        <v>1</v>
      </c>
      <c r="BV59" s="9"/>
      <c r="BW59" s="8"/>
      <c r="BX59" s="7"/>
      <c r="BY59" s="27">
        <f t="shared" si="29"/>
        <v>0</v>
      </c>
      <c r="BZ59" s="28">
        <f t="shared" si="21"/>
        <v>0</v>
      </c>
      <c r="CA59" s="29" t="e">
        <f t="shared" si="22"/>
        <v>#DIV/0!</v>
      </c>
      <c r="CC59" s="9" t="s">
        <v>1</v>
      </c>
      <c r="CD59" s="9"/>
      <c r="CE59" s="51"/>
      <c r="CF59" s="51"/>
      <c r="CG59" s="27">
        <v>8</v>
      </c>
      <c r="CH59" s="28">
        <v>107495</v>
      </c>
      <c r="CI59" s="29">
        <v>0.1146481258692332</v>
      </c>
      <c r="CK59" s="9" t="s">
        <v>1</v>
      </c>
      <c r="CL59" s="9"/>
      <c r="CM59" s="8"/>
      <c r="CN59" s="7"/>
      <c r="CO59" s="27">
        <f t="shared" si="23"/>
        <v>0</v>
      </c>
      <c r="CP59" s="28">
        <f t="shared" si="24"/>
        <v>0</v>
      </c>
      <c r="CQ59" s="29" t="e">
        <f t="shared" si="25"/>
        <v>#DIV/0!</v>
      </c>
      <c r="CS59" s="9" t="s">
        <v>1</v>
      </c>
      <c r="CT59" s="9"/>
      <c r="CU59" s="8"/>
      <c r="CV59" s="7"/>
      <c r="CW59" s="27">
        <f t="shared" si="26"/>
        <v>0</v>
      </c>
      <c r="CX59" s="28">
        <f t="shared" si="27"/>
        <v>0</v>
      </c>
      <c r="CY59" s="29" t="e">
        <f t="shared" si="28"/>
        <v>#DIV/0!</v>
      </c>
    </row>
    <row r="60" spans="1:103" s="1" customFormat="1" ht="20" customHeight="1">
      <c r="A60" s="4" t="s">
        <v>0</v>
      </c>
      <c r="B60" s="4"/>
      <c r="C60" s="3">
        <v>3838</v>
      </c>
      <c r="D60" s="2">
        <v>55339330</v>
      </c>
      <c r="E60" s="6"/>
      <c r="F60" s="5"/>
      <c r="G60" s="30"/>
      <c r="I60" s="4" t="s">
        <v>0</v>
      </c>
      <c r="J60" s="4"/>
      <c r="K60" s="3">
        <v>4257</v>
      </c>
      <c r="L60" s="2">
        <v>58608292</v>
      </c>
      <c r="M60" s="6">
        <f t="shared" si="0"/>
        <v>419</v>
      </c>
      <c r="N60" s="5">
        <f t="shared" si="0"/>
        <v>3268962</v>
      </c>
      <c r="O60" s="30">
        <f t="shared" si="1"/>
        <v>5.9071224751004396E-2</v>
      </c>
      <c r="Q60" s="4" t="s">
        <v>0</v>
      </c>
      <c r="R60" s="4"/>
      <c r="S60" s="3"/>
      <c r="T60" s="2"/>
      <c r="U60" s="6">
        <f t="shared" si="2"/>
        <v>-4257</v>
      </c>
      <c r="V60" s="5">
        <f t="shared" si="3"/>
        <v>-58608292</v>
      </c>
      <c r="W60" s="30">
        <f t="shared" si="4"/>
        <v>-1</v>
      </c>
      <c r="Y60" s="4" t="s">
        <v>0</v>
      </c>
      <c r="Z60" s="4"/>
      <c r="AA60" s="3"/>
      <c r="AB60" s="2"/>
      <c r="AC60" s="6">
        <f t="shared" si="5"/>
        <v>0</v>
      </c>
      <c r="AD60" s="5">
        <f t="shared" si="5"/>
        <v>0</v>
      </c>
      <c r="AE60" s="30" t="e">
        <f t="shared" si="6"/>
        <v>#DIV/0!</v>
      </c>
      <c r="AG60" s="4" t="s">
        <v>0</v>
      </c>
      <c r="AH60" s="4"/>
      <c r="AI60" s="4"/>
      <c r="AJ60" s="48"/>
      <c r="AK60" s="6">
        <f t="shared" si="7"/>
        <v>0</v>
      </c>
      <c r="AL60" s="5">
        <f t="shared" si="7"/>
        <v>0</v>
      </c>
      <c r="AM60" s="30" t="e">
        <f t="shared" si="8"/>
        <v>#DIV/0!</v>
      </c>
      <c r="AO60" s="4" t="s">
        <v>0</v>
      </c>
      <c r="AP60" s="4"/>
      <c r="AQ60" s="3"/>
      <c r="AR60" s="2"/>
      <c r="AS60" s="6">
        <f t="shared" si="9"/>
        <v>0</v>
      </c>
      <c r="AT60" s="5">
        <f t="shared" si="9"/>
        <v>0</v>
      </c>
      <c r="AU60" s="30" t="e">
        <f t="shared" si="10"/>
        <v>#DIV/0!</v>
      </c>
      <c r="AW60" s="4" t="s">
        <v>0</v>
      </c>
      <c r="AX60" s="4"/>
      <c r="AY60" s="3"/>
      <c r="AZ60" s="2"/>
      <c r="BA60" s="6">
        <f t="shared" si="11"/>
        <v>0</v>
      </c>
      <c r="BB60" s="5">
        <f t="shared" si="12"/>
        <v>0</v>
      </c>
      <c r="BC60" s="30" t="e">
        <f t="shared" si="13"/>
        <v>#DIV/0!</v>
      </c>
      <c r="BE60" s="4" t="s">
        <v>0</v>
      </c>
      <c r="BF60" s="4"/>
      <c r="BG60" s="3"/>
      <c r="BH60" s="2"/>
      <c r="BI60" s="6">
        <f t="shared" si="14"/>
        <v>0</v>
      </c>
      <c r="BJ60" s="5">
        <f t="shared" si="15"/>
        <v>0</v>
      </c>
      <c r="BK60" s="30" t="e">
        <f t="shared" si="16"/>
        <v>#DIV/0!</v>
      </c>
      <c r="BM60" s="4" t="s">
        <v>0</v>
      </c>
      <c r="BN60" s="4"/>
      <c r="BO60" s="3"/>
      <c r="BP60" s="2"/>
      <c r="BQ60" s="6">
        <f t="shared" si="17"/>
        <v>0</v>
      </c>
      <c r="BR60" s="5">
        <f t="shared" si="18"/>
        <v>0</v>
      </c>
      <c r="BS60" s="30" t="e">
        <f t="shared" si="19"/>
        <v>#DIV/0!</v>
      </c>
      <c r="BU60" s="4" t="s">
        <v>0</v>
      </c>
      <c r="BV60" s="4"/>
      <c r="BW60" s="3"/>
      <c r="BX60" s="2"/>
      <c r="BY60" s="6">
        <f t="shared" si="29"/>
        <v>0</v>
      </c>
      <c r="BZ60" s="5">
        <f t="shared" si="21"/>
        <v>0</v>
      </c>
      <c r="CA60" s="30" t="e">
        <f t="shared" si="22"/>
        <v>#DIV/0!</v>
      </c>
      <c r="CC60" s="4" t="s">
        <v>0</v>
      </c>
      <c r="CD60" s="4"/>
      <c r="CE60" s="3"/>
      <c r="CF60" s="2"/>
      <c r="CG60" s="6">
        <v>27</v>
      </c>
      <c r="CH60" s="5">
        <v>328876</v>
      </c>
      <c r="CI60" s="30">
        <v>2.937874647668275E-2</v>
      </c>
      <c r="CK60" s="4" t="s">
        <v>0</v>
      </c>
      <c r="CL60" s="4"/>
      <c r="CM60" s="3"/>
      <c r="CN60" s="2"/>
      <c r="CO60" s="6">
        <f t="shared" si="23"/>
        <v>0</v>
      </c>
      <c r="CP60" s="5">
        <f t="shared" si="24"/>
        <v>0</v>
      </c>
      <c r="CQ60" s="30" t="e">
        <f t="shared" si="25"/>
        <v>#DIV/0!</v>
      </c>
      <c r="CS60" s="4" t="s">
        <v>0</v>
      </c>
      <c r="CT60" s="4"/>
      <c r="CU60" s="3"/>
      <c r="CV60" s="2"/>
      <c r="CW60" s="6">
        <f t="shared" si="26"/>
        <v>0</v>
      </c>
      <c r="CX60" s="5">
        <f t="shared" si="27"/>
        <v>0</v>
      </c>
      <c r="CY60" s="30" t="e">
        <f t="shared" si="28"/>
        <v>#DIV/0!</v>
      </c>
    </row>
  </sheetData>
  <phoneticPr fontId="2" type="noConversion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1" operator="containsText" id="{84E91190-11E8-AE4A-9A8E-E0B241655290}">
            <xm:f>NOT(ISERROR(SEARCH("-",E5)))</xm:f>
            <xm:f>"-"</xm:f>
            <x14:dxf>
              <font>
                <color rgb="FFFF0000"/>
              </font>
            </x14:dxf>
          </x14:cfRule>
          <xm:sqref>M5:O60 U5:W60 AC5:AE60 AJ5:AM60 AS5:AU60 BA5:BC60 BI5:BK60 BQ5:BS60 BY5:CA60 CG5:CI60 CO5:CQ60 CW5:CY60 E7:G60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家豐 張</dc:creator>
  <cp:lastModifiedBy>家豐 張</cp:lastModifiedBy>
  <dcterms:created xsi:type="dcterms:W3CDTF">2025-09-29T12:17:57Z</dcterms:created>
  <dcterms:modified xsi:type="dcterms:W3CDTF">2026-10-12T04:11:47Z</dcterms:modified>
</cp:coreProperties>
</file>