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2CD09CF6-6274-814A-AD4E-C4C7A82E277F}" xr6:coauthVersionLast="47" xr6:coauthVersionMax="47" xr10:uidLastSave="{00000000-0000-0000-0000-000000000000}"/>
  <bookViews>
    <workbookView xWindow="1940" yWindow="1580" windowWidth="18640" windowHeight="2026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N5" i="2"/>
  <c r="O5" i="2"/>
  <c r="U5" i="2"/>
  <c r="V5" i="2"/>
  <c r="W5" i="2"/>
  <c r="AC5" i="2"/>
  <c r="AD5" i="2"/>
  <c r="AE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C6" i="2"/>
  <c r="AD6" i="2"/>
  <c r="AE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C7" i="2"/>
  <c r="AD7" i="2"/>
  <c r="AE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C8" i="2"/>
  <c r="AD8" i="2"/>
  <c r="AE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C9" i="2"/>
  <c r="AD9" i="2"/>
  <c r="AE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C10" i="2"/>
  <c r="AD10" i="2"/>
  <c r="AE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C11" i="2"/>
  <c r="AD11" i="2"/>
  <c r="AE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C12" i="2"/>
  <c r="AD12" i="2"/>
  <c r="AE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C13" i="2"/>
  <c r="AD13" i="2"/>
  <c r="AE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C14" i="2"/>
  <c r="AD14" i="2"/>
  <c r="AE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C15" i="2"/>
  <c r="AD15" i="2"/>
  <c r="AE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C16" i="2"/>
  <c r="AD16" i="2"/>
  <c r="AE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C17" i="2"/>
  <c r="AD17" i="2"/>
  <c r="AE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C18" i="2"/>
  <c r="AD18" i="2"/>
  <c r="AE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C19" i="2"/>
  <c r="AD19" i="2"/>
  <c r="AE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C20" i="2"/>
  <c r="AD20" i="2"/>
  <c r="AE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C21" i="2"/>
  <c r="AD21" i="2"/>
  <c r="AE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C22" i="2"/>
  <c r="AD22" i="2"/>
  <c r="AE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C23" i="2"/>
  <c r="AD23" i="2"/>
  <c r="AE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C24" i="2"/>
  <c r="AD24" i="2"/>
  <c r="AE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C25" i="2"/>
  <c r="AD25" i="2"/>
  <c r="AE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C26" i="2"/>
  <c r="AD26" i="2"/>
  <c r="AE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C27" i="2"/>
  <c r="AD27" i="2"/>
  <c r="AE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C28" i="2"/>
  <c r="AD28" i="2"/>
  <c r="AE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C29" i="2"/>
  <c r="AD29" i="2"/>
  <c r="AE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C30" i="2"/>
  <c r="AD30" i="2"/>
  <c r="AE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C31" i="2"/>
  <c r="AD31" i="2"/>
  <c r="AE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C32" i="2"/>
  <c r="AD32" i="2"/>
  <c r="AE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C33" i="2"/>
  <c r="AD33" i="2"/>
  <c r="AE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C34" i="2"/>
  <c r="AD34" i="2"/>
  <c r="AE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C35" i="2"/>
  <c r="AD35" i="2"/>
  <c r="AE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C36" i="2"/>
  <c r="AD36" i="2"/>
  <c r="AE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C37" i="2"/>
  <c r="AD37" i="2"/>
  <c r="AE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C38" i="2"/>
  <c r="AD38" i="2"/>
  <c r="AE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C39" i="2"/>
  <c r="AD39" i="2"/>
  <c r="AE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C40" i="2"/>
  <c r="AD40" i="2"/>
  <c r="AE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C41" i="2"/>
  <c r="AD41" i="2"/>
  <c r="AE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C42" i="2"/>
  <c r="AD42" i="2"/>
  <c r="AE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C43" i="2"/>
  <c r="AD43" i="2"/>
  <c r="AE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C44" i="2"/>
  <c r="AD44" i="2"/>
  <c r="AE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C45" i="2"/>
  <c r="AD45" i="2"/>
  <c r="AE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C46" i="2"/>
  <c r="AD46" i="2"/>
  <c r="AE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C47" i="2"/>
  <c r="AD47" i="2"/>
  <c r="AE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C48" i="2"/>
  <c r="AD48" i="2"/>
  <c r="AE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C49" i="2"/>
  <c r="AD49" i="2"/>
  <c r="AE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C50" i="2"/>
  <c r="AD50" i="2"/>
  <c r="AE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C51" i="2"/>
  <c r="AD51" i="2"/>
  <c r="AE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C52" i="2"/>
  <c r="AD52" i="2"/>
  <c r="AE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C53" i="2"/>
  <c r="AD53" i="2"/>
  <c r="AE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C54" i="2"/>
  <c r="AD54" i="2"/>
  <c r="AE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C55" i="2"/>
  <c r="AD55" i="2"/>
  <c r="AE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C56" i="2"/>
  <c r="AD56" i="2"/>
  <c r="AE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C57" i="2"/>
  <c r="AD57" i="2"/>
  <c r="AE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C58" i="2"/>
  <c r="AD58" i="2"/>
  <c r="AE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C59" i="2"/>
  <c r="AD59" i="2"/>
  <c r="AE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C60" i="2"/>
  <c r="AD60" i="2"/>
  <c r="AE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<sst xmlns="http://schemas.openxmlformats.org/spreadsheetml/2006/main" count="824" uniqueCount="34">
  <si>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</si>
  <si>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</si>
  <si>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</si>
  <si>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</si>
  <si>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</si>
  <si>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</si>
  <si>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</si>
  <si>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</si>
  <si>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</si>
  <si>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</si>
  <si>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</si>
  <si>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</si>
  <si>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</si>
  <si>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</si>
  <si>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</si>
  <si>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</si>
  <si>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</si>
  <si>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</si>
  <si>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</si>
  <si>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</si>
  <si>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</si>
  <si>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</si>
  <si>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</si>
  <si>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</si>
  <si>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</si>
  <si>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</si>
  <si>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</si>
  <si>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</si>
  <si>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</si>
  <si>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09/27~10/03</t>
    <phoneticPr fontId="2" type="noConversion"/>
  </si>
  <si>
    <t>27Q1W2</t>
    <phoneticPr fontId="2" type="noConversion"/>
  </si>
  <si>
    <t>10/04~10/10</t>
    <phoneticPr fontId="2" type="noConversion"/>
  </si>
  <si>
    <t>27Q1W3</t>
  </si>
  <si>
    <t>10/11~10/17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</si>
</sst>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1" activePane="topRight" state="frozen"/>
      <selection pane="topRight" activeCell="Q1" sqref="Q1:T6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 t="s">
        <v>30</v>
      </c>
      <c r="J1" s="26"/>
      <c r="L1" s="25"/>
      <c r="Q1" s="26" t="s">
        <v>32</v>
      </c>
      <c r="R1" s="26"/>
      <c r="T1" s="25"/>
      <c r="Y1" s="26"/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 t="s">
        <v>31</v>
      </c>
      <c r="K2" s="23"/>
      <c r="M2" s="23"/>
      <c r="O2" s="23"/>
      <c r="Q2" s="23" t="s">
        <v>33</v>
      </c>
      <c r="S2" s="23"/>
      <c r="U2" s="23"/>
      <c r="W2" s="23"/>
      <c r="Y2" s="23"/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21</v>
      </c>
      <c r="R4" s="19" t="s">
        <v>22</v>
      </c>
      <c r="S4" s="18" t="s">
        <v>23</v>
      </c>
      <c r="T4" s="17" t="s">
        <v>24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17034</v>
      </c>
      <c r="L5" s="1"/>
      <c r="M5" s="10">
        <f t="shared" ref="M5:N60" si="0">K5-C5</f>
        <v>-541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25</v>
      </c>
      <c r="S5" s="40">
        <v>11939</v>
      </c>
      <c r="T5" s="1"/>
      <c r="U5" s="10">
        <f t="shared" ref="U5:U60" si="2">S5-K5</f>
        <v>-5095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/>
      <c r="AB5" s="1"/>
      <c r="AC5" s="10">
        <f t="shared" ref="AC5:AD60" si="5">AA5-S5</f>
        <v>-11939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0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C6" s="15">
        <v>23</v>
      </c>
      <c r="D6" s="33"/>
      <c r="E6" s="34"/>
      <c r="F6" s="34"/>
      <c r="G6" s="34"/>
      <c r="I6" s="14"/>
      <c r="J6" s="32" t="s">
        <v>20</v>
      </c>
      <c r="K6" s="15">
        <v>22</v>
      </c>
      <c r="L6" s="33"/>
      <c r="M6" s="10">
        <f t="shared" si="0"/>
        <v>-1</v>
      </c>
      <c r="N6" s="12">
        <f t="shared" si="0"/>
        <v>0</v>
      </c>
      <c r="O6" s="11" t="e">
        <f t="shared" si="1"/>
        <v>#DIV/0!</v>
      </c>
      <c r="Q6" s="14"/>
      <c r="R6" s="32" t="s">
        <v>26</v>
      </c>
      <c r="T6" s="33"/>
      <c r="U6" s="10">
        <f t="shared" si="2"/>
        <v>-22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K7" s="10">
        <v>500</v>
      </c>
      <c r="L7" s="12">
        <v>569204</v>
      </c>
      <c r="M7" s="10">
        <f t="shared" si="0"/>
        <v>141</v>
      </c>
      <c r="N7" s="12">
        <f t="shared" si="0"/>
        <v>120791</v>
      </c>
      <c r="O7" s="11">
        <f t="shared" si="1"/>
        <v>0.26937443829683794</v>
      </c>
      <c r="Q7" s="14"/>
      <c r="R7" s="13" t="s">
        <v>9</v>
      </c>
      <c r="S7" s="10">
        <v>384</v>
      </c>
      <c r="T7" s="12">
        <v>454592</v>
      </c>
      <c r="U7" s="10">
        <f t="shared" si="2"/>
        <v>-116</v>
      </c>
      <c r="V7" s="12">
        <f t="shared" si="3"/>
        <v>-114612</v>
      </c>
      <c r="W7" s="11">
        <f t="shared" si="4"/>
        <v>-0.20135487452653178</v>
      </c>
      <c r="Y7" s="14"/>
      <c r="Z7" s="13" t="s">
        <v>9</v>
      </c>
      <c r="AB7" s="12"/>
      <c r="AC7" s="10">
        <f t="shared" si="5"/>
        <v>-384</v>
      </c>
      <c r="AD7" s="12">
        <f t="shared" si="5"/>
        <v>-454592</v>
      </c>
      <c r="AE7" s="11">
        <f t="shared" si="6"/>
        <v>-1</v>
      </c>
      <c r="AG7" s="14"/>
      <c r="AH7" s="13" t="s">
        <v>9</v>
      </c>
      <c r="AI7" s="13"/>
      <c r="AJ7" s="45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K8" s="10">
        <v>430</v>
      </c>
      <c r="L8" s="12">
        <v>882812</v>
      </c>
      <c r="M8" s="10">
        <f t="shared" si="0"/>
        <v>39</v>
      </c>
      <c r="N8" s="12">
        <f t="shared" si="0"/>
        <v>299927</v>
      </c>
      <c r="O8" s="11">
        <f t="shared" si="1"/>
        <v>0.51455604450277503</v>
      </c>
      <c r="Q8" s="14"/>
      <c r="R8" s="13" t="s">
        <v>8</v>
      </c>
      <c r="S8" s="10">
        <v>305</v>
      </c>
      <c r="T8" s="12">
        <v>375928</v>
      </c>
      <c r="U8" s="10">
        <f t="shared" si="2"/>
        <v>-125</v>
      </c>
      <c r="V8" s="12">
        <f t="shared" si="3"/>
        <v>-506884</v>
      </c>
      <c r="W8" s="11">
        <f t="shared" si="4"/>
        <v>-0.57416981191918548</v>
      </c>
      <c r="Y8" s="14"/>
      <c r="Z8" s="13" t="s">
        <v>8</v>
      </c>
      <c r="AB8" s="12"/>
      <c r="AC8" s="10">
        <f t="shared" si="5"/>
        <v>-305</v>
      </c>
      <c r="AD8" s="12">
        <f t="shared" si="5"/>
        <v>-375928</v>
      </c>
      <c r="AE8" s="11">
        <f t="shared" si="6"/>
        <v>-1</v>
      </c>
      <c r="AG8" s="14"/>
      <c r="AH8" s="13" t="s">
        <v>8</v>
      </c>
      <c r="AI8" s="13"/>
      <c r="AJ8" s="45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K9" s="10">
        <v>161</v>
      </c>
      <c r="L9" s="12">
        <v>956562</v>
      </c>
      <c r="M9" s="10">
        <f t="shared" si="0"/>
        <v>-10</v>
      </c>
      <c r="N9" s="12">
        <f t="shared" si="0"/>
        <v>52572</v>
      </c>
      <c r="O9" s="11">
        <f t="shared" si="1"/>
        <v>5.8155510569807188E-2</v>
      </c>
      <c r="Q9" s="14"/>
      <c r="R9" s="13" t="s">
        <v>7</v>
      </c>
      <c r="S9" s="10">
        <v>116</v>
      </c>
      <c r="T9" s="12">
        <v>733396</v>
      </c>
      <c r="U9" s="10">
        <f t="shared" si="2"/>
        <v>-45</v>
      </c>
      <c r="V9" s="12">
        <f t="shared" si="3"/>
        <v>-223166</v>
      </c>
      <c r="W9" s="11">
        <f t="shared" si="4"/>
        <v>-0.2333000892780604</v>
      </c>
      <c r="Y9" s="14"/>
      <c r="Z9" s="13" t="s">
        <v>7</v>
      </c>
      <c r="AB9" s="12"/>
      <c r="AC9" s="10">
        <f t="shared" si="5"/>
        <v>-116</v>
      </c>
      <c r="AD9" s="12">
        <f t="shared" si="5"/>
        <v>-733396</v>
      </c>
      <c r="AE9" s="11">
        <f t="shared" si="6"/>
        <v>-1</v>
      </c>
      <c r="AG9" s="14"/>
      <c r="AH9" s="13" t="s">
        <v>7</v>
      </c>
      <c r="AI9" s="13"/>
      <c r="AJ9" s="45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K10" s="10">
        <v>137</v>
      </c>
      <c r="L10" s="12">
        <v>2066476</v>
      </c>
      <c r="M10" s="10">
        <f t="shared" si="0"/>
        <v>-28</v>
      </c>
      <c r="N10" s="12">
        <f t="shared" si="0"/>
        <v>-676857</v>
      </c>
      <c r="O10" s="11">
        <f t="shared" si="1"/>
        <v>-0.24672797651615755</v>
      </c>
      <c r="Q10" s="14"/>
      <c r="R10" s="13" t="s">
        <v>6</v>
      </c>
      <c r="S10" s="10">
        <v>82</v>
      </c>
      <c r="T10" s="12">
        <v>1161714</v>
      </c>
      <c r="U10" s="10">
        <f t="shared" si="2"/>
        <v>-55</v>
      </c>
      <c r="V10" s="12">
        <f t="shared" si="3"/>
        <v>-904762</v>
      </c>
      <c r="W10" s="11">
        <f t="shared" si="4"/>
        <v>-0.43782845772222856</v>
      </c>
      <c r="Y10" s="14"/>
      <c r="Z10" s="13" t="s">
        <v>6</v>
      </c>
      <c r="AB10" s="12"/>
      <c r="AC10" s="10">
        <f t="shared" si="5"/>
        <v>-82</v>
      </c>
      <c r="AD10" s="12">
        <f t="shared" si="5"/>
        <v>-1161714</v>
      </c>
      <c r="AE10" s="11">
        <f t="shared" si="6"/>
        <v>-1</v>
      </c>
      <c r="AG10" s="14"/>
      <c r="AH10" s="13" t="s">
        <v>6</v>
      </c>
      <c r="AI10" s="13"/>
      <c r="AJ10" s="45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K11" s="10">
        <v>21</v>
      </c>
      <c r="L11" s="12">
        <v>124470</v>
      </c>
      <c r="M11" s="10">
        <f t="shared" si="0"/>
        <v>-1</v>
      </c>
      <c r="N11" s="12">
        <f t="shared" si="0"/>
        <v>10490</v>
      </c>
      <c r="O11" s="11">
        <f t="shared" si="1"/>
        <v>9.2033690121073874E-2</v>
      </c>
      <c r="Q11" s="14"/>
      <c r="R11" s="13" t="s">
        <v>5</v>
      </c>
      <c r="S11" s="10">
        <v>16</v>
      </c>
      <c r="T11" s="12">
        <v>86940</v>
      </c>
      <c r="U11" s="10">
        <f t="shared" si="2"/>
        <v>-5</v>
      </c>
      <c r="V11" s="12">
        <f t="shared" si="3"/>
        <v>-37530</v>
      </c>
      <c r="W11" s="11">
        <f t="shared" si="4"/>
        <v>-0.30151843817787416</v>
      </c>
      <c r="Y11" s="14"/>
      <c r="Z11" s="13" t="s">
        <v>5</v>
      </c>
      <c r="AB11" s="12"/>
      <c r="AC11" s="10">
        <f t="shared" si="5"/>
        <v>-16</v>
      </c>
      <c r="AD11" s="12">
        <f t="shared" si="5"/>
        <v>-86940</v>
      </c>
      <c r="AE11" s="11">
        <f t="shared" si="6"/>
        <v>-1</v>
      </c>
      <c r="AG11" s="14"/>
      <c r="AH11" s="13" t="s">
        <v>5</v>
      </c>
      <c r="AI11" s="13"/>
      <c r="AJ11" s="45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K12" s="10">
        <v>89</v>
      </c>
      <c r="L12" s="12">
        <v>3715738</v>
      </c>
      <c r="M12" s="10">
        <f t="shared" si="0"/>
        <v>-1</v>
      </c>
      <c r="N12" s="12">
        <f t="shared" si="0"/>
        <v>140062</v>
      </c>
      <c r="O12" s="11">
        <f t="shared" si="1"/>
        <v>3.9170774980730919E-2</v>
      </c>
      <c r="Q12" s="14"/>
      <c r="R12" s="13" t="s">
        <v>4</v>
      </c>
      <c r="S12" s="10">
        <v>41</v>
      </c>
      <c r="T12" s="12">
        <v>1769548</v>
      </c>
      <c r="U12" s="10">
        <f t="shared" si="2"/>
        <v>-48</v>
      </c>
      <c r="V12" s="12">
        <f t="shared" si="3"/>
        <v>-1946190</v>
      </c>
      <c r="W12" s="11">
        <f t="shared" si="4"/>
        <v>-0.52376943691939526</v>
      </c>
      <c r="Y12" s="14"/>
      <c r="Z12" s="13" t="s">
        <v>4</v>
      </c>
      <c r="AB12" s="12"/>
      <c r="AC12" s="10">
        <f t="shared" si="5"/>
        <v>-41</v>
      </c>
      <c r="AD12" s="12">
        <f t="shared" si="5"/>
        <v>-1769548</v>
      </c>
      <c r="AE12" s="11">
        <f t="shared" si="6"/>
        <v>-1</v>
      </c>
      <c r="AG12" s="14"/>
      <c r="AH12" s="13" t="s">
        <v>4</v>
      </c>
      <c r="AI12" s="13"/>
      <c r="AJ12" s="45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K13" s="10">
        <v>122</v>
      </c>
      <c r="L13" s="12">
        <v>2705048</v>
      </c>
      <c r="M13" s="10">
        <f t="shared" si="0"/>
        <v>1</v>
      </c>
      <c r="N13" s="12">
        <f t="shared" si="0"/>
        <v>-276095</v>
      </c>
      <c r="O13" s="11">
        <f t="shared" si="1"/>
        <v>-9.2613806181052027E-2</v>
      </c>
      <c r="Q13" s="14"/>
      <c r="R13" s="13" t="s">
        <v>3</v>
      </c>
      <c r="S13" s="10">
        <v>92</v>
      </c>
      <c r="T13" s="12">
        <v>2215767</v>
      </c>
      <c r="U13" s="10">
        <f t="shared" si="2"/>
        <v>-30</v>
      </c>
      <c r="V13" s="12">
        <f t="shared" si="3"/>
        <v>-489281</v>
      </c>
      <c r="W13" s="11">
        <f t="shared" si="4"/>
        <v>-0.18087701216392463</v>
      </c>
      <c r="Y13" s="14"/>
      <c r="Z13" s="13" t="s">
        <v>3</v>
      </c>
      <c r="AB13" s="12"/>
      <c r="AC13" s="10">
        <f t="shared" si="5"/>
        <v>-92</v>
      </c>
      <c r="AD13" s="12">
        <f t="shared" si="5"/>
        <v>-2215767</v>
      </c>
      <c r="AE13" s="11">
        <f t="shared" si="6"/>
        <v>-1</v>
      </c>
      <c r="AG13" s="14"/>
      <c r="AH13" s="13" t="s">
        <v>3</v>
      </c>
      <c r="AI13" s="13"/>
      <c r="AJ13" s="45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K14" s="10">
        <v>517</v>
      </c>
      <c r="L14" s="12">
        <v>21701050</v>
      </c>
      <c r="M14" s="10">
        <f t="shared" si="0"/>
        <v>-46</v>
      </c>
      <c r="N14" s="12">
        <f t="shared" si="0"/>
        <v>-1190420</v>
      </c>
      <c r="O14" s="11">
        <f t="shared" si="1"/>
        <v>-5.2002776580097304E-2</v>
      </c>
      <c r="Q14" s="14"/>
      <c r="R14" s="13" t="s">
        <v>2</v>
      </c>
      <c r="S14" s="10">
        <v>445</v>
      </c>
      <c r="T14" s="12">
        <v>18568095</v>
      </c>
      <c r="U14" s="10">
        <f t="shared" si="2"/>
        <v>-72</v>
      </c>
      <c r="V14" s="12">
        <f t="shared" si="3"/>
        <v>-3132955</v>
      </c>
      <c r="W14" s="11">
        <f t="shared" si="4"/>
        <v>-0.14436882086350661</v>
      </c>
      <c r="Y14" s="14"/>
      <c r="Z14" s="13" t="s">
        <v>2</v>
      </c>
      <c r="AB14" s="12"/>
      <c r="AC14" s="10">
        <f t="shared" si="5"/>
        <v>-445</v>
      </c>
      <c r="AD14" s="12">
        <f t="shared" si="5"/>
        <v>-18568095</v>
      </c>
      <c r="AE14" s="11">
        <f t="shared" si="6"/>
        <v>-1</v>
      </c>
      <c r="AG14" s="14"/>
      <c r="AH14" s="13" t="s">
        <v>2</v>
      </c>
      <c r="AI14" s="13"/>
      <c r="AJ14" s="45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>
        <v>1977</v>
      </c>
      <c r="L15" s="7">
        <v>32721360</v>
      </c>
      <c r="M15" s="27">
        <f t="shared" si="0"/>
        <v>95</v>
      </c>
      <c r="N15" s="28">
        <f t="shared" si="0"/>
        <v>-1519530</v>
      </c>
      <c r="O15" s="29">
        <f t="shared" si="1"/>
        <v>-4.4377643221306454E-2</v>
      </c>
      <c r="Q15" s="9" t="s">
        <v>27</v>
      </c>
      <c r="R15" s="9"/>
      <c r="S15" s="8">
        <v>1481</v>
      </c>
      <c r="T15" s="7">
        <v>25365980</v>
      </c>
      <c r="U15" s="27">
        <f t="shared" si="2"/>
        <v>-496</v>
      </c>
      <c r="V15" s="28">
        <f t="shared" si="3"/>
        <v>-7355380</v>
      </c>
      <c r="W15" s="29">
        <f t="shared" si="4"/>
        <v>-0.22478833398122816</v>
      </c>
      <c r="Y15" s="9" t="s">
        <v>18</v>
      </c>
      <c r="Z15" s="9"/>
      <c r="AA15" s="8"/>
      <c r="AB15" s="7"/>
      <c r="AC15" s="27">
        <f t="shared" si="5"/>
        <v>-1481</v>
      </c>
      <c r="AD15" s="28">
        <f t="shared" si="5"/>
        <v>-25365980</v>
      </c>
      <c r="AE15" s="29">
        <f t="shared" si="6"/>
        <v>-1</v>
      </c>
      <c r="AG15" s="9" t="s">
        <v>18</v>
      </c>
      <c r="AH15" s="9"/>
      <c r="AI15" s="9"/>
      <c r="AJ15" s="46"/>
      <c r="AK15" s="27">
        <f t="shared" si="7"/>
        <v>0</v>
      </c>
      <c r="AL15" s="28">
        <f t="shared" si="7"/>
        <v>0</v>
      </c>
      <c r="AM15" s="29" t="e">
        <f t="shared" si="8"/>
        <v>#DIV/0!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K16" s="1">
        <v>9228</v>
      </c>
      <c r="L16" s="35"/>
      <c r="M16" s="10">
        <f t="shared" si="0"/>
        <v>-1761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25</v>
      </c>
      <c r="S16" s="1">
        <v>6936</v>
      </c>
      <c r="T16" s="35"/>
      <c r="U16" s="10">
        <f t="shared" si="2"/>
        <v>-2292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B16" s="35"/>
      <c r="AC16" s="10">
        <f t="shared" si="5"/>
        <v>-6936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0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C17" s="1">
        <v>26</v>
      </c>
      <c r="D17" s="35"/>
      <c r="E17" s="10"/>
      <c r="F17" s="12"/>
      <c r="G17" s="36"/>
      <c r="I17" s="14"/>
      <c r="J17" s="32" t="s">
        <v>20</v>
      </c>
      <c r="K17" s="1">
        <v>26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26</v>
      </c>
      <c r="T17" s="35"/>
      <c r="U17" s="10">
        <f t="shared" si="2"/>
        <v>-26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K18" s="10">
        <v>214</v>
      </c>
      <c r="L18" s="12">
        <v>218415</v>
      </c>
      <c r="M18" s="10">
        <f t="shared" si="0"/>
        <v>35</v>
      </c>
      <c r="N18" s="12">
        <f t="shared" si="0"/>
        <v>45505</v>
      </c>
      <c r="O18" s="11">
        <f t="shared" si="1"/>
        <v>0.26317159215776992</v>
      </c>
      <c r="Q18" s="14"/>
      <c r="R18" s="13" t="s">
        <v>9</v>
      </c>
      <c r="S18" s="10">
        <v>198</v>
      </c>
      <c r="T18" s="12">
        <v>192710</v>
      </c>
      <c r="U18" s="10">
        <f t="shared" si="2"/>
        <v>-16</v>
      </c>
      <c r="V18" s="12">
        <f t="shared" si="3"/>
        <v>-25705</v>
      </c>
      <c r="W18" s="11">
        <f t="shared" si="4"/>
        <v>-0.11768880342467321</v>
      </c>
      <c r="Y18" s="14"/>
      <c r="Z18" s="13" t="s">
        <v>9</v>
      </c>
      <c r="AB18" s="12"/>
      <c r="AC18" s="10">
        <f t="shared" si="5"/>
        <v>-198</v>
      </c>
      <c r="AD18" s="12">
        <f t="shared" si="5"/>
        <v>-192710</v>
      </c>
      <c r="AE18" s="11">
        <f t="shared" si="6"/>
        <v>-1</v>
      </c>
      <c r="AG18" s="14"/>
      <c r="AH18" s="13" t="s">
        <v>9</v>
      </c>
      <c r="AI18" s="13"/>
      <c r="AJ18" s="45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K19" s="10">
        <v>273</v>
      </c>
      <c r="L19" s="12">
        <v>350306</v>
      </c>
      <c r="M19" s="10">
        <f t="shared" si="0"/>
        <v>26</v>
      </c>
      <c r="N19" s="12">
        <f t="shared" si="0"/>
        <v>95197</v>
      </c>
      <c r="O19" s="11">
        <f t="shared" si="1"/>
        <v>0.37316206013899939</v>
      </c>
      <c r="Q19" s="14"/>
      <c r="R19" s="13" t="s">
        <v>8</v>
      </c>
      <c r="S19" s="10">
        <v>153</v>
      </c>
      <c r="T19" s="12">
        <v>170870</v>
      </c>
      <c r="U19" s="10">
        <f t="shared" si="2"/>
        <v>-120</v>
      </c>
      <c r="V19" s="12">
        <f t="shared" si="3"/>
        <v>-179436</v>
      </c>
      <c r="W19" s="11">
        <f t="shared" si="4"/>
        <v>-0.51222645344356077</v>
      </c>
      <c r="Y19" s="14"/>
      <c r="Z19" s="13" t="s">
        <v>8</v>
      </c>
      <c r="AB19" s="12"/>
      <c r="AC19" s="10">
        <f t="shared" si="5"/>
        <v>-153</v>
      </c>
      <c r="AD19" s="12">
        <f t="shared" si="5"/>
        <v>-170870</v>
      </c>
      <c r="AE19" s="11">
        <f t="shared" si="6"/>
        <v>-1</v>
      </c>
      <c r="AG19" s="14"/>
      <c r="AH19" s="13" t="s">
        <v>8</v>
      </c>
      <c r="AI19" s="13"/>
      <c r="AJ19" s="45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K20" s="10">
        <v>92</v>
      </c>
      <c r="L20" s="12">
        <v>519863</v>
      </c>
      <c r="M20" s="10">
        <f t="shared" si="0"/>
        <v>26</v>
      </c>
      <c r="N20" s="12">
        <f t="shared" si="0"/>
        <v>120015</v>
      </c>
      <c r="O20" s="11">
        <f t="shared" si="1"/>
        <v>0.30015155759188494</v>
      </c>
      <c r="Q20" s="14"/>
      <c r="R20" s="13" t="s">
        <v>7</v>
      </c>
      <c r="S20" s="10">
        <v>56</v>
      </c>
      <c r="T20" s="12">
        <v>328038</v>
      </c>
      <c r="U20" s="10">
        <f t="shared" si="2"/>
        <v>-36</v>
      </c>
      <c r="V20" s="12">
        <f t="shared" si="3"/>
        <v>-191825</v>
      </c>
      <c r="W20" s="11">
        <f t="shared" si="4"/>
        <v>-0.36899144582322652</v>
      </c>
      <c r="Y20" s="14"/>
      <c r="Z20" s="13" t="s">
        <v>7</v>
      </c>
      <c r="AB20" s="12"/>
      <c r="AC20" s="10">
        <f t="shared" si="5"/>
        <v>-56</v>
      </c>
      <c r="AD20" s="12">
        <f t="shared" si="5"/>
        <v>-328038</v>
      </c>
      <c r="AE20" s="11">
        <f t="shared" si="6"/>
        <v>-1</v>
      </c>
      <c r="AG20" s="14"/>
      <c r="AH20" s="13" t="s">
        <v>7</v>
      </c>
      <c r="AI20" s="13"/>
      <c r="AJ20" s="45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K21" s="10">
        <v>63</v>
      </c>
      <c r="L21" s="12">
        <v>997333</v>
      </c>
      <c r="M21" s="10">
        <f t="shared" si="0"/>
        <v>0</v>
      </c>
      <c r="N21" s="12">
        <f t="shared" si="0"/>
        <v>36914</v>
      </c>
      <c r="O21" s="11">
        <f t="shared" si="1"/>
        <v>3.843530792289615E-2</v>
      </c>
      <c r="Q21" s="14"/>
      <c r="R21" s="13" t="s">
        <v>6</v>
      </c>
      <c r="S21" s="10">
        <v>35</v>
      </c>
      <c r="T21" s="12">
        <v>497619</v>
      </c>
      <c r="U21" s="10">
        <f t="shared" si="2"/>
        <v>-28</v>
      </c>
      <c r="V21" s="12">
        <f t="shared" si="3"/>
        <v>-499714</v>
      </c>
      <c r="W21" s="11">
        <f t="shared" si="4"/>
        <v>-0.5010503011531755</v>
      </c>
      <c r="Y21" s="14"/>
      <c r="Z21" s="13" t="s">
        <v>6</v>
      </c>
      <c r="AB21" s="12"/>
      <c r="AC21" s="10">
        <f t="shared" si="5"/>
        <v>-35</v>
      </c>
      <c r="AD21" s="12">
        <f t="shared" si="5"/>
        <v>-497619</v>
      </c>
      <c r="AE21" s="11">
        <f t="shared" si="6"/>
        <v>-1</v>
      </c>
      <c r="AG21" s="14"/>
      <c r="AH21" s="13" t="s">
        <v>6</v>
      </c>
      <c r="AI21" s="13"/>
      <c r="AJ21" s="45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K22" s="10">
        <v>12</v>
      </c>
      <c r="L22" s="12">
        <v>80080</v>
      </c>
      <c r="M22" s="10">
        <f t="shared" si="0"/>
        <v>-17</v>
      </c>
      <c r="N22" s="12">
        <f t="shared" si="0"/>
        <v>-97230</v>
      </c>
      <c r="O22" s="11">
        <f t="shared" si="1"/>
        <v>-0.54836162652980658</v>
      </c>
      <c r="Q22" s="14"/>
      <c r="R22" s="13" t="s">
        <v>5</v>
      </c>
      <c r="S22" s="10">
        <v>16</v>
      </c>
      <c r="T22" s="12">
        <v>91640</v>
      </c>
      <c r="U22" s="10">
        <f t="shared" si="2"/>
        <v>4</v>
      </c>
      <c r="V22" s="12">
        <f t="shared" si="3"/>
        <v>11560</v>
      </c>
      <c r="W22" s="11">
        <f t="shared" si="4"/>
        <v>0.14435564435564435</v>
      </c>
      <c r="Y22" s="14"/>
      <c r="Z22" s="13" t="s">
        <v>5</v>
      </c>
      <c r="AB22" s="12"/>
      <c r="AC22" s="10">
        <f t="shared" si="5"/>
        <v>-16</v>
      </c>
      <c r="AD22" s="12">
        <f t="shared" si="5"/>
        <v>-91640</v>
      </c>
      <c r="AE22" s="11">
        <f t="shared" si="6"/>
        <v>-1</v>
      </c>
      <c r="AG22" s="14"/>
      <c r="AH22" s="13" t="s">
        <v>5</v>
      </c>
      <c r="AI22" s="13"/>
      <c r="AJ22" s="45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K23" s="10">
        <v>19</v>
      </c>
      <c r="L23" s="12">
        <v>633048</v>
      </c>
      <c r="M23" s="10">
        <f t="shared" si="0"/>
        <v>0</v>
      </c>
      <c r="N23" s="12">
        <f t="shared" si="0"/>
        <v>-50666</v>
      </c>
      <c r="O23" s="11">
        <f t="shared" si="1"/>
        <v>-7.4104084456366265E-2</v>
      </c>
      <c r="Q23" s="14"/>
      <c r="R23" s="13" t="s">
        <v>4</v>
      </c>
      <c r="S23" s="10">
        <v>15</v>
      </c>
      <c r="T23" s="12">
        <v>617324</v>
      </c>
      <c r="U23" s="10">
        <f t="shared" si="2"/>
        <v>-4</v>
      </c>
      <c r="V23" s="12">
        <f t="shared" si="3"/>
        <v>-15724</v>
      </c>
      <c r="W23" s="11">
        <f t="shared" si="4"/>
        <v>-2.4838558845458797E-2</v>
      </c>
      <c r="Y23" s="14"/>
      <c r="Z23" s="13" t="s">
        <v>4</v>
      </c>
      <c r="AB23" s="12"/>
      <c r="AC23" s="10">
        <f t="shared" si="5"/>
        <v>-15</v>
      </c>
      <c r="AD23" s="12">
        <f t="shared" si="5"/>
        <v>-617324</v>
      </c>
      <c r="AE23" s="11">
        <f t="shared" si="6"/>
        <v>-1</v>
      </c>
      <c r="AG23" s="14"/>
      <c r="AH23" s="13" t="s">
        <v>4</v>
      </c>
      <c r="AI23" s="13"/>
      <c r="AJ23" s="45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K24" s="10">
        <v>41</v>
      </c>
      <c r="L24" s="12">
        <v>914286</v>
      </c>
      <c r="M24" s="10">
        <f t="shared" si="0"/>
        <v>2</v>
      </c>
      <c r="N24" s="12">
        <f t="shared" si="0"/>
        <v>98000</v>
      </c>
      <c r="O24" s="11">
        <f t="shared" si="1"/>
        <v>0.12005596077845265</v>
      </c>
      <c r="Q24" s="14"/>
      <c r="R24" s="13" t="s">
        <v>3</v>
      </c>
      <c r="S24" s="10">
        <v>26</v>
      </c>
      <c r="T24" s="12">
        <v>563619</v>
      </c>
      <c r="U24" s="10">
        <f t="shared" si="2"/>
        <v>-15</v>
      </c>
      <c r="V24" s="12">
        <f t="shared" si="3"/>
        <v>-350667</v>
      </c>
      <c r="W24" s="11">
        <f t="shared" si="4"/>
        <v>-0.38354191139315269</v>
      </c>
      <c r="Y24" s="14"/>
      <c r="Z24" s="13" t="s">
        <v>3</v>
      </c>
      <c r="AB24" s="12"/>
      <c r="AC24" s="10">
        <f t="shared" si="5"/>
        <v>-26</v>
      </c>
      <c r="AD24" s="12">
        <f t="shared" si="5"/>
        <v>-563619</v>
      </c>
      <c r="AE24" s="11">
        <f t="shared" si="6"/>
        <v>-1</v>
      </c>
      <c r="AG24" s="14"/>
      <c r="AH24" s="13" t="s">
        <v>3</v>
      </c>
      <c r="AI24" s="13"/>
      <c r="AJ24" s="45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K25" s="10">
        <v>196</v>
      </c>
      <c r="L25" s="12">
        <v>8794667</v>
      </c>
      <c r="M25" s="10">
        <f t="shared" si="0"/>
        <v>39</v>
      </c>
      <c r="N25" s="12">
        <f t="shared" si="0"/>
        <v>1374381</v>
      </c>
      <c r="O25" s="11">
        <f t="shared" si="1"/>
        <v>0.18521941068039696</v>
      </c>
      <c r="Q25" s="14"/>
      <c r="R25" s="13" t="s">
        <v>2</v>
      </c>
      <c r="S25" s="10">
        <v>160</v>
      </c>
      <c r="T25" s="12">
        <v>7439048</v>
      </c>
      <c r="U25" s="10">
        <f t="shared" si="2"/>
        <v>-36</v>
      </c>
      <c r="V25" s="12">
        <f t="shared" si="3"/>
        <v>-1355619</v>
      </c>
      <c r="W25" s="11">
        <f t="shared" si="4"/>
        <v>-0.15414102660168941</v>
      </c>
      <c r="Y25" s="14"/>
      <c r="Z25" s="13" t="s">
        <v>2</v>
      </c>
      <c r="AB25" s="12"/>
      <c r="AC25" s="10">
        <f t="shared" si="5"/>
        <v>-160</v>
      </c>
      <c r="AD25" s="12">
        <f t="shared" si="5"/>
        <v>-7439048</v>
      </c>
      <c r="AE25" s="11">
        <f t="shared" si="6"/>
        <v>-1</v>
      </c>
      <c r="AG25" s="14"/>
      <c r="AH25" s="13" t="s">
        <v>2</v>
      </c>
      <c r="AI25" s="13"/>
      <c r="AJ25" s="45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>
        <v>910</v>
      </c>
      <c r="L26" s="7">
        <v>12507998</v>
      </c>
      <c r="M26" s="27">
        <f t="shared" si="0"/>
        <v>111</v>
      </c>
      <c r="N26" s="28">
        <f t="shared" si="0"/>
        <v>1622116</v>
      </c>
      <c r="O26" s="29">
        <f t="shared" si="1"/>
        <v>0.14901098505385232</v>
      </c>
      <c r="Q26" s="9" t="s">
        <v>12</v>
      </c>
      <c r="R26" s="9"/>
      <c r="S26" s="8">
        <v>659</v>
      </c>
      <c r="T26" s="7">
        <v>9900868</v>
      </c>
      <c r="U26" s="27">
        <f t="shared" si="2"/>
        <v>-251</v>
      </c>
      <c r="V26" s="28">
        <f t="shared" si="3"/>
        <v>-2607130</v>
      </c>
      <c r="W26" s="29">
        <f t="shared" si="4"/>
        <v>-0.20843703364839042</v>
      </c>
      <c r="Y26" s="9" t="s">
        <v>12</v>
      </c>
      <c r="Z26" s="9"/>
      <c r="AA26" s="8"/>
      <c r="AB26" s="7"/>
      <c r="AC26" s="27">
        <f t="shared" si="5"/>
        <v>-659</v>
      </c>
      <c r="AD26" s="28">
        <f t="shared" si="5"/>
        <v>-9900868</v>
      </c>
      <c r="AE26" s="29">
        <f t="shared" si="6"/>
        <v>-1</v>
      </c>
      <c r="AG26" s="9" t="s">
        <v>12</v>
      </c>
      <c r="AH26" s="9"/>
      <c r="AI26" s="9"/>
      <c r="AJ26" s="46"/>
      <c r="AK26" s="27">
        <f t="shared" si="7"/>
        <v>0</v>
      </c>
      <c r="AL26" s="28">
        <f t="shared" si="7"/>
        <v>0</v>
      </c>
      <c r="AM26" s="29" t="e">
        <f t="shared" si="8"/>
        <v>#DIV/0!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K27" s="1">
        <v>8499</v>
      </c>
      <c r="L27" s="35"/>
      <c r="M27" s="10">
        <f t="shared" si="0"/>
        <v>-1349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25</v>
      </c>
      <c r="S27" s="1">
        <v>5245</v>
      </c>
      <c r="T27" s="35"/>
      <c r="U27" s="10">
        <f t="shared" si="2"/>
        <v>-3254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B27" s="35"/>
      <c r="AC27" s="10">
        <f t="shared" si="5"/>
        <v>-5245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C28" s="1">
        <v>5</v>
      </c>
      <c r="D28" s="35"/>
      <c r="E28" s="10"/>
      <c r="F28" s="12"/>
      <c r="G28" s="36"/>
      <c r="I28" s="14"/>
      <c r="J28" s="32" t="s">
        <v>20</v>
      </c>
      <c r="K28" s="1">
        <v>3</v>
      </c>
      <c r="L28" s="35"/>
      <c r="M28" s="10">
        <f t="shared" si="0"/>
        <v>-2</v>
      </c>
      <c r="N28" s="12">
        <f t="shared" si="0"/>
        <v>0</v>
      </c>
      <c r="O28" s="11" t="e">
        <f t="shared" si="1"/>
        <v>#DIV/0!</v>
      </c>
      <c r="Q28" s="14"/>
      <c r="R28" s="32" t="s">
        <v>26</v>
      </c>
      <c r="T28" s="35"/>
      <c r="U28" s="10">
        <f t="shared" si="2"/>
        <v>-3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B28" s="35"/>
      <c r="AC28" s="10">
        <f t="shared" si="5"/>
        <v>0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0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K29" s="10">
        <v>136</v>
      </c>
      <c r="L29" s="12">
        <v>146234</v>
      </c>
      <c r="M29" s="10">
        <f t="shared" si="0"/>
        <v>20</v>
      </c>
      <c r="N29" s="12">
        <f t="shared" si="0"/>
        <v>5767</v>
      </c>
      <c r="O29" s="11">
        <f t="shared" si="1"/>
        <v>4.1055906369467564E-2</v>
      </c>
      <c r="Q29" s="14"/>
      <c r="R29" s="13" t="s">
        <v>9</v>
      </c>
      <c r="S29" s="10">
        <v>91</v>
      </c>
      <c r="T29" s="12">
        <v>107237</v>
      </c>
      <c r="U29" s="10">
        <f t="shared" si="2"/>
        <v>-45</v>
      </c>
      <c r="V29" s="12">
        <f t="shared" si="3"/>
        <v>-38997</v>
      </c>
      <c r="W29" s="11">
        <f t="shared" si="4"/>
        <v>-0.26667532858295606</v>
      </c>
      <c r="Y29" s="14"/>
      <c r="Z29" s="13" t="s">
        <v>9</v>
      </c>
      <c r="AB29" s="12"/>
      <c r="AC29" s="10">
        <f t="shared" si="5"/>
        <v>-91</v>
      </c>
      <c r="AD29" s="12">
        <f t="shared" si="5"/>
        <v>-107237</v>
      </c>
      <c r="AE29" s="11">
        <f t="shared" si="6"/>
        <v>-1</v>
      </c>
      <c r="AG29" s="14"/>
      <c r="AH29" s="13" t="s">
        <v>9</v>
      </c>
      <c r="AI29" s="13"/>
      <c r="AJ29" s="45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K30" s="10">
        <v>105</v>
      </c>
      <c r="L30" s="12">
        <v>102525</v>
      </c>
      <c r="M30" s="10">
        <f t="shared" si="0"/>
        <v>1</v>
      </c>
      <c r="N30" s="12">
        <f t="shared" si="0"/>
        <v>14818</v>
      </c>
      <c r="O30" s="11">
        <f t="shared" si="1"/>
        <v>0.16894888663390609</v>
      </c>
      <c r="Q30" s="14"/>
      <c r="R30" s="13" t="s">
        <v>8</v>
      </c>
      <c r="S30" s="10">
        <v>66</v>
      </c>
      <c r="T30" s="12">
        <v>60752</v>
      </c>
      <c r="U30" s="10">
        <f t="shared" si="2"/>
        <v>-39</v>
      </c>
      <c r="V30" s="12">
        <f t="shared" si="3"/>
        <v>-41773</v>
      </c>
      <c r="W30" s="11">
        <f t="shared" si="4"/>
        <v>-0.40744208729578152</v>
      </c>
      <c r="Y30" s="14"/>
      <c r="Z30" s="13" t="s">
        <v>8</v>
      </c>
      <c r="AB30" s="12"/>
      <c r="AC30" s="10">
        <f t="shared" si="5"/>
        <v>-66</v>
      </c>
      <c r="AD30" s="12">
        <f t="shared" si="5"/>
        <v>-60752</v>
      </c>
      <c r="AE30" s="11">
        <f t="shared" si="6"/>
        <v>-1</v>
      </c>
      <c r="AG30" s="14"/>
      <c r="AH30" s="13" t="s">
        <v>8</v>
      </c>
      <c r="AI30" s="13"/>
      <c r="AJ30" s="45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K31" s="10">
        <v>36</v>
      </c>
      <c r="L31" s="12">
        <v>196133</v>
      </c>
      <c r="M31" s="10">
        <f t="shared" si="0"/>
        <v>-2</v>
      </c>
      <c r="N31" s="12">
        <f t="shared" si="0"/>
        <v>-16267</v>
      </c>
      <c r="O31" s="11">
        <f t="shared" si="1"/>
        <v>-7.6586629001883233E-2</v>
      </c>
      <c r="Q31" s="14"/>
      <c r="R31" s="13" t="s">
        <v>7</v>
      </c>
      <c r="S31" s="10">
        <v>22</v>
      </c>
      <c r="T31" s="12">
        <v>135981</v>
      </c>
      <c r="U31" s="10">
        <f t="shared" si="2"/>
        <v>-14</v>
      </c>
      <c r="V31" s="12">
        <f t="shared" si="3"/>
        <v>-60152</v>
      </c>
      <c r="W31" s="11">
        <f t="shared" si="4"/>
        <v>-0.3066898482152417</v>
      </c>
      <c r="Y31" s="14"/>
      <c r="Z31" s="13" t="s">
        <v>7</v>
      </c>
      <c r="AB31" s="12"/>
      <c r="AC31" s="10">
        <f t="shared" si="5"/>
        <v>-22</v>
      </c>
      <c r="AD31" s="12">
        <f t="shared" si="5"/>
        <v>-135981</v>
      </c>
      <c r="AE31" s="11">
        <f t="shared" si="6"/>
        <v>-1</v>
      </c>
      <c r="AG31" s="14"/>
      <c r="AH31" s="13" t="s">
        <v>7</v>
      </c>
      <c r="AI31" s="13"/>
      <c r="AJ31" s="45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K32" s="10">
        <v>11</v>
      </c>
      <c r="L32" s="12">
        <v>190857</v>
      </c>
      <c r="M32" s="10">
        <f t="shared" si="0"/>
        <v>-29</v>
      </c>
      <c r="N32" s="12">
        <f t="shared" si="0"/>
        <v>-397333</v>
      </c>
      <c r="O32" s="11">
        <f t="shared" si="1"/>
        <v>-0.67551811489484692</v>
      </c>
      <c r="Q32" s="14"/>
      <c r="R32" s="13" t="s">
        <v>6</v>
      </c>
      <c r="S32" s="10">
        <v>13</v>
      </c>
      <c r="T32" s="12">
        <v>186952</v>
      </c>
      <c r="U32" s="10">
        <f t="shared" si="2"/>
        <v>2</v>
      </c>
      <c r="V32" s="12">
        <f t="shared" si="3"/>
        <v>-3905</v>
      </c>
      <c r="W32" s="11">
        <f t="shared" si="4"/>
        <v>-2.0460344655946597E-2</v>
      </c>
      <c r="Y32" s="14"/>
      <c r="Z32" s="13" t="s">
        <v>6</v>
      </c>
      <c r="AB32" s="12"/>
      <c r="AC32" s="10">
        <f t="shared" si="5"/>
        <v>-13</v>
      </c>
      <c r="AD32" s="12">
        <f t="shared" si="5"/>
        <v>-186952</v>
      </c>
      <c r="AE32" s="11">
        <f t="shared" si="6"/>
        <v>-1</v>
      </c>
      <c r="AG32" s="14"/>
      <c r="AH32" s="13" t="s">
        <v>6</v>
      </c>
      <c r="AI32" s="13"/>
      <c r="AJ32" s="45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K33" s="10">
        <v>3</v>
      </c>
      <c r="L33" s="12">
        <v>7970</v>
      </c>
      <c r="M33" s="10">
        <f t="shared" si="0"/>
        <v>1</v>
      </c>
      <c r="N33" s="12">
        <f t="shared" si="0"/>
        <v>-10</v>
      </c>
      <c r="O33" s="11">
        <f t="shared" si="1"/>
        <v>-1.2531328320802004E-3</v>
      </c>
      <c r="Q33" s="14"/>
      <c r="R33" s="13" t="s">
        <v>5</v>
      </c>
      <c r="S33" s="10">
        <v>0</v>
      </c>
      <c r="T33" s="12">
        <v>0</v>
      </c>
      <c r="U33" s="10">
        <f t="shared" si="2"/>
        <v>-3</v>
      </c>
      <c r="V33" s="12">
        <f t="shared" si="3"/>
        <v>-7970</v>
      </c>
      <c r="W33" s="11">
        <f t="shared" si="4"/>
        <v>-1</v>
      </c>
      <c r="Y33" s="14"/>
      <c r="Z33" s="13" t="s">
        <v>5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K34" s="10">
        <v>3</v>
      </c>
      <c r="L34" s="12">
        <v>90848</v>
      </c>
      <c r="M34" s="10">
        <f t="shared" si="0"/>
        <v>0</v>
      </c>
      <c r="N34" s="12">
        <f t="shared" si="0"/>
        <v>658</v>
      </c>
      <c r="O34" s="11">
        <f t="shared" si="1"/>
        <v>7.2957090586539524E-3</v>
      </c>
      <c r="Q34" s="14"/>
      <c r="R34" s="13" t="s">
        <v>4</v>
      </c>
      <c r="S34" s="10">
        <v>1</v>
      </c>
      <c r="T34" s="12">
        <v>24667</v>
      </c>
      <c r="U34" s="10">
        <f t="shared" si="2"/>
        <v>-2</v>
      </c>
      <c r="V34" s="12">
        <f t="shared" si="3"/>
        <v>-66181</v>
      </c>
      <c r="W34" s="11">
        <f t="shared" si="4"/>
        <v>-0.7284805389221557</v>
      </c>
      <c r="Y34" s="14"/>
      <c r="Z34" s="13" t="s">
        <v>4</v>
      </c>
      <c r="AB34" s="12"/>
      <c r="AC34" s="10">
        <f t="shared" si="5"/>
        <v>-1</v>
      </c>
      <c r="AD34" s="12">
        <f t="shared" si="5"/>
        <v>-24667</v>
      </c>
      <c r="AE34" s="11">
        <f t="shared" si="6"/>
        <v>-1</v>
      </c>
      <c r="AG34" s="14"/>
      <c r="AH34" s="13" t="s">
        <v>4</v>
      </c>
      <c r="AI34" s="13"/>
      <c r="AJ34" s="45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K35" s="10">
        <v>12</v>
      </c>
      <c r="L35" s="12">
        <v>275810</v>
      </c>
      <c r="M35" s="10">
        <f t="shared" si="0"/>
        <v>-4</v>
      </c>
      <c r="N35" s="12">
        <f t="shared" si="0"/>
        <v>7334</v>
      </c>
      <c r="O35" s="11">
        <f t="shared" si="1"/>
        <v>2.7317153116107211E-2</v>
      </c>
      <c r="Q35" s="14"/>
      <c r="R35" s="13" t="s">
        <v>3</v>
      </c>
      <c r="S35" s="10">
        <v>3</v>
      </c>
      <c r="T35" s="12">
        <v>81238</v>
      </c>
      <c r="U35" s="10">
        <f t="shared" si="2"/>
        <v>-9</v>
      </c>
      <c r="V35" s="12">
        <f t="shared" si="3"/>
        <v>-194572</v>
      </c>
      <c r="W35" s="11">
        <f t="shared" si="4"/>
        <v>-0.70545665494362064</v>
      </c>
      <c r="Y35" s="14"/>
      <c r="Z35" s="13" t="s">
        <v>3</v>
      </c>
      <c r="AB35" s="12"/>
      <c r="AC35" s="10">
        <f t="shared" si="5"/>
        <v>-3</v>
      </c>
      <c r="AD35" s="12">
        <f t="shared" si="5"/>
        <v>-81238</v>
      </c>
      <c r="AE35" s="11">
        <f t="shared" si="6"/>
        <v>-1</v>
      </c>
      <c r="AG35" s="14"/>
      <c r="AH35" s="13" t="s">
        <v>3</v>
      </c>
      <c r="AI35" s="13"/>
      <c r="AJ35" s="45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K36" s="10">
        <v>44</v>
      </c>
      <c r="L36" s="12">
        <v>2032952</v>
      </c>
      <c r="M36" s="10">
        <f t="shared" si="0"/>
        <v>26</v>
      </c>
      <c r="N36" s="12">
        <f t="shared" si="0"/>
        <v>1202608</v>
      </c>
      <c r="O36" s="11">
        <f t="shared" si="1"/>
        <v>1.4483250315531877</v>
      </c>
      <c r="Q36" s="14"/>
      <c r="R36" s="13" t="s">
        <v>2</v>
      </c>
      <c r="S36" s="10">
        <v>59</v>
      </c>
      <c r="T36" s="12">
        <v>2762000</v>
      </c>
      <c r="U36" s="10">
        <f t="shared" si="2"/>
        <v>15</v>
      </c>
      <c r="V36" s="12">
        <f t="shared" si="3"/>
        <v>729048</v>
      </c>
      <c r="W36" s="11">
        <f t="shared" si="4"/>
        <v>0.35861545181588156</v>
      </c>
      <c r="Y36" s="14"/>
      <c r="Z36" s="13" t="s">
        <v>2</v>
      </c>
      <c r="AB36" s="12"/>
      <c r="AC36" s="10">
        <f t="shared" si="5"/>
        <v>-59</v>
      </c>
      <c r="AD36" s="12">
        <f t="shared" si="5"/>
        <v>-2762000</v>
      </c>
      <c r="AE36" s="11">
        <f t="shared" si="6"/>
        <v>-1</v>
      </c>
      <c r="AG36" s="14"/>
      <c r="AH36" s="13" t="s">
        <v>2</v>
      </c>
      <c r="AI36" s="13"/>
      <c r="AJ36" s="45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>
        <v>350</v>
      </c>
      <c r="L37" s="7">
        <v>3043329</v>
      </c>
      <c r="M37" s="27">
        <f t="shared" si="0"/>
        <v>13</v>
      </c>
      <c r="N37" s="28">
        <f t="shared" si="0"/>
        <v>817575</v>
      </c>
      <c r="O37" s="29">
        <f t="shared" si="1"/>
        <v>0.36732496044037211</v>
      </c>
      <c r="Q37" s="9" t="s">
        <v>11</v>
      </c>
      <c r="R37" s="9"/>
      <c r="S37" s="8">
        <v>255</v>
      </c>
      <c r="T37" s="7">
        <v>3358827</v>
      </c>
      <c r="U37" s="27">
        <f t="shared" si="2"/>
        <v>-95</v>
      </c>
      <c r="V37" s="28">
        <f t="shared" si="3"/>
        <v>315498</v>
      </c>
      <c r="W37" s="29">
        <f t="shared" si="4"/>
        <v>0.10366871278129969</v>
      </c>
      <c r="Y37" s="9" t="s">
        <v>11</v>
      </c>
      <c r="Z37" s="9"/>
      <c r="AA37" s="8"/>
      <c r="AB37" s="7"/>
      <c r="AC37" s="27">
        <f t="shared" si="5"/>
        <v>-255</v>
      </c>
      <c r="AD37" s="28">
        <f t="shared" si="5"/>
        <v>-3358827</v>
      </c>
      <c r="AE37" s="29">
        <f t="shared" si="6"/>
        <v>-1</v>
      </c>
      <c r="AG37" s="9" t="s">
        <v>11</v>
      </c>
      <c r="AH37" s="9"/>
      <c r="AI37" s="9"/>
      <c r="AJ37" s="46"/>
      <c r="AK37" s="27">
        <f t="shared" si="7"/>
        <v>0</v>
      </c>
      <c r="AL37" s="28">
        <f t="shared" si="7"/>
        <v>0</v>
      </c>
      <c r="AM37" s="29" t="e">
        <f t="shared" si="8"/>
        <v>#DIV/0!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K38" s="1">
        <v>4044</v>
      </c>
      <c r="L38" s="35"/>
      <c r="M38" s="10">
        <f t="shared" si="0"/>
        <v>-524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25</v>
      </c>
      <c r="S38" s="1">
        <v>2648</v>
      </c>
      <c r="T38" s="35"/>
      <c r="U38" s="10">
        <f t="shared" si="2"/>
        <v>-1396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B38" s="35"/>
      <c r="AC38" s="10">
        <f t="shared" si="5"/>
        <v>-2648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12</v>
      </c>
      <c r="L39" s="35"/>
      <c r="M39" s="10">
        <f t="shared" si="0"/>
        <v>10</v>
      </c>
      <c r="N39" s="12">
        <f t="shared" si="0"/>
        <v>0</v>
      </c>
      <c r="O39" s="11" t="e">
        <f t="shared" si="1"/>
        <v>#DIV/0!</v>
      </c>
      <c r="Q39" s="14"/>
      <c r="R39" s="32" t="s">
        <v>26</v>
      </c>
      <c r="T39" s="35"/>
      <c r="U39" s="10">
        <f t="shared" si="2"/>
        <v>-12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B39" s="35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K40" s="10">
        <v>194</v>
      </c>
      <c r="L40" s="12">
        <v>189000</v>
      </c>
      <c r="M40" s="10">
        <f t="shared" si="0"/>
        <v>66</v>
      </c>
      <c r="N40" s="12">
        <f t="shared" si="0"/>
        <v>67602</v>
      </c>
      <c r="O40" s="11">
        <f t="shared" si="1"/>
        <v>0.55686255127761575</v>
      </c>
      <c r="Q40" s="14"/>
      <c r="R40" s="13" t="s">
        <v>9</v>
      </c>
      <c r="S40" s="10">
        <v>173</v>
      </c>
      <c r="T40" s="12">
        <v>152649</v>
      </c>
      <c r="U40" s="10">
        <f t="shared" si="2"/>
        <v>-21</v>
      </c>
      <c r="V40" s="12">
        <f t="shared" si="3"/>
        <v>-36351</v>
      </c>
      <c r="W40" s="11">
        <f t="shared" si="4"/>
        <v>-0.19233333333333333</v>
      </c>
      <c r="Y40" s="14"/>
      <c r="Z40" s="13" t="s">
        <v>9</v>
      </c>
      <c r="AB40" s="12"/>
      <c r="AC40" s="10">
        <f t="shared" si="5"/>
        <v>-173</v>
      </c>
      <c r="AD40" s="12">
        <f t="shared" si="5"/>
        <v>-152649</v>
      </c>
      <c r="AE40" s="11">
        <f t="shared" si="6"/>
        <v>-1</v>
      </c>
      <c r="AG40" s="14"/>
      <c r="AH40" s="13" t="s">
        <v>9</v>
      </c>
      <c r="AI40" s="13"/>
      <c r="AJ40" s="45"/>
      <c r="AK40" s="10">
        <f t="shared" si="7"/>
        <v>0</v>
      </c>
      <c r="AL40" s="12">
        <f t="shared" si="7"/>
        <v>0</v>
      </c>
      <c r="AM40" s="11" t="e">
        <f t="shared" si="8"/>
        <v>#DIV/0!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K41" s="10">
        <v>119</v>
      </c>
      <c r="L41" s="12">
        <v>119887</v>
      </c>
      <c r="M41" s="10">
        <f t="shared" si="0"/>
        <v>44</v>
      </c>
      <c r="N41" s="12">
        <f t="shared" si="0"/>
        <v>51106</v>
      </c>
      <c r="O41" s="11">
        <f t="shared" si="1"/>
        <v>0.74302496328928047</v>
      </c>
      <c r="Q41" s="14"/>
      <c r="R41" s="13" t="s">
        <v>8</v>
      </c>
      <c r="S41" s="10">
        <v>100</v>
      </c>
      <c r="T41" s="12">
        <v>118630</v>
      </c>
      <c r="U41" s="10">
        <f t="shared" si="2"/>
        <v>-19</v>
      </c>
      <c r="V41" s="12">
        <f t="shared" si="3"/>
        <v>-1257</v>
      </c>
      <c r="W41" s="11">
        <f t="shared" si="4"/>
        <v>-1.048487325564907E-2</v>
      </c>
      <c r="Y41" s="14"/>
      <c r="Z41" s="13" t="s">
        <v>8</v>
      </c>
      <c r="AB41" s="12"/>
      <c r="AC41" s="10">
        <f t="shared" si="5"/>
        <v>-100</v>
      </c>
      <c r="AD41" s="12">
        <f t="shared" si="5"/>
        <v>-118630</v>
      </c>
      <c r="AE41" s="11">
        <f t="shared" si="6"/>
        <v>-1</v>
      </c>
      <c r="AG41" s="14"/>
      <c r="AH41" s="13" t="s">
        <v>8</v>
      </c>
      <c r="AI41" s="13"/>
      <c r="AJ41" s="45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K42" s="10">
        <v>19</v>
      </c>
      <c r="L42" s="12">
        <v>108105</v>
      </c>
      <c r="M42" s="10">
        <f t="shared" si="0"/>
        <v>-2</v>
      </c>
      <c r="N42" s="12">
        <f t="shared" si="0"/>
        <v>-26148</v>
      </c>
      <c r="O42" s="11">
        <f t="shared" si="1"/>
        <v>-0.19476659739447164</v>
      </c>
      <c r="Q42" s="14"/>
      <c r="R42" s="13" t="s">
        <v>7</v>
      </c>
      <c r="S42" s="10">
        <v>26</v>
      </c>
      <c r="T42" s="12">
        <v>139181</v>
      </c>
      <c r="U42" s="10">
        <f t="shared" si="2"/>
        <v>7</v>
      </c>
      <c r="V42" s="12">
        <f t="shared" si="3"/>
        <v>31076</v>
      </c>
      <c r="W42" s="11">
        <f t="shared" si="4"/>
        <v>0.28746126451135467</v>
      </c>
      <c r="Y42" s="14"/>
      <c r="Z42" s="13" t="s">
        <v>7</v>
      </c>
      <c r="AB42" s="12"/>
      <c r="AC42" s="10">
        <f t="shared" si="5"/>
        <v>-26</v>
      </c>
      <c r="AD42" s="12">
        <f t="shared" si="5"/>
        <v>-139181</v>
      </c>
      <c r="AE42" s="11">
        <f t="shared" si="6"/>
        <v>-1</v>
      </c>
      <c r="AG42" s="14"/>
      <c r="AH42" s="13" t="s">
        <v>7</v>
      </c>
      <c r="AI42" s="13"/>
      <c r="AJ42" s="45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K43" s="10">
        <v>20</v>
      </c>
      <c r="L43" s="12">
        <v>286190</v>
      </c>
      <c r="M43" s="10">
        <f t="shared" si="0"/>
        <v>0</v>
      </c>
      <c r="N43" s="12">
        <f t="shared" si="0"/>
        <v>-47620</v>
      </c>
      <c r="O43" s="11">
        <f t="shared" si="1"/>
        <v>-0.14265600191725833</v>
      </c>
      <c r="Q43" s="14"/>
      <c r="R43" s="13" t="s">
        <v>6</v>
      </c>
      <c r="S43" s="10">
        <v>17</v>
      </c>
      <c r="T43" s="12">
        <v>203143</v>
      </c>
      <c r="U43" s="10">
        <f t="shared" si="2"/>
        <v>-3</v>
      </c>
      <c r="V43" s="12">
        <f t="shared" si="3"/>
        <v>-83047</v>
      </c>
      <c r="W43" s="11">
        <f t="shared" si="4"/>
        <v>-0.29018134805548762</v>
      </c>
      <c r="Y43" s="14"/>
      <c r="Z43" s="13" t="s">
        <v>6</v>
      </c>
      <c r="AB43" s="12"/>
      <c r="AC43" s="10">
        <f t="shared" si="5"/>
        <v>-17</v>
      </c>
      <c r="AD43" s="12">
        <f t="shared" si="5"/>
        <v>-203143</v>
      </c>
      <c r="AE43" s="11">
        <f t="shared" si="6"/>
        <v>-1</v>
      </c>
      <c r="AG43" s="14"/>
      <c r="AH43" s="13" t="s">
        <v>6</v>
      </c>
      <c r="AI43" s="13"/>
      <c r="AJ43" s="45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K44" s="10">
        <v>6</v>
      </c>
      <c r="L44" s="12">
        <v>41740</v>
      </c>
      <c r="M44" s="10">
        <f t="shared" si="0"/>
        <v>3</v>
      </c>
      <c r="N44" s="12">
        <f t="shared" si="0"/>
        <v>28970</v>
      </c>
      <c r="O44" s="11">
        <f t="shared" si="1"/>
        <v>2.2685982772122162</v>
      </c>
      <c r="Q44" s="14"/>
      <c r="R44" s="13" t="s">
        <v>5</v>
      </c>
      <c r="S44" s="10">
        <v>4</v>
      </c>
      <c r="T44" s="12">
        <v>29360</v>
      </c>
      <c r="U44" s="10">
        <f t="shared" si="2"/>
        <v>-2</v>
      </c>
      <c r="V44" s="12">
        <f t="shared" si="3"/>
        <v>-12380</v>
      </c>
      <c r="W44" s="11">
        <f t="shared" si="4"/>
        <v>-0.29659798754192623</v>
      </c>
      <c r="Y44" s="14"/>
      <c r="Z44" s="13" t="s">
        <v>5</v>
      </c>
      <c r="AB44" s="12"/>
      <c r="AC44" s="10">
        <f t="shared" si="5"/>
        <v>-4</v>
      </c>
      <c r="AD44" s="12">
        <f t="shared" si="5"/>
        <v>-29360</v>
      </c>
      <c r="AE44" s="11">
        <f t="shared" si="6"/>
        <v>-1</v>
      </c>
      <c r="AG44" s="14"/>
      <c r="AH44" s="13" t="s">
        <v>5</v>
      </c>
      <c r="AI44" s="13"/>
      <c r="AJ44" s="45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K45" s="10">
        <v>10</v>
      </c>
      <c r="L45" s="12">
        <v>321607</v>
      </c>
      <c r="M45" s="10">
        <f t="shared" si="0"/>
        <v>5</v>
      </c>
      <c r="N45" s="12">
        <f t="shared" si="0"/>
        <v>202378</v>
      </c>
      <c r="O45" s="11">
        <f t="shared" si="1"/>
        <v>1.6973890580311837</v>
      </c>
      <c r="Q45" s="14"/>
      <c r="R45" s="13" t="s">
        <v>4</v>
      </c>
      <c r="S45" s="10">
        <v>6</v>
      </c>
      <c r="T45" s="12">
        <v>213899</v>
      </c>
      <c r="U45" s="10">
        <f t="shared" si="2"/>
        <v>-4</v>
      </c>
      <c r="V45" s="12">
        <f t="shared" si="3"/>
        <v>-107708</v>
      </c>
      <c r="W45" s="11">
        <f t="shared" si="4"/>
        <v>-0.33490564571044784</v>
      </c>
      <c r="Y45" s="14"/>
      <c r="Z45" s="13" t="s">
        <v>4</v>
      </c>
      <c r="AB45" s="12"/>
      <c r="AC45" s="10">
        <f t="shared" si="5"/>
        <v>-6</v>
      </c>
      <c r="AD45" s="12">
        <f t="shared" si="5"/>
        <v>-213899</v>
      </c>
      <c r="AE45" s="11">
        <f t="shared" si="6"/>
        <v>-1</v>
      </c>
      <c r="AG45" s="14"/>
      <c r="AH45" s="13" t="s">
        <v>4</v>
      </c>
      <c r="AI45" s="13"/>
      <c r="AJ45" s="45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K46" s="10">
        <v>12</v>
      </c>
      <c r="L46" s="12">
        <v>242952</v>
      </c>
      <c r="M46" s="10">
        <f t="shared" si="0"/>
        <v>6</v>
      </c>
      <c r="N46" s="12">
        <f t="shared" si="0"/>
        <v>141047</v>
      </c>
      <c r="O46" s="11">
        <f t="shared" si="1"/>
        <v>1.3841028408812128</v>
      </c>
      <c r="Q46" s="14"/>
      <c r="R46" s="13" t="s">
        <v>3</v>
      </c>
      <c r="S46" s="10">
        <v>13</v>
      </c>
      <c r="T46" s="12">
        <v>304952</v>
      </c>
      <c r="U46" s="10">
        <f t="shared" si="2"/>
        <v>1</v>
      </c>
      <c r="V46" s="12">
        <f t="shared" si="3"/>
        <v>62000</v>
      </c>
      <c r="W46" s="11">
        <f t="shared" si="4"/>
        <v>0.25519444170041816</v>
      </c>
      <c r="Y46" s="14"/>
      <c r="Z46" s="13" t="s">
        <v>3</v>
      </c>
      <c r="AB46" s="12"/>
      <c r="AC46" s="10">
        <f t="shared" si="5"/>
        <v>-13</v>
      </c>
      <c r="AD46" s="12">
        <f t="shared" si="5"/>
        <v>-304952</v>
      </c>
      <c r="AE46" s="11">
        <f t="shared" si="6"/>
        <v>-1</v>
      </c>
      <c r="AG46" s="14"/>
      <c r="AH46" s="13" t="s">
        <v>3</v>
      </c>
      <c r="AI46" s="13"/>
      <c r="AJ46" s="45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K47" s="10">
        <v>70</v>
      </c>
      <c r="L47" s="12">
        <v>3181905</v>
      </c>
      <c r="M47" s="10">
        <f t="shared" si="0"/>
        <v>44</v>
      </c>
      <c r="N47" s="12">
        <f t="shared" si="0"/>
        <v>1964381</v>
      </c>
      <c r="O47" s="11">
        <f t="shared" si="1"/>
        <v>1.6134228154845407</v>
      </c>
      <c r="Q47" s="14"/>
      <c r="R47" s="13" t="s">
        <v>2</v>
      </c>
      <c r="S47" s="10">
        <v>64</v>
      </c>
      <c r="T47" s="12">
        <v>3029143</v>
      </c>
      <c r="U47" s="10">
        <f t="shared" si="2"/>
        <v>-6</v>
      </c>
      <c r="V47" s="12">
        <f t="shared" si="3"/>
        <v>-152762</v>
      </c>
      <c r="W47" s="11">
        <f t="shared" si="4"/>
        <v>-4.8009604309368133E-2</v>
      </c>
      <c r="Y47" s="14"/>
      <c r="Z47" s="13" t="s">
        <v>2</v>
      </c>
      <c r="AB47" s="12"/>
      <c r="AC47" s="10">
        <f t="shared" si="5"/>
        <v>-64</v>
      </c>
      <c r="AD47" s="12">
        <f t="shared" si="5"/>
        <v>-3029143</v>
      </c>
      <c r="AE47" s="11">
        <f t="shared" si="6"/>
        <v>-1</v>
      </c>
      <c r="AG47" s="14"/>
      <c r="AH47" s="13" t="s">
        <v>2</v>
      </c>
      <c r="AI47" s="13"/>
      <c r="AJ47" s="45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>
        <v>450</v>
      </c>
      <c r="L48" s="7">
        <v>4491386</v>
      </c>
      <c r="M48" s="27">
        <f t="shared" si="0"/>
        <v>166</v>
      </c>
      <c r="N48" s="28">
        <f t="shared" si="0"/>
        <v>2381716</v>
      </c>
      <c r="O48" s="29">
        <f t="shared" si="1"/>
        <v>1.1289519213905492</v>
      </c>
      <c r="Q48" s="9" t="s">
        <v>10</v>
      </c>
      <c r="R48" s="9"/>
      <c r="S48" s="8">
        <v>403</v>
      </c>
      <c r="T48" s="7">
        <v>4190957</v>
      </c>
      <c r="U48" s="27">
        <f t="shared" si="2"/>
        <v>-47</v>
      </c>
      <c r="V48" s="28">
        <f t="shared" si="3"/>
        <v>-300429</v>
      </c>
      <c r="W48" s="29">
        <f t="shared" si="4"/>
        <v>-6.6890042405618216E-2</v>
      </c>
      <c r="Y48" s="9" t="s">
        <v>10</v>
      </c>
      <c r="Z48" s="9"/>
      <c r="AA48" s="8"/>
      <c r="AB48" s="7"/>
      <c r="AC48" s="27">
        <f t="shared" si="5"/>
        <v>-403</v>
      </c>
      <c r="AD48" s="28">
        <f t="shared" si="5"/>
        <v>-4190957</v>
      </c>
      <c r="AE48" s="29">
        <f t="shared" si="6"/>
        <v>-1</v>
      </c>
      <c r="AG48" s="9" t="s">
        <v>10</v>
      </c>
      <c r="AH48" s="9"/>
      <c r="AI48" s="9"/>
      <c r="AJ48" s="46"/>
      <c r="AK48" s="27">
        <f t="shared" si="7"/>
        <v>0</v>
      </c>
      <c r="AL48" s="28">
        <f t="shared" si="7"/>
        <v>0</v>
      </c>
      <c r="AM48" s="29" t="e">
        <f t="shared" si="8"/>
        <v>#DIV/0!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25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C50" s="1">
        <v>4</v>
      </c>
      <c r="D50" s="35"/>
      <c r="E50" s="10"/>
      <c r="F50" s="12"/>
      <c r="G50" s="36"/>
      <c r="I50" s="14"/>
      <c r="J50" s="32" t="s">
        <v>20</v>
      </c>
      <c r="K50" s="1">
        <v>7</v>
      </c>
      <c r="L50" s="35"/>
      <c r="M50" s="10">
        <f t="shared" si="0"/>
        <v>3</v>
      </c>
      <c r="N50" s="12">
        <f t="shared" si="0"/>
        <v>0</v>
      </c>
      <c r="O50" s="11" t="e">
        <f t="shared" si="1"/>
        <v>#DIV/0!</v>
      </c>
      <c r="Q50" s="14"/>
      <c r="R50" s="32" t="s">
        <v>26</v>
      </c>
      <c r="T50" s="35"/>
      <c r="U50" s="10">
        <f t="shared" si="2"/>
        <v>-7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K51" s="10">
        <v>274</v>
      </c>
      <c r="L51" s="12">
        <v>277390</v>
      </c>
      <c r="M51" s="10">
        <f t="shared" si="0"/>
        <v>44</v>
      </c>
      <c r="N51" s="12">
        <f t="shared" si="0"/>
        <v>42046</v>
      </c>
      <c r="O51" s="11">
        <f t="shared" si="1"/>
        <v>0.17865762458358828</v>
      </c>
      <c r="Q51" s="14"/>
      <c r="R51" s="13" t="s">
        <v>9</v>
      </c>
      <c r="S51" s="10">
        <v>198</v>
      </c>
      <c r="T51" s="12">
        <v>181024</v>
      </c>
      <c r="U51" s="10">
        <f t="shared" si="2"/>
        <v>-76</v>
      </c>
      <c r="V51" s="12">
        <f t="shared" si="3"/>
        <v>-96366</v>
      </c>
      <c r="W51" s="11">
        <f t="shared" si="4"/>
        <v>-0.34740257399329466</v>
      </c>
      <c r="Y51" s="14"/>
      <c r="Z51" s="13" t="s">
        <v>9</v>
      </c>
      <c r="AB51" s="12"/>
      <c r="AC51" s="10">
        <f t="shared" si="5"/>
        <v>-198</v>
      </c>
      <c r="AD51" s="12">
        <f t="shared" si="5"/>
        <v>-181024</v>
      </c>
      <c r="AE51" s="11">
        <f t="shared" si="6"/>
        <v>-1</v>
      </c>
      <c r="AG51" s="14"/>
      <c r="AH51" s="13" t="s">
        <v>9</v>
      </c>
      <c r="AI51" s="13"/>
      <c r="AJ51" s="45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K52" s="10">
        <v>115</v>
      </c>
      <c r="L52" s="12">
        <v>131696</v>
      </c>
      <c r="M52" s="10">
        <f t="shared" si="0"/>
        <v>-3</v>
      </c>
      <c r="N52" s="12">
        <f t="shared" si="0"/>
        <v>-3961</v>
      </c>
      <c r="O52" s="11">
        <f t="shared" si="1"/>
        <v>-2.919864068938573E-2</v>
      </c>
      <c r="Q52" s="14"/>
      <c r="R52" s="13" t="s">
        <v>8</v>
      </c>
      <c r="S52" s="10">
        <v>76</v>
      </c>
      <c r="T52" s="12">
        <v>79095</v>
      </c>
      <c r="U52" s="10">
        <f t="shared" si="2"/>
        <v>-39</v>
      </c>
      <c r="V52" s="12">
        <f t="shared" si="3"/>
        <v>-52601</v>
      </c>
      <c r="W52" s="11">
        <f t="shared" si="4"/>
        <v>-0.39941228283319158</v>
      </c>
      <c r="Y52" s="14"/>
      <c r="Z52" s="13" t="s">
        <v>8</v>
      </c>
      <c r="AB52" s="12"/>
      <c r="AC52" s="10">
        <f t="shared" si="5"/>
        <v>-76</v>
      </c>
      <c r="AD52" s="12">
        <f t="shared" si="5"/>
        <v>-79095</v>
      </c>
      <c r="AE52" s="11">
        <f t="shared" si="6"/>
        <v>-1</v>
      </c>
      <c r="AG52" s="14"/>
      <c r="AH52" s="13" t="s">
        <v>8</v>
      </c>
      <c r="AI52" s="13"/>
      <c r="AJ52" s="45"/>
      <c r="AK52" s="10">
        <f t="shared" si="7"/>
        <v>0</v>
      </c>
      <c r="AL52" s="12">
        <f t="shared" si="7"/>
        <v>0</v>
      </c>
      <c r="AM52" s="11" t="e">
        <f t="shared" si="8"/>
        <v>#DIV/0!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K53" s="10">
        <v>35</v>
      </c>
      <c r="L53" s="12">
        <v>199350</v>
      </c>
      <c r="M53" s="10">
        <f t="shared" si="0"/>
        <v>3</v>
      </c>
      <c r="N53" s="12">
        <f t="shared" si="0"/>
        <v>40406</v>
      </c>
      <c r="O53" s="11">
        <f t="shared" si="1"/>
        <v>0.25421532111938794</v>
      </c>
      <c r="Q53" s="14"/>
      <c r="R53" s="13" t="s">
        <v>7</v>
      </c>
      <c r="S53" s="10">
        <v>19</v>
      </c>
      <c r="T53" s="12">
        <v>99057</v>
      </c>
      <c r="U53" s="10">
        <f t="shared" si="2"/>
        <v>-16</v>
      </c>
      <c r="V53" s="12">
        <f t="shared" si="3"/>
        <v>-100293</v>
      </c>
      <c r="W53" s="11">
        <f t="shared" si="4"/>
        <v>-0.50310007524454481</v>
      </c>
      <c r="Y53" s="14"/>
      <c r="Z53" s="13" t="s">
        <v>7</v>
      </c>
      <c r="AB53" s="12"/>
      <c r="AC53" s="10">
        <f t="shared" si="5"/>
        <v>-19</v>
      </c>
      <c r="AD53" s="12">
        <f t="shared" si="5"/>
        <v>-99057</v>
      </c>
      <c r="AE53" s="11">
        <f t="shared" si="6"/>
        <v>-1</v>
      </c>
      <c r="AG53" s="14"/>
      <c r="AH53" s="13" t="s">
        <v>7</v>
      </c>
      <c r="AI53" s="13"/>
      <c r="AJ53" s="45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K54" s="10">
        <v>15</v>
      </c>
      <c r="L54" s="12">
        <v>248571</v>
      </c>
      <c r="M54" s="10">
        <f t="shared" si="0"/>
        <v>-14</v>
      </c>
      <c r="N54" s="12">
        <f t="shared" si="0"/>
        <v>-303429</v>
      </c>
      <c r="O54" s="11">
        <f t="shared" si="1"/>
        <v>-0.5496902173913043</v>
      </c>
      <c r="Q54" s="14"/>
      <c r="R54" s="13" t="s">
        <v>6</v>
      </c>
      <c r="S54" s="10">
        <v>18</v>
      </c>
      <c r="T54" s="12">
        <v>247810</v>
      </c>
      <c r="U54" s="10">
        <f t="shared" si="2"/>
        <v>3</v>
      </c>
      <c r="V54" s="12">
        <f t="shared" si="3"/>
        <v>-761</v>
      </c>
      <c r="W54" s="11">
        <f t="shared" si="4"/>
        <v>-3.0614995313210311E-3</v>
      </c>
      <c r="Y54" s="14"/>
      <c r="Z54" s="13" t="s">
        <v>6</v>
      </c>
      <c r="AB54" s="12"/>
      <c r="AC54" s="10">
        <f t="shared" si="5"/>
        <v>-18</v>
      </c>
      <c r="AD54" s="12">
        <f t="shared" si="5"/>
        <v>-247810</v>
      </c>
      <c r="AE54" s="11">
        <f t="shared" si="6"/>
        <v>-1</v>
      </c>
      <c r="AG54" s="14"/>
      <c r="AH54" s="13" t="s">
        <v>6</v>
      </c>
      <c r="AI54" s="13"/>
      <c r="AJ54" s="45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K55" s="10">
        <v>5</v>
      </c>
      <c r="L55" s="12">
        <v>31750</v>
      </c>
      <c r="M55" s="10">
        <f t="shared" si="0"/>
        <v>-8</v>
      </c>
      <c r="N55" s="12">
        <f t="shared" si="0"/>
        <v>-27520</v>
      </c>
      <c r="O55" s="11">
        <f t="shared" si="1"/>
        <v>-0.46431584275350091</v>
      </c>
      <c r="Q55" s="14"/>
      <c r="R55" s="13" t="s">
        <v>5</v>
      </c>
      <c r="S55" s="10">
        <v>5</v>
      </c>
      <c r="T55" s="12">
        <v>19650</v>
      </c>
      <c r="U55" s="10">
        <f t="shared" si="2"/>
        <v>0</v>
      </c>
      <c r="V55" s="12">
        <f t="shared" si="3"/>
        <v>-12100</v>
      </c>
      <c r="W55" s="11">
        <f t="shared" si="4"/>
        <v>-0.38110236220472443</v>
      </c>
      <c r="Y55" s="14"/>
      <c r="Z55" s="13" t="s">
        <v>5</v>
      </c>
      <c r="AB55" s="12"/>
      <c r="AC55" s="10">
        <f t="shared" si="5"/>
        <v>-5</v>
      </c>
      <c r="AD55" s="12">
        <f t="shared" si="5"/>
        <v>-19650</v>
      </c>
      <c r="AE55" s="11">
        <f t="shared" si="6"/>
        <v>-1</v>
      </c>
      <c r="AG55" s="14"/>
      <c r="AH55" s="13" t="s">
        <v>5</v>
      </c>
      <c r="AI55" s="13"/>
      <c r="AJ55" s="45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K56" s="10">
        <v>12</v>
      </c>
      <c r="L56" s="12">
        <v>422033</v>
      </c>
      <c r="M56" s="10">
        <f t="shared" si="0"/>
        <v>4</v>
      </c>
      <c r="N56" s="12">
        <f t="shared" si="0"/>
        <v>128876</v>
      </c>
      <c r="O56" s="11">
        <f t="shared" si="1"/>
        <v>0.43961426812254184</v>
      </c>
      <c r="Q56" s="14"/>
      <c r="R56" s="13" t="s">
        <v>4</v>
      </c>
      <c r="S56" s="10">
        <v>7</v>
      </c>
      <c r="T56" s="12">
        <v>275524</v>
      </c>
      <c r="U56" s="10">
        <f t="shared" si="2"/>
        <v>-5</v>
      </c>
      <c r="V56" s="12">
        <f t="shared" si="3"/>
        <v>-146509</v>
      </c>
      <c r="W56" s="11">
        <f t="shared" si="4"/>
        <v>-0.34715057827231521</v>
      </c>
      <c r="Y56" s="14"/>
      <c r="Z56" s="13" t="s">
        <v>4</v>
      </c>
      <c r="AB56" s="12"/>
      <c r="AC56" s="10">
        <f t="shared" si="5"/>
        <v>-7</v>
      </c>
      <c r="AD56" s="12">
        <f t="shared" si="5"/>
        <v>-275524</v>
      </c>
      <c r="AE56" s="11">
        <f t="shared" si="6"/>
        <v>-1</v>
      </c>
      <c r="AG56" s="14"/>
      <c r="AH56" s="13" t="s">
        <v>4</v>
      </c>
      <c r="AI56" s="13"/>
      <c r="AJ56" s="45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K57" s="10">
        <v>33</v>
      </c>
      <c r="L57" s="12">
        <v>891619</v>
      </c>
      <c r="M57" s="10">
        <f t="shared" si="0"/>
        <v>6</v>
      </c>
      <c r="N57" s="12">
        <f t="shared" si="0"/>
        <v>271809</v>
      </c>
      <c r="O57" s="11">
        <f t="shared" si="1"/>
        <v>0.43853600296865169</v>
      </c>
      <c r="Q57" s="14"/>
      <c r="R57" s="13" t="s">
        <v>3</v>
      </c>
      <c r="S57" s="10">
        <v>26</v>
      </c>
      <c r="T57" s="12">
        <v>608952</v>
      </c>
      <c r="U57" s="10">
        <f t="shared" si="2"/>
        <v>-7</v>
      </c>
      <c r="V57" s="12">
        <f t="shared" si="3"/>
        <v>-282667</v>
      </c>
      <c r="W57" s="11">
        <f t="shared" si="4"/>
        <v>-0.31702666721996725</v>
      </c>
      <c r="Y57" s="14"/>
      <c r="Z57" s="13" t="s">
        <v>3</v>
      </c>
      <c r="AB57" s="12"/>
      <c r="AC57" s="10">
        <f t="shared" si="5"/>
        <v>-26</v>
      </c>
      <c r="AD57" s="12">
        <f t="shared" si="5"/>
        <v>-608952</v>
      </c>
      <c r="AE57" s="11">
        <f t="shared" si="6"/>
        <v>-1</v>
      </c>
      <c r="AG57" s="14"/>
      <c r="AH57" s="13" t="s">
        <v>3</v>
      </c>
      <c r="AI57" s="13"/>
      <c r="AJ57" s="45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K58" s="10">
        <v>81</v>
      </c>
      <c r="L58" s="12">
        <v>3641810</v>
      </c>
      <c r="M58" s="10">
        <f t="shared" si="0"/>
        <v>2</v>
      </c>
      <c r="N58" s="12">
        <f t="shared" si="0"/>
        <v>-181142</v>
      </c>
      <c r="O58" s="11">
        <f t="shared" si="1"/>
        <v>-4.7382755525049752E-2</v>
      </c>
      <c r="Q58" s="14"/>
      <c r="R58" s="13" t="s">
        <v>2</v>
      </c>
      <c r="S58" s="10">
        <v>112</v>
      </c>
      <c r="T58" s="12">
        <v>4536000</v>
      </c>
      <c r="U58" s="10">
        <f t="shared" si="2"/>
        <v>31</v>
      </c>
      <c r="V58" s="12">
        <f t="shared" si="3"/>
        <v>894190</v>
      </c>
      <c r="W58" s="11">
        <f t="shared" si="4"/>
        <v>0.2455345007015742</v>
      </c>
      <c r="Y58" s="14"/>
      <c r="Z58" s="13" t="s">
        <v>2</v>
      </c>
      <c r="AB58" s="12"/>
      <c r="AC58" s="10">
        <f t="shared" si="5"/>
        <v>-112</v>
      </c>
      <c r="AD58" s="12">
        <f t="shared" si="5"/>
        <v>-4536000</v>
      </c>
      <c r="AE58" s="11">
        <f t="shared" si="6"/>
        <v>-1</v>
      </c>
      <c r="AG58" s="14"/>
      <c r="AH58" s="13" t="s">
        <v>2</v>
      </c>
      <c r="AI58" s="13"/>
      <c r="AJ58" s="45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>
        <v>570</v>
      </c>
      <c r="L59" s="7">
        <v>5844219</v>
      </c>
      <c r="M59" s="27">
        <f t="shared" si="0"/>
        <v>34</v>
      </c>
      <c r="N59" s="28">
        <f t="shared" si="0"/>
        <v>-32915</v>
      </c>
      <c r="O59" s="29">
        <f t="shared" si="1"/>
        <v>-5.6005188923716901E-3</v>
      </c>
      <c r="Q59" s="9" t="s">
        <v>1</v>
      </c>
      <c r="R59" s="9"/>
      <c r="S59" s="8">
        <v>461</v>
      </c>
      <c r="T59" s="7">
        <v>6047112</v>
      </c>
      <c r="U59" s="27">
        <f t="shared" si="2"/>
        <v>-109</v>
      </c>
      <c r="V59" s="28">
        <f t="shared" si="3"/>
        <v>202893</v>
      </c>
      <c r="W59" s="29">
        <f t="shared" si="4"/>
        <v>3.4716871493008734E-2</v>
      </c>
      <c r="Y59" s="9" t="s">
        <v>1</v>
      </c>
      <c r="Z59" s="9"/>
      <c r="AA59" s="8"/>
      <c r="AB59" s="7"/>
      <c r="AC59" s="27">
        <f t="shared" si="5"/>
        <v>-461</v>
      </c>
      <c r="AD59" s="28">
        <f t="shared" si="5"/>
        <v>-6047112</v>
      </c>
      <c r="AE59" s="29">
        <f t="shared" si="6"/>
        <v>-1</v>
      </c>
      <c r="AG59" s="9" t="s">
        <v>1</v>
      </c>
      <c r="AH59" s="9"/>
      <c r="AI59" s="9"/>
      <c r="AJ59" s="46"/>
      <c r="AK59" s="27">
        <f t="shared" si="7"/>
        <v>0</v>
      </c>
      <c r="AL59" s="28">
        <f t="shared" si="7"/>
        <v>0</v>
      </c>
      <c r="AM59" s="29" t="e">
        <f t="shared" si="8"/>
        <v>#DIV/0!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>
        <v>4257</v>
      </c>
      <c r="L60" s="2">
        <v>58608292</v>
      </c>
      <c r="M60" s="6">
        <f t="shared" si="0"/>
        <v>419</v>
      </c>
      <c r="N60" s="5">
        <f t="shared" si="0"/>
        <v>3268962</v>
      </c>
      <c r="O60" s="30">
        <f t="shared" si="1"/>
        <v>5.9071224751004396E-2</v>
      </c>
      <c r="Q60" s="4" t="s">
        <v>0</v>
      </c>
      <c r="R60" s="4"/>
      <c r="S60" s="3">
        <v>3259</v>
      </c>
      <c r="T60" s="2">
        <v>48863744</v>
      </c>
      <c r="U60" s="6">
        <f t="shared" si="2"/>
        <v>-998</v>
      </c>
      <c r="V60" s="5">
        <f t="shared" si="3"/>
        <v>-9744548</v>
      </c>
      <c r="W60" s="30">
        <f t="shared" si="4"/>
        <v>-0.1662656881384634</v>
      </c>
      <c r="Y60" s="4" t="s">
        <v>0</v>
      </c>
      <c r="Z60" s="4"/>
      <c r="AA60" s="3"/>
      <c r="AB60" s="2"/>
      <c r="AC60" s="6">
        <f t="shared" si="5"/>
        <v>-3259</v>
      </c>
      <c r="AD60" s="5">
        <f t="shared" si="5"/>
        <v>-48863744</v>
      </c>
      <c r="AE60" s="30">
        <f t="shared" si="6"/>
        <v>-1</v>
      </c>
      <c r="AG60" s="4" t="s">
        <v>0</v>
      </c>
      <c r="AH60" s="4"/>
      <c r="AI60" s="4"/>
      <c r="AJ60" s="48"/>
      <c r="AK60" s="6">
        <f t="shared" si="7"/>
        <v>0</v>
      </c>
      <c r="AL60" s="5">
        <f t="shared" si="7"/>
        <v>0</v>
      </c>
      <c r="AM60" s="30" t="e">
        <f t="shared" si="8"/>
        <v>#DIV/0!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2026-10-18T15:01:31Z</dcterms:modified>
</cp:coreProperties>
</file>