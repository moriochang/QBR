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5049159E-2551-4044-BDEA-9D17C425CE0F}" xr6:coauthVersionLast="47" xr6:coauthVersionMax="47" xr10:uidLastSave="{00000000-0000-0000-0000-000000000000}"/>
  <bookViews>
    <workbookView xWindow="3280" yWindow="402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<sst xmlns="http://schemas.openxmlformats.org/spreadsheetml/2006/main" count="836" uniqueCount="46">
  <si>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</si>
  <si>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</si>
  <si>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</si>
  <si>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</si>
  <si>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</si>
  <si>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</si>
  <si>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</si>
  <si>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</si>
  <si>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</si>
  <si>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</si>
  <si>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</si>
  <si>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</si>
  <si>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</si>
  <si>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</si>
  <si>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</si>
  <si>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</si>
  <si>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</si>
  <si>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</si>
  <si>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</si>
  <si>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</si>
  <si>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</si>
  <si>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</si>
  <si>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</si>
  <si>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</si>
  <si>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</si>
  <si>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</si>
  <si>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</si>
  <si>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</si>
  <si>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</si>
  <si>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</si>
  <si>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</si>
  <si>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</si>
  <si>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</si>
  <si>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</si>
  <si>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</si>
  <si>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</si>
  <si>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</si>
  <si>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</si>
  <si>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</si>
  <si>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</si>
  <si>
    <t>26Q4W7</t>
  </si>
  <si>
    <t>08/09-08/15</t>
  </si>
  <si>
    <t>26Q4W8</t>
  </si>
  <si>
    <t>08/16-08/22</t>
  </si>
  <si>
    <t>26Q4W9</t>
  </si>
  <si>
    <t>08/23-08/29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</si>
</sst>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BD1" activePane="topRight" state="frozen"/>
      <selection pane="topRight" activeCell="BM1" sqref="BM1:BP1048576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 t="s">
        <v>40</v>
      </c>
      <c r="AX1" s="26"/>
      <c r="AZ1" s="25"/>
      <c r="BE1" s="53" t="s">
        <v>42</v>
      </c>
      <c r="BF1" s="26"/>
      <c r="BH1" s="25"/>
      <c r="BM1" s="26" t="s">
        <v>44</v>
      </c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W2" s="20" t="s">
        <v>41</v>
      </c>
      <c r="AY2" s="22"/>
      <c r="AZ2" s="22"/>
      <c r="BB2" s="21"/>
      <c r="BE2" s="54" t="s">
        <v>43</v>
      </c>
      <c r="BG2" s="22"/>
      <c r="BH2" s="22"/>
      <c r="BJ2" s="21"/>
      <c r="BM2" s="20" t="s">
        <v>45</v>
      </c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33</v>
      </c>
      <c r="AX4" s="19" t="s">
        <v>34</v>
      </c>
      <c r="AY4" s="18" t="s">
        <v>35</v>
      </c>
      <c r="AZ4" s="17" t="s">
        <v>36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33</v>
      </c>
      <c r="BN4" s="19" t="s">
        <v>34</v>
      </c>
      <c r="BO4" s="18" t="s">
        <v>35</v>
      </c>
      <c r="BP4" s="17" t="s">
        <v>36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37</v>
      </c>
      <c r="AY5" s="40">
        <v>6235</v>
      </c>
      <c r="AZ5" s="1"/>
      <c r="BA5" s="10">
        <f t="shared" ref="BA5:BA60" si="11">AY5-AQ5</f>
        <v>-234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>
        <v>5656</v>
      </c>
      <c r="BH5" s="1"/>
      <c r="BI5" s="10">
        <f t="shared" ref="BI5:BI60" si="14">BG5-AY5</f>
        <v>-579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37</v>
      </c>
      <c r="BO5" s="40">
        <v>6262</v>
      </c>
      <c r="BP5" s="1"/>
      <c r="BQ5" s="10">
        <f t="shared" ref="BQ5:BQ60" si="17">BO5-BG5</f>
        <v>606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-6262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38</v>
      </c>
      <c r="AY6" s="15">
        <v>18</v>
      </c>
      <c r="AZ6" s="33"/>
      <c r="BA6" s="10">
        <f t="shared" si="11"/>
        <v>2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G6" s="15">
        <v>10</v>
      </c>
      <c r="BH6" s="33"/>
      <c r="BI6" s="10">
        <f t="shared" si="14"/>
        <v>-8</v>
      </c>
      <c r="BJ6" s="12">
        <f t="shared" si="15"/>
        <v>0</v>
      </c>
      <c r="BK6" s="11" t="e">
        <f t="shared" si="16"/>
        <v>#DIV/0!</v>
      </c>
      <c r="BM6" s="14"/>
      <c r="BN6" s="32" t="s">
        <v>38</v>
      </c>
      <c r="BP6" s="33"/>
      <c r="BQ6" s="10">
        <f t="shared" si="17"/>
        <v>-10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Y7" s="10">
        <v>200</v>
      </c>
      <c r="AZ7" s="12">
        <v>235359.99999904991</v>
      </c>
      <c r="BA7" s="10">
        <f t="shared" si="11"/>
        <v>-40</v>
      </c>
      <c r="BB7" s="12">
        <f t="shared" si="12"/>
        <v>-47185.714285529888</v>
      </c>
      <c r="BC7" s="11">
        <f t="shared" si="13"/>
        <v>-0.16700205276518362</v>
      </c>
      <c r="BE7" s="14"/>
      <c r="BF7" s="13" t="s">
        <v>9</v>
      </c>
      <c r="BG7" s="10">
        <v>170</v>
      </c>
      <c r="BH7" s="12">
        <v>174014.28571349999</v>
      </c>
      <c r="BI7" s="10">
        <f t="shared" si="14"/>
        <v>-30</v>
      </c>
      <c r="BJ7" s="12">
        <f t="shared" si="15"/>
        <v>-61345.714285549911</v>
      </c>
      <c r="BK7" s="11">
        <f t="shared" si="16"/>
        <v>-0.26064630474930978</v>
      </c>
      <c r="BM7" s="14"/>
      <c r="BN7" s="13" t="s">
        <v>9</v>
      </c>
      <c r="BO7" s="10">
        <v>209</v>
      </c>
      <c r="BP7" s="12">
        <v>210267.61904672001</v>
      </c>
      <c r="BQ7" s="10">
        <f t="shared" si="17"/>
        <v>39</v>
      </c>
      <c r="BR7" s="12">
        <f t="shared" si="18"/>
        <v>36253.333333220013</v>
      </c>
      <c r="BS7" s="11">
        <f t="shared" si="19"/>
        <v>0.20833538571027496</v>
      </c>
      <c r="BU7" s="14"/>
      <c r="BV7" s="13" t="s">
        <v>9</v>
      </c>
      <c r="BX7" s="12"/>
      <c r="BY7" s="10">
        <f t="shared" si="20"/>
        <v>-209</v>
      </c>
      <c r="BZ7" s="12">
        <f t="shared" si="21"/>
        <v>-210267.61904672001</v>
      </c>
      <c r="CA7" s="11">
        <f t="shared" si="22"/>
        <v>-1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Y8" s="10">
        <v>265</v>
      </c>
      <c r="AZ8" s="12">
        <v>417266.66666615021</v>
      </c>
      <c r="BA8" s="10">
        <f t="shared" si="11"/>
        <v>12</v>
      </c>
      <c r="BB8" s="12">
        <f t="shared" si="12"/>
        <v>46731.428571430035</v>
      </c>
      <c r="BC8" s="11">
        <f t="shared" si="13"/>
        <v>0.12611871629732568</v>
      </c>
      <c r="BE8" s="14"/>
      <c r="BF8" s="13" t="s">
        <v>8</v>
      </c>
      <c r="BG8" s="10">
        <v>263</v>
      </c>
      <c r="BH8" s="12">
        <v>314315.23809473001</v>
      </c>
      <c r="BI8" s="10">
        <f t="shared" si="14"/>
        <v>-2</v>
      </c>
      <c r="BJ8" s="12">
        <f t="shared" si="15"/>
        <v>-102951.4285714202</v>
      </c>
      <c r="BK8" s="11">
        <f t="shared" si="16"/>
        <v>-0.24672814005004223</v>
      </c>
      <c r="BM8" s="14"/>
      <c r="BN8" s="13" t="s">
        <v>8</v>
      </c>
      <c r="BO8" s="10">
        <v>271</v>
      </c>
      <c r="BP8" s="12">
        <v>337086.66666618001</v>
      </c>
      <c r="BQ8" s="10">
        <f t="shared" si="17"/>
        <v>8</v>
      </c>
      <c r="BR8" s="12">
        <f t="shared" si="18"/>
        <v>22771.42857145</v>
      </c>
      <c r="BS8" s="11">
        <f t="shared" si="19"/>
        <v>7.2447739757965618E-2</v>
      </c>
      <c r="BU8" s="14"/>
      <c r="BV8" s="13" t="s">
        <v>8</v>
      </c>
      <c r="BX8" s="12"/>
      <c r="BY8" s="10">
        <f t="shared" si="20"/>
        <v>-271</v>
      </c>
      <c r="BZ8" s="12">
        <f t="shared" si="21"/>
        <v>-337086.66666618001</v>
      </c>
      <c r="CA8" s="11">
        <f t="shared" si="22"/>
        <v>-1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Y9" s="10">
        <v>73</v>
      </c>
      <c r="AZ9" s="12">
        <v>531685.71428561991</v>
      </c>
      <c r="BA9" s="10">
        <f t="shared" si="11"/>
        <v>9</v>
      </c>
      <c r="BB9" s="12">
        <f t="shared" si="12"/>
        <v>75152.380952359934</v>
      </c>
      <c r="BC9" s="11">
        <f t="shared" si="13"/>
        <v>0.16461532042721672</v>
      </c>
      <c r="BE9" s="14"/>
      <c r="BF9" s="13" t="s">
        <v>7</v>
      </c>
      <c r="BG9" s="10">
        <v>68</v>
      </c>
      <c r="BH9" s="12">
        <v>467447.61904753</v>
      </c>
      <c r="BI9" s="10">
        <f t="shared" si="14"/>
        <v>-5</v>
      </c>
      <c r="BJ9" s="12">
        <f t="shared" si="15"/>
        <v>-64238.095238089911</v>
      </c>
      <c r="BK9" s="11">
        <f t="shared" si="16"/>
        <v>-0.12081967506763104</v>
      </c>
      <c r="BM9" s="14"/>
      <c r="BN9" s="13" t="s">
        <v>7</v>
      </c>
      <c r="BO9" s="10">
        <v>53</v>
      </c>
      <c r="BP9" s="12">
        <v>376638.09523803002</v>
      </c>
      <c r="BQ9" s="10">
        <f t="shared" si="17"/>
        <v>-15</v>
      </c>
      <c r="BR9" s="12">
        <f t="shared" si="18"/>
        <v>-90809.52380949998</v>
      </c>
      <c r="BS9" s="11">
        <f t="shared" si="19"/>
        <v>-0.1942667372967547</v>
      </c>
      <c r="BU9" s="14"/>
      <c r="BV9" s="13" t="s">
        <v>7</v>
      </c>
      <c r="BX9" s="12"/>
      <c r="BY9" s="10">
        <f t="shared" si="20"/>
        <v>-53</v>
      </c>
      <c r="BZ9" s="12">
        <f t="shared" si="21"/>
        <v>-376638.09523803002</v>
      </c>
      <c r="CA9" s="11">
        <f t="shared" si="22"/>
        <v>-1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Y10" s="10">
        <v>37</v>
      </c>
      <c r="AZ10" s="12">
        <v>487333.33333317022</v>
      </c>
      <c r="BA10" s="10">
        <f t="shared" si="11"/>
        <v>-17</v>
      </c>
      <c r="BB10" s="12">
        <f t="shared" si="12"/>
        <v>-229428.57142855012</v>
      </c>
      <c r="BC10" s="11">
        <f t="shared" si="13"/>
        <v>-0.32009035344145575</v>
      </c>
      <c r="BE10" s="14"/>
      <c r="BF10" s="13" t="s">
        <v>6</v>
      </c>
      <c r="BG10" s="10">
        <v>20</v>
      </c>
      <c r="BH10" s="12">
        <v>222857.14285706001</v>
      </c>
      <c r="BI10" s="10">
        <f t="shared" si="14"/>
        <v>-17</v>
      </c>
      <c r="BJ10" s="12">
        <f t="shared" si="15"/>
        <v>-264476.19047611021</v>
      </c>
      <c r="BK10" s="11">
        <f t="shared" si="16"/>
        <v>-0.54270080125074982</v>
      </c>
      <c r="BM10" s="14"/>
      <c r="BN10" s="13" t="s">
        <v>6</v>
      </c>
      <c r="BO10" s="10">
        <v>5</v>
      </c>
      <c r="BP10" s="12">
        <v>40476.190476169999</v>
      </c>
      <c r="BQ10" s="10">
        <f t="shared" si="17"/>
        <v>-15</v>
      </c>
      <c r="BR10" s="12">
        <f t="shared" si="18"/>
        <v>-182380.95238089003</v>
      </c>
      <c r="BS10" s="11">
        <f t="shared" si="19"/>
        <v>-0.81837606837609278</v>
      </c>
      <c r="BU10" s="14"/>
      <c r="BV10" s="13" t="s">
        <v>6</v>
      </c>
      <c r="BX10" s="12"/>
      <c r="BY10" s="10">
        <f t="shared" si="20"/>
        <v>-5</v>
      </c>
      <c r="BZ10" s="12">
        <f t="shared" si="21"/>
        <v>-40476.190476169999</v>
      </c>
      <c r="CA10" s="11">
        <f t="shared" si="22"/>
        <v>-1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Y11" s="10">
        <v>13</v>
      </c>
      <c r="AZ11" s="12">
        <v>71080</v>
      </c>
      <c r="BA11" s="10">
        <f t="shared" si="11"/>
        <v>-1</v>
      </c>
      <c r="BB11" s="12">
        <f t="shared" si="12"/>
        <v>3910</v>
      </c>
      <c r="BC11" s="11">
        <f t="shared" si="13"/>
        <v>5.8210510644633021E-2</v>
      </c>
      <c r="BE11" s="14"/>
      <c r="BF11" s="13" t="s">
        <v>5</v>
      </c>
      <c r="BG11" s="10">
        <v>8</v>
      </c>
      <c r="BH11" s="12">
        <v>58120</v>
      </c>
      <c r="BI11" s="10">
        <f t="shared" si="14"/>
        <v>-5</v>
      </c>
      <c r="BJ11" s="12">
        <f t="shared" si="15"/>
        <v>-12960</v>
      </c>
      <c r="BK11" s="11">
        <f t="shared" si="16"/>
        <v>-0.18232976927405739</v>
      </c>
      <c r="BM11" s="14"/>
      <c r="BN11" s="13" t="s">
        <v>5</v>
      </c>
      <c r="BO11" s="10">
        <v>5</v>
      </c>
      <c r="BP11" s="12">
        <v>21150</v>
      </c>
      <c r="BQ11" s="10">
        <f t="shared" si="17"/>
        <v>-3</v>
      </c>
      <c r="BR11" s="12">
        <f t="shared" si="18"/>
        <v>-36970</v>
      </c>
      <c r="BS11" s="11">
        <f t="shared" si="19"/>
        <v>-0.6360977288368892</v>
      </c>
      <c r="BU11" s="14"/>
      <c r="BV11" s="13" t="s">
        <v>5</v>
      </c>
      <c r="BX11" s="12"/>
      <c r="BY11" s="10">
        <f t="shared" si="20"/>
        <v>-5</v>
      </c>
      <c r="BZ11" s="12">
        <f t="shared" si="21"/>
        <v>-21150</v>
      </c>
      <c r="CA11" s="11">
        <f t="shared" si="22"/>
        <v>-1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Y12" s="10">
        <v>31</v>
      </c>
      <c r="AZ12" s="12">
        <v>1534395.238095101</v>
      </c>
      <c r="BA12" s="10">
        <f t="shared" si="11"/>
        <v>-6</v>
      </c>
      <c r="BB12" s="12">
        <f t="shared" si="12"/>
        <v>-436890.47619040892</v>
      </c>
      <c r="BC12" s="11">
        <f t="shared" si="13"/>
        <v>-0.22162717105103119</v>
      </c>
      <c r="BE12" s="14"/>
      <c r="BF12" s="13" t="s">
        <v>4</v>
      </c>
      <c r="BG12" s="10">
        <v>21</v>
      </c>
      <c r="BH12" s="12">
        <v>943204.76190464001</v>
      </c>
      <c r="BI12" s="10">
        <f t="shared" si="14"/>
        <v>-10</v>
      </c>
      <c r="BJ12" s="12">
        <f t="shared" si="15"/>
        <v>-591190.47619046096</v>
      </c>
      <c r="BK12" s="11">
        <f t="shared" si="16"/>
        <v>-0.38529217343270933</v>
      </c>
      <c r="BM12" s="14"/>
      <c r="BN12" s="13" t="s">
        <v>4</v>
      </c>
      <c r="BO12" s="10">
        <v>24</v>
      </c>
      <c r="BP12" s="12">
        <v>798423.80952372996</v>
      </c>
      <c r="BQ12" s="10">
        <f t="shared" si="17"/>
        <v>3</v>
      </c>
      <c r="BR12" s="12">
        <f t="shared" si="18"/>
        <v>-144780.95238091005</v>
      </c>
      <c r="BS12" s="11">
        <f t="shared" si="19"/>
        <v>-0.15349896250369832</v>
      </c>
      <c r="BU12" s="14"/>
      <c r="BV12" s="13" t="s">
        <v>4</v>
      </c>
      <c r="BX12" s="12"/>
      <c r="BY12" s="10">
        <f t="shared" si="20"/>
        <v>-24</v>
      </c>
      <c r="BZ12" s="12">
        <f t="shared" si="21"/>
        <v>-798423.80952372996</v>
      </c>
      <c r="CA12" s="11">
        <f t="shared" si="22"/>
        <v>-1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Y13" s="10">
        <v>53</v>
      </c>
      <c r="AZ13" s="12">
        <v>1229714.2857141199</v>
      </c>
      <c r="BA13" s="10">
        <f t="shared" si="11"/>
        <v>-10</v>
      </c>
      <c r="BB13" s="12">
        <f t="shared" si="12"/>
        <v>-396380.95238091005</v>
      </c>
      <c r="BC13" s="11">
        <f t="shared" si="13"/>
        <v>-0.24376244582406514</v>
      </c>
      <c r="BE13" s="14"/>
      <c r="BF13" s="13" t="s">
        <v>3</v>
      </c>
      <c r="BG13" s="10">
        <v>29</v>
      </c>
      <c r="BH13" s="12">
        <v>671523.80952368001</v>
      </c>
      <c r="BI13" s="10">
        <f t="shared" si="14"/>
        <v>-24</v>
      </c>
      <c r="BJ13" s="12">
        <f t="shared" si="15"/>
        <v>-558190.47619043989</v>
      </c>
      <c r="BK13" s="11">
        <f t="shared" si="16"/>
        <v>-0.45391883519210108</v>
      </c>
      <c r="BM13" s="14"/>
      <c r="BN13" s="13" t="s">
        <v>3</v>
      </c>
      <c r="BO13" s="10">
        <v>45</v>
      </c>
      <c r="BP13" s="12">
        <v>981238.09523791994</v>
      </c>
      <c r="BQ13" s="10">
        <f t="shared" si="17"/>
        <v>16</v>
      </c>
      <c r="BR13" s="12">
        <f t="shared" si="18"/>
        <v>309714.28571423993</v>
      </c>
      <c r="BS13" s="11">
        <f t="shared" si="19"/>
        <v>0.46121117571977682</v>
      </c>
      <c r="BU13" s="14"/>
      <c r="BV13" s="13" t="s">
        <v>3</v>
      </c>
      <c r="BX13" s="12"/>
      <c r="BY13" s="10">
        <f t="shared" si="20"/>
        <v>-45</v>
      </c>
      <c r="BZ13" s="12">
        <f t="shared" si="21"/>
        <v>-981238.09523791994</v>
      </c>
      <c r="CA13" s="11">
        <f t="shared" si="22"/>
        <v>-1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Y14" s="10">
        <v>81</v>
      </c>
      <c r="AZ14" s="12">
        <v>3206571.4285713299</v>
      </c>
      <c r="BA14" s="10">
        <f t="shared" si="11"/>
        <v>-24</v>
      </c>
      <c r="BB14" s="12">
        <f t="shared" si="12"/>
        <v>-958666.66666663019</v>
      </c>
      <c r="BC14" s="11">
        <f t="shared" si="13"/>
        <v>-0.23015891162684221</v>
      </c>
      <c r="BE14" s="14"/>
      <c r="BF14" s="13" t="s">
        <v>2</v>
      </c>
      <c r="BG14" s="10">
        <v>41</v>
      </c>
      <c r="BH14" s="12">
        <v>1441809.52380946</v>
      </c>
      <c r="BI14" s="10">
        <f t="shared" si="14"/>
        <v>-40</v>
      </c>
      <c r="BJ14" s="12">
        <f t="shared" si="15"/>
        <v>-1764761.9047618699</v>
      </c>
      <c r="BK14" s="11">
        <f t="shared" si="16"/>
        <v>-0.55035789598741292</v>
      </c>
      <c r="BM14" s="14"/>
      <c r="BN14" s="13" t="s">
        <v>2</v>
      </c>
      <c r="BO14" s="10">
        <v>32</v>
      </c>
      <c r="BP14" s="12">
        <v>1143619.0476189801</v>
      </c>
      <c r="BQ14" s="10">
        <f t="shared" si="17"/>
        <v>-9</v>
      </c>
      <c r="BR14" s="12">
        <f t="shared" si="18"/>
        <v>-298190.47619047994</v>
      </c>
      <c r="BS14" s="11">
        <f t="shared" si="19"/>
        <v>-0.20681683070217174</v>
      </c>
      <c r="BU14" s="14"/>
      <c r="BV14" s="13" t="s">
        <v>2</v>
      </c>
      <c r="BX14" s="12"/>
      <c r="BY14" s="10">
        <f t="shared" si="20"/>
        <v>-32</v>
      </c>
      <c r="BZ14" s="12">
        <f t="shared" si="21"/>
        <v>-1143619.0476189801</v>
      </c>
      <c r="CA14" s="11">
        <f t="shared" si="22"/>
        <v>-1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39</v>
      </c>
      <c r="AX15" s="9"/>
      <c r="AY15" s="8">
        <v>753</v>
      </c>
      <c r="AZ15" s="7">
        <v>7713406.6666645408</v>
      </c>
      <c r="BA15" s="27">
        <f t="shared" si="11"/>
        <v>-77</v>
      </c>
      <c r="BB15" s="28">
        <f t="shared" si="12"/>
        <v>-1942758.5714282393</v>
      </c>
      <c r="BC15" s="29">
        <f t="shared" si="13"/>
        <v>-0.20119359223102523</v>
      </c>
      <c r="BE15" s="9" t="s">
        <v>18</v>
      </c>
      <c r="BF15" s="9"/>
      <c r="BG15" s="8">
        <v>620</v>
      </c>
      <c r="BH15" s="7">
        <v>4293292.3809505999</v>
      </c>
      <c r="BI15" s="27">
        <f t="shared" si="14"/>
        <v>-133</v>
      </c>
      <c r="BJ15" s="28">
        <f t="shared" si="15"/>
        <v>-3420114.2857139409</v>
      </c>
      <c r="BK15" s="29">
        <f t="shared" si="16"/>
        <v>-0.44339867370079672</v>
      </c>
      <c r="BM15" s="9" t="s">
        <v>39</v>
      </c>
      <c r="BN15" s="9"/>
      <c r="BO15" s="8">
        <v>644</v>
      </c>
      <c r="BP15" s="7">
        <v>3908899.5238077301</v>
      </c>
      <c r="BQ15" s="27">
        <f t="shared" si="17"/>
        <v>24</v>
      </c>
      <c r="BR15" s="28">
        <f t="shared" si="18"/>
        <v>-384392.85714286985</v>
      </c>
      <c r="BS15" s="29">
        <f t="shared" si="19"/>
        <v>-8.9533351804416225E-2</v>
      </c>
      <c r="BU15" s="9" t="s">
        <v>18</v>
      </c>
      <c r="BV15" s="9"/>
      <c r="BW15" s="8"/>
      <c r="BX15" s="7"/>
      <c r="BY15" s="27">
        <f t="shared" si="20"/>
        <v>-644</v>
      </c>
      <c r="BZ15" s="28">
        <f t="shared" si="21"/>
        <v>-3908899.5238077301</v>
      </c>
      <c r="CA15" s="29">
        <f t="shared" si="22"/>
        <v>-1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37</v>
      </c>
      <c r="AY16" s="1">
        <v>3746</v>
      </c>
      <c r="AZ16" s="35"/>
      <c r="BA16" s="10">
        <f t="shared" si="11"/>
        <v>-392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G16" s="1">
        <v>3813</v>
      </c>
      <c r="BH16" s="35"/>
      <c r="BI16" s="10">
        <f t="shared" si="14"/>
        <v>67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37</v>
      </c>
      <c r="BO16" s="1">
        <v>3936</v>
      </c>
      <c r="BP16" s="35"/>
      <c r="BQ16" s="10">
        <f t="shared" si="17"/>
        <v>123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-3936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38</v>
      </c>
      <c r="AY17" s="1">
        <v>10</v>
      </c>
      <c r="AZ17" s="35"/>
      <c r="BA17" s="10">
        <f t="shared" si="11"/>
        <v>1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G17" s="1">
        <v>7</v>
      </c>
      <c r="BH17" s="35"/>
      <c r="BI17" s="10">
        <f t="shared" si="14"/>
        <v>-3</v>
      </c>
      <c r="BJ17" s="12">
        <f t="shared" si="15"/>
        <v>0</v>
      </c>
      <c r="BK17" s="11" t="e">
        <f t="shared" si="16"/>
        <v>#DIV/0!</v>
      </c>
      <c r="BM17" s="14"/>
      <c r="BN17" s="32" t="s">
        <v>38</v>
      </c>
      <c r="BP17" s="35"/>
      <c r="BQ17" s="10">
        <f t="shared" si="17"/>
        <v>-7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Y18" s="10">
        <v>111</v>
      </c>
      <c r="AZ18" s="12">
        <v>115135.2380947101</v>
      </c>
      <c r="BA18" s="10">
        <f t="shared" si="11"/>
        <v>-22</v>
      </c>
      <c r="BB18" s="12">
        <f t="shared" si="12"/>
        <v>-12872.380952329899</v>
      </c>
      <c r="BC18" s="11">
        <f t="shared" si="13"/>
        <v>-0.10055949050657352</v>
      </c>
      <c r="BE18" s="14"/>
      <c r="BF18" s="13" t="s">
        <v>9</v>
      </c>
      <c r="BG18" s="10">
        <v>124</v>
      </c>
      <c r="BH18" s="12">
        <v>122476.19047563001</v>
      </c>
      <c r="BI18" s="10">
        <f t="shared" si="14"/>
        <v>13</v>
      </c>
      <c r="BJ18" s="12">
        <f t="shared" si="15"/>
        <v>7340.9523809199018</v>
      </c>
      <c r="BK18" s="11">
        <f t="shared" si="16"/>
        <v>6.375938854515803E-2</v>
      </c>
      <c r="BM18" s="14"/>
      <c r="BN18" s="13" t="s">
        <v>9</v>
      </c>
      <c r="BO18" s="10">
        <v>129</v>
      </c>
      <c r="BP18" s="12">
        <v>116457.14285663</v>
      </c>
      <c r="BQ18" s="10">
        <f t="shared" si="17"/>
        <v>5</v>
      </c>
      <c r="BR18" s="12">
        <f t="shared" si="18"/>
        <v>-6019.0476190000045</v>
      </c>
      <c r="BS18" s="11">
        <f t="shared" si="19"/>
        <v>-4.914463452549709E-2</v>
      </c>
      <c r="BU18" s="14"/>
      <c r="BV18" s="13" t="s">
        <v>9</v>
      </c>
      <c r="BX18" s="12"/>
      <c r="BY18" s="10">
        <f t="shared" si="20"/>
        <v>-129</v>
      </c>
      <c r="BZ18" s="12">
        <f t="shared" si="21"/>
        <v>-116457.14285663</v>
      </c>
      <c r="CA18" s="11">
        <f t="shared" si="22"/>
        <v>-1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Y19" s="10">
        <v>170</v>
      </c>
      <c r="AZ19" s="12">
        <v>173704.76190436989</v>
      </c>
      <c r="BA19" s="10">
        <f t="shared" si="11"/>
        <v>-1</v>
      </c>
      <c r="BB19" s="12">
        <f t="shared" si="12"/>
        <v>8703.8095237798989</v>
      </c>
      <c r="BC19" s="11">
        <f t="shared" si="13"/>
        <v>5.2750056276667755E-2</v>
      </c>
      <c r="BE19" s="14"/>
      <c r="BF19" s="13" t="s">
        <v>8</v>
      </c>
      <c r="BG19" s="10">
        <v>115</v>
      </c>
      <c r="BH19" s="12">
        <v>115704.76190441</v>
      </c>
      <c r="BI19" s="10">
        <f t="shared" si="14"/>
        <v>-55</v>
      </c>
      <c r="BJ19" s="12">
        <f t="shared" si="15"/>
        <v>-57999.999999959895</v>
      </c>
      <c r="BK19" s="11">
        <f t="shared" si="16"/>
        <v>-0.33389988486263134</v>
      </c>
      <c r="BM19" s="14"/>
      <c r="BN19" s="13" t="s">
        <v>8</v>
      </c>
      <c r="BO19" s="10">
        <v>164</v>
      </c>
      <c r="BP19" s="12">
        <v>177323.80952340999</v>
      </c>
      <c r="BQ19" s="10">
        <f t="shared" si="17"/>
        <v>49</v>
      </c>
      <c r="BR19" s="12">
        <f t="shared" si="18"/>
        <v>61619.04761899999</v>
      </c>
      <c r="BS19" s="11">
        <f t="shared" si="19"/>
        <v>0.53255411968184019</v>
      </c>
      <c r="BU19" s="14"/>
      <c r="BV19" s="13" t="s">
        <v>8</v>
      </c>
      <c r="BX19" s="12"/>
      <c r="BY19" s="10">
        <f t="shared" si="20"/>
        <v>-164</v>
      </c>
      <c r="BZ19" s="12">
        <f t="shared" si="21"/>
        <v>-177323.80952340999</v>
      </c>
      <c r="CA19" s="11">
        <f t="shared" si="22"/>
        <v>-1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Y20" s="10">
        <v>39</v>
      </c>
      <c r="AZ20" s="12">
        <v>243914.28571423999</v>
      </c>
      <c r="BA20" s="10">
        <f t="shared" si="11"/>
        <v>14</v>
      </c>
      <c r="BB20" s="12">
        <f t="shared" si="12"/>
        <v>82723.809523809992</v>
      </c>
      <c r="BC20" s="11">
        <f t="shared" si="13"/>
        <v>0.51320531757769794</v>
      </c>
      <c r="BE20" s="14"/>
      <c r="BF20" s="13" t="s">
        <v>7</v>
      </c>
      <c r="BG20" s="10">
        <v>42</v>
      </c>
      <c r="BH20" s="12">
        <v>253409.52380945001</v>
      </c>
      <c r="BI20" s="10">
        <f t="shared" si="14"/>
        <v>3</v>
      </c>
      <c r="BJ20" s="12">
        <f t="shared" si="15"/>
        <v>9495.2380952100211</v>
      </c>
      <c r="BK20" s="11">
        <f t="shared" si="16"/>
        <v>3.8928585373364535E-2</v>
      </c>
      <c r="BM20" s="14"/>
      <c r="BN20" s="13" t="s">
        <v>7</v>
      </c>
      <c r="BO20" s="10">
        <v>36</v>
      </c>
      <c r="BP20" s="12">
        <v>221085.71428565</v>
      </c>
      <c r="BQ20" s="10">
        <f t="shared" si="17"/>
        <v>-6</v>
      </c>
      <c r="BR20" s="12">
        <f t="shared" si="18"/>
        <v>-32323.80952380001</v>
      </c>
      <c r="BS20" s="11">
        <f t="shared" si="19"/>
        <v>-0.12755562236921186</v>
      </c>
      <c r="BU20" s="14"/>
      <c r="BV20" s="13" t="s">
        <v>7</v>
      </c>
      <c r="BX20" s="12"/>
      <c r="BY20" s="10">
        <f t="shared" si="20"/>
        <v>-36</v>
      </c>
      <c r="BZ20" s="12">
        <f t="shared" si="21"/>
        <v>-221085.71428565</v>
      </c>
      <c r="CA20" s="11">
        <f t="shared" si="22"/>
        <v>-1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Y21" s="10">
        <v>16</v>
      </c>
      <c r="AZ21" s="12">
        <v>169904.76190467001</v>
      </c>
      <c r="BA21" s="10">
        <f t="shared" si="11"/>
        <v>-5</v>
      </c>
      <c r="BB21" s="12">
        <f t="shared" si="12"/>
        <v>-92571.428571430006</v>
      </c>
      <c r="BC21" s="11">
        <f t="shared" si="13"/>
        <v>-0.35268505079838536</v>
      </c>
      <c r="BE21" s="14"/>
      <c r="BF21" s="13" t="s">
        <v>6</v>
      </c>
      <c r="BG21" s="10">
        <v>12</v>
      </c>
      <c r="BH21" s="12">
        <v>101428.5714285</v>
      </c>
      <c r="BI21" s="10">
        <f t="shared" si="14"/>
        <v>-4</v>
      </c>
      <c r="BJ21" s="12">
        <f t="shared" si="15"/>
        <v>-68476.190476170013</v>
      </c>
      <c r="BK21" s="11">
        <f t="shared" si="16"/>
        <v>-0.40302690582969397</v>
      </c>
      <c r="BM21" s="14"/>
      <c r="BN21" s="13" t="s">
        <v>6</v>
      </c>
      <c r="BO21" s="10">
        <v>8</v>
      </c>
      <c r="BP21" s="12">
        <v>67809.523809480001</v>
      </c>
      <c r="BQ21" s="10">
        <f t="shared" si="17"/>
        <v>-4</v>
      </c>
      <c r="BR21" s="12">
        <f t="shared" si="18"/>
        <v>-33619.047619019999</v>
      </c>
      <c r="BS21" s="11">
        <f t="shared" si="19"/>
        <v>-0.33145539906099397</v>
      </c>
      <c r="BU21" s="14"/>
      <c r="BV21" s="13" t="s">
        <v>6</v>
      </c>
      <c r="BX21" s="12"/>
      <c r="BY21" s="10">
        <f t="shared" si="20"/>
        <v>-8</v>
      </c>
      <c r="BZ21" s="12">
        <f t="shared" si="21"/>
        <v>-67809.523809480001</v>
      </c>
      <c r="CA21" s="11">
        <f t="shared" si="22"/>
        <v>-1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Y22" s="10">
        <v>14</v>
      </c>
      <c r="AZ22" s="12">
        <v>48220</v>
      </c>
      <c r="BA22" s="10">
        <f t="shared" si="11"/>
        <v>-7</v>
      </c>
      <c r="BB22" s="12">
        <f t="shared" si="12"/>
        <v>-24960</v>
      </c>
      <c r="BC22" s="11">
        <f t="shared" si="13"/>
        <v>-0.34107679693905441</v>
      </c>
      <c r="BE22" s="14"/>
      <c r="BF22" s="13" t="s">
        <v>5</v>
      </c>
      <c r="BG22" s="10">
        <v>10</v>
      </c>
      <c r="BH22" s="12">
        <v>39648</v>
      </c>
      <c r="BI22" s="10">
        <f t="shared" si="14"/>
        <v>-4</v>
      </c>
      <c r="BJ22" s="12">
        <f t="shared" si="15"/>
        <v>-8572</v>
      </c>
      <c r="BK22" s="11">
        <f t="shared" si="16"/>
        <v>-0.1777685607631688</v>
      </c>
      <c r="BM22" s="14"/>
      <c r="BN22" s="13" t="s">
        <v>5</v>
      </c>
      <c r="BO22" s="10">
        <v>14</v>
      </c>
      <c r="BP22" s="12">
        <v>78308</v>
      </c>
      <c r="BQ22" s="10">
        <f t="shared" si="17"/>
        <v>4</v>
      </c>
      <c r="BR22" s="12">
        <f t="shared" si="18"/>
        <v>38660</v>
      </c>
      <c r="BS22" s="11">
        <f t="shared" si="19"/>
        <v>0.97508071025020182</v>
      </c>
      <c r="BU22" s="14"/>
      <c r="BV22" s="13" t="s">
        <v>5</v>
      </c>
      <c r="BX22" s="12"/>
      <c r="BY22" s="10">
        <f t="shared" si="20"/>
        <v>-14</v>
      </c>
      <c r="BZ22" s="12">
        <f t="shared" si="21"/>
        <v>-78308</v>
      </c>
      <c r="CA22" s="11">
        <f t="shared" si="22"/>
        <v>-1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Y23" s="10">
        <v>5</v>
      </c>
      <c r="AZ23" s="12">
        <v>200395.23809520999</v>
      </c>
      <c r="BA23" s="10">
        <f t="shared" si="11"/>
        <v>-5</v>
      </c>
      <c r="BB23" s="12">
        <f t="shared" si="12"/>
        <v>-126961.90476188</v>
      </c>
      <c r="BC23" s="11">
        <f t="shared" si="13"/>
        <v>-0.3878391155720286</v>
      </c>
      <c r="BE23" s="14"/>
      <c r="BF23" s="13" t="s">
        <v>4</v>
      </c>
      <c r="BG23" s="10">
        <v>11</v>
      </c>
      <c r="BH23" s="12">
        <v>431752.38095234003</v>
      </c>
      <c r="BI23" s="10">
        <f t="shared" si="14"/>
        <v>6</v>
      </c>
      <c r="BJ23" s="12">
        <f t="shared" si="15"/>
        <v>231357.14285713003</v>
      </c>
      <c r="BK23" s="11">
        <f t="shared" si="16"/>
        <v>1.1545041940927243</v>
      </c>
      <c r="BM23" s="14"/>
      <c r="BN23" s="13" t="s">
        <v>4</v>
      </c>
      <c r="BO23" s="10">
        <v>16</v>
      </c>
      <c r="BP23" s="12">
        <v>555333.33333324001</v>
      </c>
      <c r="BQ23" s="10">
        <f t="shared" si="17"/>
        <v>5</v>
      </c>
      <c r="BR23" s="12">
        <f t="shared" si="18"/>
        <v>123580.95238089998</v>
      </c>
      <c r="BS23" s="11">
        <f t="shared" si="19"/>
        <v>0.28623108483689347</v>
      </c>
      <c r="BU23" s="14"/>
      <c r="BV23" s="13" t="s">
        <v>4</v>
      </c>
      <c r="BX23" s="12"/>
      <c r="BY23" s="10">
        <f t="shared" si="20"/>
        <v>-16</v>
      </c>
      <c r="BZ23" s="12">
        <f t="shared" si="21"/>
        <v>-555333.33333324001</v>
      </c>
      <c r="CA23" s="11">
        <f t="shared" si="22"/>
        <v>-1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Y24" s="10">
        <v>13</v>
      </c>
      <c r="AZ24" s="12">
        <v>258857.14285708999</v>
      </c>
      <c r="BA24" s="10">
        <f t="shared" si="11"/>
        <v>-11</v>
      </c>
      <c r="BB24" s="12">
        <f t="shared" si="12"/>
        <v>-351047.61904756993</v>
      </c>
      <c r="BC24" s="11">
        <f t="shared" si="13"/>
        <v>-0.57557776389757975</v>
      </c>
      <c r="BE24" s="14"/>
      <c r="BF24" s="13" t="s">
        <v>3</v>
      </c>
      <c r="BG24" s="10">
        <v>16</v>
      </c>
      <c r="BH24" s="12">
        <v>330571.42857133999</v>
      </c>
      <c r="BI24" s="10">
        <f t="shared" si="14"/>
        <v>3</v>
      </c>
      <c r="BJ24" s="12">
        <f t="shared" si="15"/>
        <v>71714.28571425</v>
      </c>
      <c r="BK24" s="11">
        <f t="shared" si="16"/>
        <v>0.2770419426047751</v>
      </c>
      <c r="BM24" s="14"/>
      <c r="BN24" s="13" t="s">
        <v>3</v>
      </c>
      <c r="BO24" s="10">
        <v>28</v>
      </c>
      <c r="BP24" s="12">
        <v>591904.76190464001</v>
      </c>
      <c r="BQ24" s="10">
        <f t="shared" si="17"/>
        <v>12</v>
      </c>
      <c r="BR24" s="12">
        <f t="shared" si="18"/>
        <v>261333.33333330002</v>
      </c>
      <c r="BS24" s="11">
        <f t="shared" si="19"/>
        <v>0.79055027369645214</v>
      </c>
      <c r="BU24" s="14"/>
      <c r="BV24" s="13" t="s">
        <v>3</v>
      </c>
      <c r="BX24" s="12"/>
      <c r="BY24" s="10">
        <f t="shared" si="20"/>
        <v>-28</v>
      </c>
      <c r="BZ24" s="12">
        <f t="shared" si="21"/>
        <v>-591904.76190464001</v>
      </c>
      <c r="CA24" s="11">
        <f t="shared" si="22"/>
        <v>-1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Y25" s="10">
        <v>40</v>
      </c>
      <c r="AZ25" s="12">
        <v>1629523.80952367</v>
      </c>
      <c r="BA25" s="10">
        <f t="shared" si="11"/>
        <v>-17</v>
      </c>
      <c r="BB25" s="12">
        <f t="shared" si="12"/>
        <v>-510761.90476193</v>
      </c>
      <c r="BC25" s="11">
        <f t="shared" si="13"/>
        <v>-0.23864192586662</v>
      </c>
      <c r="BE25" s="14"/>
      <c r="BF25" s="13" t="s">
        <v>2</v>
      </c>
      <c r="BG25" s="10">
        <v>33</v>
      </c>
      <c r="BH25" s="12">
        <v>1169238.0952380199</v>
      </c>
      <c r="BI25" s="10">
        <f t="shared" si="14"/>
        <v>-7</v>
      </c>
      <c r="BJ25" s="12">
        <f t="shared" si="15"/>
        <v>-460285.71428565006</v>
      </c>
      <c r="BK25" s="11">
        <f t="shared" si="16"/>
        <v>-0.282466393921668</v>
      </c>
      <c r="BM25" s="14"/>
      <c r="BN25" s="13" t="s">
        <v>2</v>
      </c>
      <c r="BO25" s="10">
        <v>34</v>
      </c>
      <c r="BP25" s="12">
        <v>1225333.3333332599</v>
      </c>
      <c r="BQ25" s="10">
        <f t="shared" si="17"/>
        <v>1</v>
      </c>
      <c r="BR25" s="12">
        <f t="shared" si="18"/>
        <v>56095.238095239969</v>
      </c>
      <c r="BS25" s="11">
        <f t="shared" si="19"/>
        <v>4.7975889875381414E-2</v>
      </c>
      <c r="BU25" s="14"/>
      <c r="BV25" s="13" t="s">
        <v>2</v>
      </c>
      <c r="BX25" s="12"/>
      <c r="BY25" s="10">
        <f t="shared" si="20"/>
        <v>-34</v>
      </c>
      <c r="BZ25" s="12">
        <f t="shared" si="21"/>
        <v>-1225333.3333332599</v>
      </c>
      <c r="CA25" s="11">
        <f t="shared" si="22"/>
        <v>-1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>
        <v>408</v>
      </c>
      <c r="AZ26" s="7">
        <v>2839655.2380939601</v>
      </c>
      <c r="BA26" s="27">
        <f t="shared" si="11"/>
        <v>-54</v>
      </c>
      <c r="BB26" s="28">
        <f t="shared" si="12"/>
        <v>-1027747.61904755</v>
      </c>
      <c r="BC26" s="29">
        <f t="shared" si="13"/>
        <v>-0.26574620152377476</v>
      </c>
      <c r="BE26" s="9" t="s">
        <v>12</v>
      </c>
      <c r="BF26" s="9"/>
      <c r="BG26" s="8">
        <v>363</v>
      </c>
      <c r="BH26" s="7">
        <v>2564228.95237969</v>
      </c>
      <c r="BI26" s="27">
        <f t="shared" si="14"/>
        <v>-45</v>
      </c>
      <c r="BJ26" s="28">
        <f t="shared" si="15"/>
        <v>-275426.28571427008</v>
      </c>
      <c r="BK26" s="29">
        <f t="shared" si="16"/>
        <v>-9.6992860971088293E-2</v>
      </c>
      <c r="BM26" s="9" t="s">
        <v>12</v>
      </c>
      <c r="BN26" s="9"/>
      <c r="BO26" s="8">
        <v>429</v>
      </c>
      <c r="BP26" s="7">
        <v>3033555.61904631</v>
      </c>
      <c r="BQ26" s="27">
        <f t="shared" si="17"/>
        <v>66</v>
      </c>
      <c r="BR26" s="28">
        <f t="shared" si="18"/>
        <v>469326.66666661995</v>
      </c>
      <c r="BS26" s="29">
        <f t="shared" si="19"/>
        <v>0.18302837826983787</v>
      </c>
      <c r="BU26" s="9" t="s">
        <v>12</v>
      </c>
      <c r="BV26" s="9"/>
      <c r="BW26" s="8"/>
      <c r="BX26" s="7"/>
      <c r="BY26" s="27">
        <f t="shared" si="20"/>
        <v>-429</v>
      </c>
      <c r="BZ26" s="28">
        <f t="shared" si="21"/>
        <v>-3033555.61904631</v>
      </c>
      <c r="CA26" s="29">
        <f t="shared" si="22"/>
        <v>-1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37</v>
      </c>
      <c r="AY27" s="1">
        <v>3174</v>
      </c>
      <c r="AZ27" s="35"/>
      <c r="BA27" s="10">
        <f t="shared" si="11"/>
        <v>-154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G27" s="1">
        <v>3534</v>
      </c>
      <c r="BH27" s="35"/>
      <c r="BI27" s="10">
        <f t="shared" si="14"/>
        <v>360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37</v>
      </c>
      <c r="BO27" s="1">
        <v>3175</v>
      </c>
      <c r="BP27" s="35"/>
      <c r="BQ27" s="10">
        <f t="shared" si="17"/>
        <v>-359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-3175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38</v>
      </c>
      <c r="AY28" s="1">
        <v>4</v>
      </c>
      <c r="AZ28" s="35"/>
      <c r="BA28" s="10">
        <f t="shared" si="11"/>
        <v>1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G28" s="1">
        <v>5</v>
      </c>
      <c r="BH28" s="35"/>
      <c r="BI28" s="10">
        <f t="shared" si="14"/>
        <v>1</v>
      </c>
      <c r="BJ28" s="12">
        <f t="shared" si="15"/>
        <v>0</v>
      </c>
      <c r="BK28" s="11" t="e">
        <f t="shared" si="16"/>
        <v>#DIV/0!</v>
      </c>
      <c r="BM28" s="14"/>
      <c r="BN28" s="32" t="s">
        <v>38</v>
      </c>
      <c r="BP28" s="35"/>
      <c r="BQ28" s="10">
        <f t="shared" si="17"/>
        <v>-5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Y29" s="10">
        <v>92</v>
      </c>
      <c r="AZ29" s="12">
        <v>82476.19047580006</v>
      </c>
      <c r="BA29" s="10">
        <f t="shared" si="11"/>
        <v>-4</v>
      </c>
      <c r="BB29" s="12">
        <f t="shared" si="12"/>
        <v>-3751.4285714399739</v>
      </c>
      <c r="BC29" s="11">
        <f t="shared" si="13"/>
        <v>-4.3506113387924393E-2</v>
      </c>
      <c r="BE29" s="14"/>
      <c r="BF29" s="13" t="s">
        <v>9</v>
      </c>
      <c r="BG29" s="10">
        <v>99</v>
      </c>
      <c r="BH29" s="12">
        <v>102610.47619004</v>
      </c>
      <c r="BI29" s="10">
        <f t="shared" si="14"/>
        <v>7</v>
      </c>
      <c r="BJ29" s="12">
        <f t="shared" si="15"/>
        <v>20134.285714239944</v>
      </c>
      <c r="BK29" s="11">
        <f t="shared" si="16"/>
        <v>0.24412240184817571</v>
      </c>
      <c r="BM29" s="14"/>
      <c r="BN29" s="13" t="s">
        <v>9</v>
      </c>
      <c r="BO29" s="10">
        <v>66</v>
      </c>
      <c r="BP29" s="12">
        <v>56596.190475900003</v>
      </c>
      <c r="BQ29" s="10">
        <f t="shared" si="17"/>
        <v>-33</v>
      </c>
      <c r="BR29" s="12">
        <f t="shared" si="18"/>
        <v>-46014.285714140002</v>
      </c>
      <c r="BS29" s="11">
        <f t="shared" si="19"/>
        <v>-0.44843652834160053</v>
      </c>
      <c r="BU29" s="14"/>
      <c r="BV29" s="13" t="s">
        <v>9</v>
      </c>
      <c r="BX29" s="12"/>
      <c r="BY29" s="10">
        <f t="shared" si="20"/>
        <v>-66</v>
      </c>
      <c r="BZ29" s="12">
        <f t="shared" si="21"/>
        <v>-56596.190475900003</v>
      </c>
      <c r="CA29" s="11">
        <f t="shared" si="22"/>
        <v>-1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Y30" s="10">
        <v>54</v>
      </c>
      <c r="AZ30" s="12">
        <v>51580.952380770002</v>
      </c>
      <c r="BA30" s="10">
        <f t="shared" si="11"/>
        <v>-34</v>
      </c>
      <c r="BB30" s="12">
        <f t="shared" si="12"/>
        <v>-20535.238095180001</v>
      </c>
      <c r="BC30" s="11">
        <f t="shared" si="13"/>
        <v>-0.28475211959550595</v>
      </c>
      <c r="BE30" s="14"/>
      <c r="BF30" s="13" t="s">
        <v>8</v>
      </c>
      <c r="BG30" s="10">
        <v>90</v>
      </c>
      <c r="BH30" s="12">
        <v>91561.904761619997</v>
      </c>
      <c r="BI30" s="10">
        <f t="shared" si="14"/>
        <v>36</v>
      </c>
      <c r="BJ30" s="12">
        <f t="shared" si="15"/>
        <v>39980.952380849994</v>
      </c>
      <c r="BK30" s="11">
        <f t="shared" si="16"/>
        <v>0.77511078286633905</v>
      </c>
      <c r="BM30" s="14"/>
      <c r="BN30" s="13" t="s">
        <v>8</v>
      </c>
      <c r="BO30" s="10">
        <v>66</v>
      </c>
      <c r="BP30" s="12">
        <v>72428.571428359995</v>
      </c>
      <c r="BQ30" s="10">
        <f t="shared" si="17"/>
        <v>-24</v>
      </c>
      <c r="BR30" s="12">
        <f t="shared" si="18"/>
        <v>-19133.333333260001</v>
      </c>
      <c r="BS30" s="11">
        <f t="shared" si="19"/>
        <v>-0.20896609111696987</v>
      </c>
      <c r="BU30" s="14"/>
      <c r="BV30" s="13" t="s">
        <v>8</v>
      </c>
      <c r="BX30" s="12"/>
      <c r="BY30" s="10">
        <f t="shared" si="20"/>
        <v>-66</v>
      </c>
      <c r="BZ30" s="12">
        <f t="shared" si="21"/>
        <v>-72428.571428359995</v>
      </c>
      <c r="CA30" s="11">
        <f t="shared" si="22"/>
        <v>-1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Y31" s="10">
        <v>15</v>
      </c>
      <c r="AZ31" s="12">
        <v>99024.761904739993</v>
      </c>
      <c r="BA31" s="10">
        <f t="shared" si="11"/>
        <v>-9</v>
      </c>
      <c r="BB31" s="12">
        <f t="shared" si="12"/>
        <v>-57889.523809499995</v>
      </c>
      <c r="BC31" s="11">
        <f t="shared" si="13"/>
        <v>-0.36892449623690643</v>
      </c>
      <c r="BE31" s="14"/>
      <c r="BF31" s="13" t="s">
        <v>7</v>
      </c>
      <c r="BG31" s="10">
        <v>28</v>
      </c>
      <c r="BH31" s="12">
        <v>235447.61904753</v>
      </c>
      <c r="BI31" s="10">
        <f t="shared" si="14"/>
        <v>13</v>
      </c>
      <c r="BJ31" s="12">
        <f t="shared" si="15"/>
        <v>136422.85714278999</v>
      </c>
      <c r="BK31" s="11">
        <f t="shared" si="16"/>
        <v>1.3776640763249326</v>
      </c>
      <c r="BM31" s="14"/>
      <c r="BN31" s="13" t="s">
        <v>7</v>
      </c>
      <c r="BO31" s="10">
        <v>17</v>
      </c>
      <c r="BP31" s="12">
        <v>130314.28571421999</v>
      </c>
      <c r="BQ31" s="10">
        <f t="shared" si="17"/>
        <v>-11</v>
      </c>
      <c r="BR31" s="12">
        <f t="shared" si="18"/>
        <v>-105133.33333331</v>
      </c>
      <c r="BS31" s="11">
        <f t="shared" si="19"/>
        <v>-0.44652536202579585</v>
      </c>
      <c r="BU31" s="14"/>
      <c r="BV31" s="13" t="s">
        <v>7</v>
      </c>
      <c r="BX31" s="12"/>
      <c r="BY31" s="10">
        <f t="shared" si="20"/>
        <v>-17</v>
      </c>
      <c r="BZ31" s="12">
        <f t="shared" si="21"/>
        <v>-130314.28571421999</v>
      </c>
      <c r="CA31" s="11">
        <f t="shared" si="22"/>
        <v>-1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Y32" s="10">
        <v>14</v>
      </c>
      <c r="AZ32" s="12">
        <v>174285.71428565</v>
      </c>
      <c r="BA32" s="10">
        <f t="shared" si="11"/>
        <v>6</v>
      </c>
      <c r="BB32" s="12">
        <f t="shared" si="12"/>
        <v>74380.952380940013</v>
      </c>
      <c r="BC32" s="11">
        <f t="shared" si="13"/>
        <v>0.74451858913277025</v>
      </c>
      <c r="BE32" s="14"/>
      <c r="BF32" s="13" t="s">
        <v>6</v>
      </c>
      <c r="BG32" s="10">
        <v>8</v>
      </c>
      <c r="BH32" s="12">
        <v>91619.047619010002</v>
      </c>
      <c r="BI32" s="10">
        <f t="shared" si="14"/>
        <v>-6</v>
      </c>
      <c r="BJ32" s="12">
        <f t="shared" si="15"/>
        <v>-82666.666666639998</v>
      </c>
      <c r="BK32" s="11">
        <f t="shared" si="16"/>
        <v>-0.47431693989073231</v>
      </c>
      <c r="BM32" s="14"/>
      <c r="BN32" s="13" t="s">
        <v>6</v>
      </c>
      <c r="BO32" s="10">
        <v>8</v>
      </c>
      <c r="BP32" s="12">
        <v>83999.999999959997</v>
      </c>
      <c r="BQ32" s="10">
        <f t="shared" si="17"/>
        <v>0</v>
      </c>
      <c r="BR32" s="12">
        <f t="shared" si="18"/>
        <v>-7619.0476190500049</v>
      </c>
      <c r="BS32" s="11">
        <f t="shared" si="19"/>
        <v>-8.3160083160143339E-2</v>
      </c>
      <c r="BU32" s="14"/>
      <c r="BV32" s="13" t="s">
        <v>6</v>
      </c>
      <c r="BX32" s="12"/>
      <c r="BY32" s="10">
        <f t="shared" si="20"/>
        <v>-8</v>
      </c>
      <c r="BZ32" s="12">
        <f t="shared" si="21"/>
        <v>-83999.999999959997</v>
      </c>
      <c r="CA32" s="11">
        <f t="shared" si="22"/>
        <v>-1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Y33" s="10">
        <v>2</v>
      </c>
      <c r="AZ33" s="12">
        <v>18980</v>
      </c>
      <c r="BA33" s="10">
        <f t="shared" si="11"/>
        <v>2</v>
      </c>
      <c r="BB33" s="12">
        <f t="shared" si="12"/>
        <v>18980</v>
      </c>
      <c r="BC33" s="11" t="e">
        <f t="shared" si="13"/>
        <v>#DIV/0!</v>
      </c>
      <c r="BE33" s="14"/>
      <c r="BF33" s="13" t="s">
        <v>5</v>
      </c>
      <c r="BG33" s="10">
        <v>2</v>
      </c>
      <c r="BH33" s="12">
        <v>11280</v>
      </c>
      <c r="BI33" s="10">
        <f t="shared" si="14"/>
        <v>0</v>
      </c>
      <c r="BJ33" s="12">
        <f t="shared" si="15"/>
        <v>-7700</v>
      </c>
      <c r="BK33" s="11">
        <f t="shared" si="16"/>
        <v>-0.40569020021074814</v>
      </c>
      <c r="BM33" s="14"/>
      <c r="BN33" s="13" t="s">
        <v>5</v>
      </c>
      <c r="BO33" s="10">
        <v>1</v>
      </c>
      <c r="BP33" s="12">
        <v>990</v>
      </c>
      <c r="BQ33" s="10">
        <f t="shared" si="17"/>
        <v>-1</v>
      </c>
      <c r="BR33" s="12">
        <f t="shared" si="18"/>
        <v>-10290</v>
      </c>
      <c r="BS33" s="11">
        <f t="shared" si="19"/>
        <v>-0.91223404255319152</v>
      </c>
      <c r="BU33" s="14"/>
      <c r="BV33" s="13" t="s">
        <v>5</v>
      </c>
      <c r="BX33" s="12"/>
      <c r="BY33" s="10">
        <f t="shared" si="20"/>
        <v>-1</v>
      </c>
      <c r="BZ33" s="12">
        <f t="shared" si="21"/>
        <v>-990</v>
      </c>
      <c r="CA33" s="11">
        <f t="shared" si="22"/>
        <v>-1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Y34" s="10">
        <v>2</v>
      </c>
      <c r="AZ34" s="12">
        <v>128735.23809523</v>
      </c>
      <c r="BA34" s="10">
        <f t="shared" si="11"/>
        <v>0</v>
      </c>
      <c r="BB34" s="12">
        <f t="shared" si="12"/>
        <v>79401.904761910002</v>
      </c>
      <c r="BC34" s="11">
        <f t="shared" si="13"/>
        <v>1.6094980694986107</v>
      </c>
      <c r="BE34" s="14"/>
      <c r="BF34" s="13" t="s">
        <v>4</v>
      </c>
      <c r="BG34" s="10">
        <v>5</v>
      </c>
      <c r="BH34" s="12">
        <v>210856.19047617001</v>
      </c>
      <c r="BI34" s="10">
        <f t="shared" si="14"/>
        <v>3</v>
      </c>
      <c r="BJ34" s="12">
        <f t="shared" si="15"/>
        <v>82120.952380940013</v>
      </c>
      <c r="BK34" s="11">
        <f t="shared" si="16"/>
        <v>0.63790577930335002</v>
      </c>
      <c r="BM34" s="14"/>
      <c r="BN34" s="13" t="s">
        <v>4</v>
      </c>
      <c r="BO34" s="10">
        <v>3</v>
      </c>
      <c r="BP34" s="12">
        <v>70190.476190460002</v>
      </c>
      <c r="BQ34" s="10">
        <f t="shared" si="17"/>
        <v>-2</v>
      </c>
      <c r="BR34" s="12">
        <f t="shared" si="18"/>
        <v>-140665.71428571001</v>
      </c>
      <c r="BS34" s="11">
        <f t="shared" si="19"/>
        <v>-0.66711683431275592</v>
      </c>
      <c r="BU34" s="14"/>
      <c r="BV34" s="13" t="s">
        <v>4</v>
      </c>
      <c r="BX34" s="12"/>
      <c r="BY34" s="10">
        <f t="shared" ref="BY34:BY60" si="32">BW34-BO34</f>
        <v>-3</v>
      </c>
      <c r="BZ34" s="12">
        <f t="shared" si="21"/>
        <v>-70190.476190460002</v>
      </c>
      <c r="CA34" s="11">
        <f t="shared" si="22"/>
        <v>-1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Y35" s="10">
        <v>3</v>
      </c>
      <c r="AZ35" s="12">
        <v>52095.238095219996</v>
      </c>
      <c r="BA35" s="10">
        <f t="shared" si="11"/>
        <v>-10</v>
      </c>
      <c r="BB35" s="12">
        <f t="shared" si="12"/>
        <v>-307619.04761901998</v>
      </c>
      <c r="BC35" s="11">
        <f t="shared" si="13"/>
        <v>-0.85517606566060911</v>
      </c>
      <c r="BE35" s="14"/>
      <c r="BF35" s="13" t="s">
        <v>3</v>
      </c>
      <c r="BG35" s="10">
        <v>9</v>
      </c>
      <c r="BH35" s="12">
        <v>225619.04761899999</v>
      </c>
      <c r="BI35" s="10">
        <f t="shared" si="14"/>
        <v>6</v>
      </c>
      <c r="BJ35" s="12">
        <f t="shared" si="15"/>
        <v>173523.80952377999</v>
      </c>
      <c r="BK35" s="11">
        <f t="shared" si="16"/>
        <v>3.330895795247391</v>
      </c>
      <c r="BM35" s="14"/>
      <c r="BN35" s="13" t="s">
        <v>3</v>
      </c>
      <c r="BO35" s="10">
        <v>5</v>
      </c>
      <c r="BP35" s="12">
        <v>160476.19047617001</v>
      </c>
      <c r="BQ35" s="10">
        <f t="shared" si="17"/>
        <v>-4</v>
      </c>
      <c r="BR35" s="12">
        <f t="shared" si="18"/>
        <v>-65142.857142829977</v>
      </c>
      <c r="BS35" s="11">
        <f t="shared" si="19"/>
        <v>-0.28872942169685906</v>
      </c>
      <c r="BU35" s="14"/>
      <c r="BV35" s="13" t="s">
        <v>3</v>
      </c>
      <c r="BX35" s="12"/>
      <c r="BY35" s="10">
        <f t="shared" si="32"/>
        <v>-5</v>
      </c>
      <c r="BZ35" s="12">
        <f t="shared" si="21"/>
        <v>-160476.19047617001</v>
      </c>
      <c r="CA35" s="11">
        <f t="shared" si="22"/>
        <v>-1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Y36" s="10">
        <v>16</v>
      </c>
      <c r="AZ36" s="12">
        <v>648098.09523805999</v>
      </c>
      <c r="BA36" s="10">
        <f t="shared" si="11"/>
        <v>6</v>
      </c>
      <c r="BB36" s="12">
        <f t="shared" si="12"/>
        <v>295619.04761903</v>
      </c>
      <c r="BC36" s="11">
        <f t="shared" si="13"/>
        <v>0.83868544702419867</v>
      </c>
      <c r="BE36" s="14"/>
      <c r="BF36" s="13" t="s">
        <v>2</v>
      </c>
      <c r="BG36" s="10">
        <v>8</v>
      </c>
      <c r="BH36" s="12">
        <v>314476.19047615997</v>
      </c>
      <c r="BI36" s="10">
        <f t="shared" si="14"/>
        <v>-8</v>
      </c>
      <c r="BJ36" s="12">
        <f t="shared" si="15"/>
        <v>-333621.90476190002</v>
      </c>
      <c r="BK36" s="11">
        <f t="shared" si="16"/>
        <v>-0.51477069167955769</v>
      </c>
      <c r="BM36" s="14"/>
      <c r="BN36" s="13" t="s">
        <v>2</v>
      </c>
      <c r="BO36" s="10">
        <v>8</v>
      </c>
      <c r="BP36" s="12">
        <v>280190.47619045997</v>
      </c>
      <c r="BQ36" s="10">
        <f t="shared" si="17"/>
        <v>0</v>
      </c>
      <c r="BR36" s="12">
        <f t="shared" si="18"/>
        <v>-34285.7142857</v>
      </c>
      <c r="BS36" s="11">
        <f t="shared" si="19"/>
        <v>-0.1090248334342474</v>
      </c>
      <c r="BU36" s="14"/>
      <c r="BV36" s="13" t="s">
        <v>2</v>
      </c>
      <c r="BX36" s="12"/>
      <c r="BY36" s="10">
        <f t="shared" si="32"/>
        <v>-8</v>
      </c>
      <c r="BZ36" s="12">
        <f t="shared" si="21"/>
        <v>-280190.47619045997</v>
      </c>
      <c r="CA36" s="11">
        <f t="shared" si="22"/>
        <v>-1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>
        <v>198</v>
      </c>
      <c r="AZ37" s="7">
        <v>1255276.1904754699</v>
      </c>
      <c r="BA37" s="27">
        <f t="shared" si="11"/>
        <v>-43</v>
      </c>
      <c r="BB37" s="28">
        <f t="shared" si="12"/>
        <v>78586.666666739853</v>
      </c>
      <c r="BC37" s="29">
        <f t="shared" si="13"/>
        <v>6.6786238065899575E-2</v>
      </c>
      <c r="BE37" s="9" t="s">
        <v>11</v>
      </c>
      <c r="BF37" s="9"/>
      <c r="BG37" s="8">
        <v>249</v>
      </c>
      <c r="BH37" s="7">
        <v>1283470.47618953</v>
      </c>
      <c r="BI37" s="27">
        <f t="shared" si="14"/>
        <v>51</v>
      </c>
      <c r="BJ37" s="28">
        <f t="shared" si="15"/>
        <v>28194.285714060068</v>
      </c>
      <c r="BK37" s="29">
        <f t="shared" si="16"/>
        <v>2.2460623349655599E-2</v>
      </c>
      <c r="BM37" s="9" t="s">
        <v>11</v>
      </c>
      <c r="BN37" s="9"/>
      <c r="BO37" s="8">
        <v>174</v>
      </c>
      <c r="BP37" s="7">
        <v>855186.19047552999</v>
      </c>
      <c r="BQ37" s="27">
        <f t="shared" si="17"/>
        <v>-75</v>
      </c>
      <c r="BR37" s="28">
        <f t="shared" si="18"/>
        <v>-428284.285714</v>
      </c>
      <c r="BS37" s="29">
        <f t="shared" si="19"/>
        <v>-0.33369235495429916</v>
      </c>
      <c r="BU37" s="9" t="s">
        <v>11</v>
      </c>
      <c r="BV37" s="9"/>
      <c r="BW37" s="8"/>
      <c r="BX37" s="7"/>
      <c r="BY37" s="27">
        <f t="shared" si="32"/>
        <v>-174</v>
      </c>
      <c r="BZ37" s="28">
        <f t="shared" si="21"/>
        <v>-855186.19047552999</v>
      </c>
      <c r="CA37" s="29">
        <f t="shared" si="22"/>
        <v>-1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37</v>
      </c>
      <c r="AY38" s="1">
        <v>1711</v>
      </c>
      <c r="AZ38" s="35"/>
      <c r="BA38" s="10">
        <f t="shared" si="11"/>
        <v>-355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G38" s="1">
        <v>1804</v>
      </c>
      <c r="BH38" s="35"/>
      <c r="BI38" s="10">
        <f t="shared" si="14"/>
        <v>93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37</v>
      </c>
      <c r="BO38" s="1">
        <v>1672</v>
      </c>
      <c r="BP38" s="35"/>
      <c r="BQ38" s="10">
        <f t="shared" si="17"/>
        <v>-132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-1672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38</v>
      </c>
      <c r="AY39" s="1">
        <v>2</v>
      </c>
      <c r="AZ39" s="35"/>
      <c r="BA39" s="10">
        <f t="shared" si="11"/>
        <v>-5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G39" s="1">
        <v>1</v>
      </c>
      <c r="BH39" s="35"/>
      <c r="BI39" s="10">
        <f t="shared" si="14"/>
        <v>-1</v>
      </c>
      <c r="BJ39" s="12">
        <f t="shared" si="15"/>
        <v>0</v>
      </c>
      <c r="BK39" s="11" t="e">
        <f t="shared" si="16"/>
        <v>#DIV/0!</v>
      </c>
      <c r="BM39" s="14"/>
      <c r="BN39" s="32" t="s">
        <v>38</v>
      </c>
      <c r="BP39" s="35"/>
      <c r="BQ39" s="10">
        <f t="shared" si="17"/>
        <v>-1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Y40" s="10">
        <v>97</v>
      </c>
      <c r="AZ40" s="12">
        <v>90916.190475729993</v>
      </c>
      <c r="BA40" s="10">
        <f t="shared" si="11"/>
        <v>-12</v>
      </c>
      <c r="BB40" s="12">
        <f t="shared" si="12"/>
        <v>-12634.285714170008</v>
      </c>
      <c r="BC40" s="11">
        <f t="shared" si="13"/>
        <v>-0.12201088955882868</v>
      </c>
      <c r="BE40" s="14"/>
      <c r="BF40" s="13" t="s">
        <v>9</v>
      </c>
      <c r="BG40" s="10">
        <v>101</v>
      </c>
      <c r="BH40" s="12">
        <v>96915.23809472</v>
      </c>
      <c r="BI40" s="10">
        <f t="shared" si="14"/>
        <v>4</v>
      </c>
      <c r="BJ40" s="12">
        <f t="shared" si="15"/>
        <v>5999.0476189900073</v>
      </c>
      <c r="BK40" s="11">
        <f t="shared" si="16"/>
        <v>6.5984370744080492E-2</v>
      </c>
      <c r="BM40" s="14"/>
      <c r="BN40" s="13" t="s">
        <v>9</v>
      </c>
      <c r="BO40" s="10">
        <v>104</v>
      </c>
      <c r="BP40" s="12">
        <v>76006.666666129997</v>
      </c>
      <c r="BQ40" s="10">
        <f t="shared" si="17"/>
        <v>3</v>
      </c>
      <c r="BR40" s="12">
        <f t="shared" si="18"/>
        <v>-20908.571428590003</v>
      </c>
      <c r="BS40" s="11">
        <f t="shared" si="19"/>
        <v>-0.21574080443526367</v>
      </c>
      <c r="BU40" s="14"/>
      <c r="BV40" s="13" t="s">
        <v>9</v>
      </c>
      <c r="BX40" s="12"/>
      <c r="BY40" s="10">
        <f t="shared" si="32"/>
        <v>-104</v>
      </c>
      <c r="BZ40" s="12">
        <f t="shared" si="21"/>
        <v>-76006.666666129997</v>
      </c>
      <c r="CA40" s="11">
        <f t="shared" si="22"/>
        <v>-1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Y41" s="10">
        <v>64</v>
      </c>
      <c r="AZ41" s="12">
        <v>71868.571428339987</v>
      </c>
      <c r="BA41" s="10">
        <f t="shared" si="11"/>
        <v>-15</v>
      </c>
      <c r="BB41" s="12">
        <f t="shared" si="12"/>
        <v>-32483.809523770018</v>
      </c>
      <c r="BC41" s="11">
        <f t="shared" si="13"/>
        <v>-0.31128958656609546</v>
      </c>
      <c r="BE41" s="14"/>
      <c r="BF41" s="13" t="s">
        <v>8</v>
      </c>
      <c r="BG41" s="10">
        <v>83</v>
      </c>
      <c r="BH41" s="12">
        <v>102161.90476165</v>
      </c>
      <c r="BI41" s="10">
        <f t="shared" si="14"/>
        <v>19</v>
      </c>
      <c r="BJ41" s="12">
        <f t="shared" si="15"/>
        <v>30293.333333310016</v>
      </c>
      <c r="BK41" s="11">
        <f t="shared" si="16"/>
        <v>0.42151016405711417</v>
      </c>
      <c r="BM41" s="14"/>
      <c r="BN41" s="13" t="s">
        <v>8</v>
      </c>
      <c r="BO41" s="10">
        <v>66</v>
      </c>
      <c r="BP41" s="12">
        <v>85561.90476166</v>
      </c>
      <c r="BQ41" s="10">
        <f t="shared" si="17"/>
        <v>-17</v>
      </c>
      <c r="BR41" s="12">
        <f t="shared" si="18"/>
        <v>-16599.999999990003</v>
      </c>
      <c r="BS41" s="11">
        <f t="shared" si="19"/>
        <v>-0.16248718187781269</v>
      </c>
      <c r="BU41" s="14"/>
      <c r="BV41" s="13" t="s">
        <v>8</v>
      </c>
      <c r="BX41" s="12"/>
      <c r="BY41" s="10">
        <f t="shared" si="32"/>
        <v>-66</v>
      </c>
      <c r="BZ41" s="12">
        <f t="shared" si="21"/>
        <v>-85561.90476166</v>
      </c>
      <c r="CA41" s="11">
        <f t="shared" si="22"/>
        <v>-1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Y42" s="10">
        <v>12</v>
      </c>
      <c r="AZ42" s="12">
        <v>94171.4285714</v>
      </c>
      <c r="BA42" s="10">
        <f t="shared" si="11"/>
        <v>-10</v>
      </c>
      <c r="BB42" s="12">
        <f t="shared" si="12"/>
        <v>-59904.761904760002</v>
      </c>
      <c r="BC42" s="11">
        <f t="shared" si="13"/>
        <v>-0.38879960440110301</v>
      </c>
      <c r="BE42" s="14"/>
      <c r="BF42" s="13" t="s">
        <v>7</v>
      </c>
      <c r="BG42" s="10">
        <v>11</v>
      </c>
      <c r="BH42" s="12">
        <v>77038.095238080001</v>
      </c>
      <c r="BI42" s="10">
        <f t="shared" si="14"/>
        <v>-1</v>
      </c>
      <c r="BJ42" s="12">
        <f t="shared" si="15"/>
        <v>-17133.333333319999</v>
      </c>
      <c r="BK42" s="11">
        <f t="shared" si="16"/>
        <v>-0.18193770226528577</v>
      </c>
      <c r="BM42" s="14"/>
      <c r="BN42" s="13" t="s">
        <v>7</v>
      </c>
      <c r="BO42" s="10">
        <v>4</v>
      </c>
      <c r="BP42" s="12">
        <v>27104.761904750001</v>
      </c>
      <c r="BQ42" s="10">
        <f t="shared" si="17"/>
        <v>-7</v>
      </c>
      <c r="BR42" s="12">
        <f t="shared" si="18"/>
        <v>-49933.333333329996</v>
      </c>
      <c r="BS42" s="11">
        <f t="shared" si="19"/>
        <v>-0.64816417356912925</v>
      </c>
      <c r="BU42" s="14"/>
      <c r="BV42" s="13" t="s">
        <v>7</v>
      </c>
      <c r="BX42" s="12"/>
      <c r="BY42" s="10">
        <f t="shared" si="32"/>
        <v>-4</v>
      </c>
      <c r="BZ42" s="12">
        <f t="shared" si="21"/>
        <v>-27104.761904750001</v>
      </c>
      <c r="CA42" s="11">
        <f t="shared" si="22"/>
        <v>-1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Y43" s="10">
        <v>5</v>
      </c>
      <c r="AZ43" s="12">
        <v>54761.904761880003</v>
      </c>
      <c r="BA43" s="10">
        <f t="shared" si="11"/>
        <v>-7</v>
      </c>
      <c r="BB43" s="12">
        <f t="shared" si="12"/>
        <v>-54571.428571429999</v>
      </c>
      <c r="BC43" s="11">
        <f t="shared" si="13"/>
        <v>-0.49912891986074676</v>
      </c>
      <c r="BE43" s="14"/>
      <c r="BF43" s="13" t="s">
        <v>6</v>
      </c>
      <c r="BG43" s="10">
        <v>5</v>
      </c>
      <c r="BH43" s="12">
        <v>54761.904761880003</v>
      </c>
      <c r="BI43" s="10">
        <f t="shared" si="14"/>
        <v>0</v>
      </c>
      <c r="BJ43" s="12">
        <f t="shared" si="15"/>
        <v>0</v>
      </c>
      <c r="BK43" s="11">
        <f t="shared" si="16"/>
        <v>0</v>
      </c>
      <c r="BM43" s="14"/>
      <c r="BN43" s="13" t="s">
        <v>6</v>
      </c>
      <c r="BO43" s="10">
        <v>2</v>
      </c>
      <c r="BP43" s="12">
        <v>16952.380952380001</v>
      </c>
      <c r="BQ43" s="10">
        <f t="shared" si="17"/>
        <v>-3</v>
      </c>
      <c r="BR43" s="12">
        <f t="shared" si="18"/>
        <v>-37809.523809500002</v>
      </c>
      <c r="BS43" s="11">
        <f t="shared" si="19"/>
        <v>-0.69043478260857305</v>
      </c>
      <c r="BU43" s="14"/>
      <c r="BV43" s="13" t="s">
        <v>6</v>
      </c>
      <c r="BX43" s="12"/>
      <c r="BY43" s="10">
        <f t="shared" si="32"/>
        <v>-2</v>
      </c>
      <c r="BZ43" s="12">
        <f t="shared" si="21"/>
        <v>-16952.380952380001</v>
      </c>
      <c r="CA43" s="11">
        <f t="shared" si="22"/>
        <v>-1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Y44" s="10">
        <v>0</v>
      </c>
      <c r="AZ44" s="12">
        <v>0</v>
      </c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G44" s="10">
        <v>3</v>
      </c>
      <c r="BH44" s="12">
        <v>15270</v>
      </c>
      <c r="BI44" s="10">
        <f t="shared" si="14"/>
        <v>3</v>
      </c>
      <c r="BJ44" s="12">
        <f t="shared" si="15"/>
        <v>15270</v>
      </c>
      <c r="BK44" s="11" t="e">
        <f t="shared" si="16"/>
        <v>#DIV/0!</v>
      </c>
      <c r="BM44" s="14"/>
      <c r="BN44" s="13" t="s">
        <v>5</v>
      </c>
      <c r="BO44" s="10">
        <v>2</v>
      </c>
      <c r="BP44" s="12">
        <v>4608</v>
      </c>
      <c r="BQ44" s="10">
        <f t="shared" si="17"/>
        <v>-1</v>
      </c>
      <c r="BR44" s="12">
        <f t="shared" si="18"/>
        <v>-10662</v>
      </c>
      <c r="BS44" s="11">
        <f t="shared" si="19"/>
        <v>-0.69823182711198428</v>
      </c>
      <c r="BU44" s="14"/>
      <c r="BV44" s="13" t="s">
        <v>5</v>
      </c>
      <c r="BX44" s="12"/>
      <c r="BY44" s="10">
        <f t="shared" si="32"/>
        <v>-2</v>
      </c>
      <c r="BZ44" s="12">
        <f t="shared" si="21"/>
        <v>-4608</v>
      </c>
      <c r="CA44" s="11">
        <f t="shared" si="22"/>
        <v>-1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Y45" s="10">
        <v>2</v>
      </c>
      <c r="AZ45" s="12">
        <v>46476.190476180003</v>
      </c>
      <c r="BA45" s="10">
        <f t="shared" si="11"/>
        <v>-4</v>
      </c>
      <c r="BB45" s="12">
        <f t="shared" si="12"/>
        <v>-214858.09523807</v>
      </c>
      <c r="BC45" s="11">
        <f t="shared" si="13"/>
        <v>-0.82215808251429234</v>
      </c>
      <c r="BE45" s="14"/>
      <c r="BF45" s="13" t="s">
        <v>4</v>
      </c>
      <c r="BG45" s="10">
        <v>4</v>
      </c>
      <c r="BH45" s="12">
        <v>129160.95238094</v>
      </c>
      <c r="BI45" s="10">
        <f t="shared" si="14"/>
        <v>2</v>
      </c>
      <c r="BJ45" s="12">
        <f t="shared" si="15"/>
        <v>82684.761904760002</v>
      </c>
      <c r="BK45" s="11">
        <f t="shared" si="16"/>
        <v>1.779077868852819</v>
      </c>
      <c r="BM45" s="14"/>
      <c r="BN45" s="13" t="s">
        <v>4</v>
      </c>
      <c r="BO45" s="10">
        <v>7</v>
      </c>
      <c r="BP45" s="12">
        <v>214542.85714281001</v>
      </c>
      <c r="BQ45" s="10">
        <f t="shared" si="17"/>
        <v>3</v>
      </c>
      <c r="BR45" s="12">
        <f t="shared" si="18"/>
        <v>85381.904761870013</v>
      </c>
      <c r="BS45" s="11">
        <f t="shared" si="19"/>
        <v>0.66105044278435998</v>
      </c>
      <c r="BU45" s="14"/>
      <c r="BV45" s="13" t="s">
        <v>4</v>
      </c>
      <c r="BX45" s="12"/>
      <c r="BY45" s="10">
        <f t="shared" si="32"/>
        <v>-7</v>
      </c>
      <c r="BZ45" s="12">
        <f t="shared" si="21"/>
        <v>-214542.85714281001</v>
      </c>
      <c r="CA45" s="11">
        <f t="shared" si="22"/>
        <v>-1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Y46" s="10">
        <v>7</v>
      </c>
      <c r="AZ46" s="12">
        <v>201142.85714281999</v>
      </c>
      <c r="BA46" s="10">
        <f t="shared" si="11"/>
        <v>-1</v>
      </c>
      <c r="BB46" s="12">
        <f t="shared" si="12"/>
        <v>21809.523809520004</v>
      </c>
      <c r="BC46" s="11">
        <f t="shared" si="13"/>
        <v>0.12161444503452078</v>
      </c>
      <c r="BE46" s="14"/>
      <c r="BF46" s="13" t="s">
        <v>3</v>
      </c>
      <c r="BG46" s="10">
        <v>9</v>
      </c>
      <c r="BH46" s="12">
        <v>215809.52380947</v>
      </c>
      <c r="BI46" s="10">
        <f t="shared" si="14"/>
        <v>2</v>
      </c>
      <c r="BJ46" s="12">
        <f t="shared" si="15"/>
        <v>14666.66666665001</v>
      </c>
      <c r="BK46" s="11">
        <f t="shared" si="16"/>
        <v>7.2916666666597324E-2</v>
      </c>
      <c r="BM46" s="14"/>
      <c r="BN46" s="13" t="s">
        <v>3</v>
      </c>
      <c r="BO46" s="10">
        <v>13</v>
      </c>
      <c r="BP46" s="12">
        <v>245238.09523802</v>
      </c>
      <c r="BQ46" s="10">
        <f t="shared" si="17"/>
        <v>4</v>
      </c>
      <c r="BR46" s="12">
        <f t="shared" si="18"/>
        <v>29428.57142855</v>
      </c>
      <c r="BS46" s="11">
        <f t="shared" si="19"/>
        <v>0.13636363636357107</v>
      </c>
      <c r="BU46" s="14"/>
      <c r="BV46" s="13" t="s">
        <v>3</v>
      </c>
      <c r="BX46" s="12"/>
      <c r="BY46" s="10">
        <f t="shared" si="32"/>
        <v>-13</v>
      </c>
      <c r="BZ46" s="12">
        <f t="shared" si="21"/>
        <v>-245238.09523802</v>
      </c>
      <c r="CA46" s="11">
        <f t="shared" si="22"/>
        <v>-1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Y47" s="10">
        <v>16</v>
      </c>
      <c r="AZ47" s="12">
        <v>650857.14285712002</v>
      </c>
      <c r="BA47" s="10">
        <f t="shared" si="11"/>
        <v>-8</v>
      </c>
      <c r="BB47" s="12">
        <f t="shared" si="12"/>
        <v>-271619.04761903989</v>
      </c>
      <c r="BC47" s="11">
        <f t="shared" si="13"/>
        <v>-0.29444559157547112</v>
      </c>
      <c r="BE47" s="14"/>
      <c r="BF47" s="13" t="s">
        <v>2</v>
      </c>
      <c r="BG47" s="10">
        <v>15</v>
      </c>
      <c r="BH47" s="12">
        <v>490952.38095235999</v>
      </c>
      <c r="BI47" s="10">
        <f t="shared" si="14"/>
        <v>-1</v>
      </c>
      <c r="BJ47" s="12">
        <f t="shared" si="15"/>
        <v>-159904.76190476003</v>
      </c>
      <c r="BK47" s="11">
        <f t="shared" si="16"/>
        <v>-0.24568334796605784</v>
      </c>
      <c r="BM47" s="14"/>
      <c r="BN47" s="13" t="s">
        <v>2</v>
      </c>
      <c r="BO47" s="10">
        <v>22</v>
      </c>
      <c r="BP47" s="12">
        <v>702493.33333330997</v>
      </c>
      <c r="BQ47" s="10">
        <f t="shared" si="17"/>
        <v>7</v>
      </c>
      <c r="BR47" s="12">
        <f t="shared" si="18"/>
        <v>211540.95238094998</v>
      </c>
      <c r="BS47" s="11">
        <f t="shared" si="19"/>
        <v>0.43087875848691942</v>
      </c>
      <c r="BU47" s="14"/>
      <c r="BV47" s="13" t="s">
        <v>2</v>
      </c>
      <c r="BX47" s="12"/>
      <c r="BY47" s="10">
        <f t="shared" si="32"/>
        <v>-22</v>
      </c>
      <c r="BZ47" s="12">
        <f t="shared" si="21"/>
        <v>-702493.33333330997</v>
      </c>
      <c r="CA47" s="11">
        <f t="shared" si="22"/>
        <v>-1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>
        <v>203</v>
      </c>
      <c r="AZ48" s="7">
        <v>1210194.2857134701</v>
      </c>
      <c r="BA48" s="27">
        <f t="shared" si="11"/>
        <v>-60</v>
      </c>
      <c r="BB48" s="28">
        <f t="shared" si="12"/>
        <v>-633751.90476171998</v>
      </c>
      <c r="BC48" s="29">
        <f t="shared" si="13"/>
        <v>-0.34369327480125672</v>
      </c>
      <c r="BE48" s="9" t="s">
        <v>10</v>
      </c>
      <c r="BF48" s="9"/>
      <c r="BG48" s="8">
        <v>231</v>
      </c>
      <c r="BH48" s="7">
        <v>1182069.9999991001</v>
      </c>
      <c r="BI48" s="27">
        <f t="shared" si="14"/>
        <v>28</v>
      </c>
      <c r="BJ48" s="28">
        <f t="shared" si="15"/>
        <v>-28124.285714369966</v>
      </c>
      <c r="BK48" s="29">
        <f t="shared" si="16"/>
        <v>-2.3239479847476964E-2</v>
      </c>
      <c r="BM48" s="9" t="s">
        <v>10</v>
      </c>
      <c r="BN48" s="9"/>
      <c r="BO48" s="8">
        <v>220</v>
      </c>
      <c r="BP48" s="7">
        <v>1372507.9999990601</v>
      </c>
      <c r="BQ48" s="27">
        <f t="shared" si="17"/>
        <v>-11</v>
      </c>
      <c r="BR48" s="28">
        <f t="shared" si="18"/>
        <v>190437.99999995995</v>
      </c>
      <c r="BS48" s="29">
        <f t="shared" si="19"/>
        <v>0.16110551828580788</v>
      </c>
      <c r="BU48" s="9" t="s">
        <v>10</v>
      </c>
      <c r="BV48" s="9"/>
      <c r="BW48" s="8"/>
      <c r="BX48" s="7"/>
      <c r="BY48" s="27">
        <f t="shared" si="32"/>
        <v>-220</v>
      </c>
      <c r="BZ48" s="28">
        <f t="shared" si="21"/>
        <v>-1372507.9999990601</v>
      </c>
      <c r="CA48" s="29">
        <f t="shared" si="22"/>
        <v>-1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37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37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38</v>
      </c>
      <c r="AY50" s="1">
        <v>3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G50" s="1">
        <v>2</v>
      </c>
      <c r="BH50" s="35"/>
      <c r="BI50" s="10">
        <f t="shared" si="14"/>
        <v>-1</v>
      </c>
      <c r="BJ50" s="12">
        <f t="shared" si="15"/>
        <v>0</v>
      </c>
      <c r="BK50" s="11" t="e">
        <f t="shared" si="16"/>
        <v>#DIV/0!</v>
      </c>
      <c r="BM50" s="14"/>
      <c r="BN50" s="32" t="s">
        <v>38</v>
      </c>
      <c r="BP50" s="35"/>
      <c r="BQ50" s="10">
        <f t="shared" si="17"/>
        <v>-2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Y51" s="10">
        <v>112</v>
      </c>
      <c r="AZ51" s="12">
        <v>111609.52380893</v>
      </c>
      <c r="BA51" s="10">
        <f t="shared" si="11"/>
        <v>8</v>
      </c>
      <c r="BB51" s="12">
        <f t="shared" si="12"/>
        <v>4437.1428570900025</v>
      </c>
      <c r="BC51" s="11">
        <f t="shared" si="13"/>
        <v>4.1401924802658994E-2</v>
      </c>
      <c r="BE51" s="14"/>
      <c r="BF51" s="13" t="s">
        <v>9</v>
      </c>
      <c r="BG51" s="10">
        <v>114</v>
      </c>
      <c r="BH51" s="12">
        <v>109647.61904706</v>
      </c>
      <c r="BI51" s="10">
        <f t="shared" si="14"/>
        <v>2</v>
      </c>
      <c r="BJ51" s="12">
        <f t="shared" si="15"/>
        <v>-1961.9047618699988</v>
      </c>
      <c r="BK51" s="11">
        <f t="shared" si="16"/>
        <v>-1.757829166289324E-2</v>
      </c>
      <c r="BM51" s="14"/>
      <c r="BN51" s="13" t="s">
        <v>9</v>
      </c>
      <c r="BO51" s="10">
        <v>109</v>
      </c>
      <c r="BP51" s="12">
        <v>108975.23809471</v>
      </c>
      <c r="BQ51" s="10">
        <f t="shared" si="17"/>
        <v>-5</v>
      </c>
      <c r="BR51" s="12">
        <f t="shared" si="18"/>
        <v>-672.38095234999491</v>
      </c>
      <c r="BS51" s="11">
        <f t="shared" si="19"/>
        <v>-6.1321983841839166E-3</v>
      </c>
      <c r="BU51" s="14"/>
      <c r="BV51" s="13" t="s">
        <v>9</v>
      </c>
      <c r="BX51" s="12"/>
      <c r="BY51" s="10">
        <f t="shared" si="32"/>
        <v>-109</v>
      </c>
      <c r="BZ51" s="12">
        <f t="shared" si="21"/>
        <v>-108975.23809471</v>
      </c>
      <c r="CA51" s="11">
        <f t="shared" si="22"/>
        <v>-1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Y52" s="10">
        <v>68</v>
      </c>
      <c r="AZ52" s="12">
        <v>67161.904761679994</v>
      </c>
      <c r="BA52" s="10">
        <f t="shared" si="11"/>
        <v>6</v>
      </c>
      <c r="BB52" s="12">
        <f t="shared" si="12"/>
        <v>-4628.571428559997</v>
      </c>
      <c r="BC52" s="11">
        <f t="shared" si="13"/>
        <v>-6.4473335102202003E-2</v>
      </c>
      <c r="BE52" s="14"/>
      <c r="BF52" s="13" t="s">
        <v>8</v>
      </c>
      <c r="BG52" s="10">
        <v>71</v>
      </c>
      <c r="BH52" s="12">
        <v>81323.809523529999</v>
      </c>
      <c r="BI52" s="10">
        <f t="shared" si="14"/>
        <v>3</v>
      </c>
      <c r="BJ52" s="12">
        <f t="shared" si="15"/>
        <v>14161.904761850004</v>
      </c>
      <c r="BK52" s="11">
        <f t="shared" si="16"/>
        <v>0.21086216676109287</v>
      </c>
      <c r="BM52" s="14"/>
      <c r="BN52" s="13" t="s">
        <v>8</v>
      </c>
      <c r="BO52" s="10">
        <v>76</v>
      </c>
      <c r="BP52" s="12">
        <v>76523.809523589996</v>
      </c>
      <c r="BQ52" s="10">
        <f t="shared" si="17"/>
        <v>5</v>
      </c>
      <c r="BR52" s="12">
        <f t="shared" si="18"/>
        <v>-4799.9999999400025</v>
      </c>
      <c r="BS52" s="11">
        <f t="shared" si="19"/>
        <v>-5.9023304836097037E-2</v>
      </c>
      <c r="BU52" s="14"/>
      <c r="BV52" s="13" t="s">
        <v>8</v>
      </c>
      <c r="BX52" s="12"/>
      <c r="BY52" s="10">
        <f t="shared" si="32"/>
        <v>-76</v>
      </c>
      <c r="BZ52" s="12">
        <f t="shared" si="21"/>
        <v>-76523.809523589996</v>
      </c>
      <c r="CA52" s="11">
        <f t="shared" si="22"/>
        <v>-1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Y53" s="10">
        <v>11</v>
      </c>
      <c r="AZ53" s="12">
        <v>62752.380952359992</v>
      </c>
      <c r="BA53" s="10">
        <f t="shared" si="11"/>
        <v>-5</v>
      </c>
      <c r="BB53" s="12">
        <f t="shared" si="12"/>
        <v>-29952.380952369989</v>
      </c>
      <c r="BC53" s="11">
        <f t="shared" si="13"/>
        <v>-0.32309430860899241</v>
      </c>
      <c r="BE53" s="14"/>
      <c r="BF53" s="13" t="s">
        <v>7</v>
      </c>
      <c r="BG53" s="10">
        <v>15</v>
      </c>
      <c r="BH53" s="12">
        <v>112238.09523806001</v>
      </c>
      <c r="BI53" s="10">
        <f t="shared" si="14"/>
        <v>4</v>
      </c>
      <c r="BJ53" s="12">
        <f t="shared" si="15"/>
        <v>49485.714285700014</v>
      </c>
      <c r="BK53" s="11">
        <f t="shared" si="16"/>
        <v>0.78858703900443727</v>
      </c>
      <c r="BM53" s="14"/>
      <c r="BN53" s="13" t="s">
        <v>7</v>
      </c>
      <c r="BO53" s="10">
        <v>7</v>
      </c>
      <c r="BP53" s="12">
        <v>51958.095238069996</v>
      </c>
      <c r="BQ53" s="10">
        <f t="shared" si="17"/>
        <v>-8</v>
      </c>
      <c r="BR53" s="12">
        <f t="shared" si="18"/>
        <v>-60279.99999999001</v>
      </c>
      <c r="BS53" s="11">
        <f t="shared" si="19"/>
        <v>-0.5370725498515857</v>
      </c>
      <c r="BU53" s="14"/>
      <c r="BV53" s="13" t="s">
        <v>7</v>
      </c>
      <c r="BX53" s="12"/>
      <c r="BY53" s="10">
        <f t="shared" si="32"/>
        <v>-7</v>
      </c>
      <c r="BZ53" s="12">
        <f t="shared" si="21"/>
        <v>-51958.095238069996</v>
      </c>
      <c r="CA53" s="11">
        <f t="shared" si="22"/>
        <v>-1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Y54" s="10">
        <v>8</v>
      </c>
      <c r="AZ54" s="12">
        <v>92571.428571390003</v>
      </c>
      <c r="BA54" s="10">
        <f t="shared" si="11"/>
        <v>-7</v>
      </c>
      <c r="BB54" s="12">
        <f t="shared" si="12"/>
        <v>-94571.428571399985</v>
      </c>
      <c r="BC54" s="11">
        <f t="shared" si="13"/>
        <v>-0.50534351145041023</v>
      </c>
      <c r="BE54" s="14"/>
      <c r="BF54" s="13" t="s">
        <v>6</v>
      </c>
      <c r="BG54" s="10">
        <v>11</v>
      </c>
      <c r="BH54" s="12">
        <v>124666.66666662</v>
      </c>
      <c r="BI54" s="10">
        <f t="shared" si="14"/>
        <v>3</v>
      </c>
      <c r="BJ54" s="12">
        <f t="shared" si="15"/>
        <v>32095.238095230001</v>
      </c>
      <c r="BK54" s="11">
        <f t="shared" si="16"/>
        <v>0.34670781893009817</v>
      </c>
      <c r="BM54" s="14"/>
      <c r="BN54" s="13" t="s">
        <v>6</v>
      </c>
      <c r="BO54" s="10">
        <v>3</v>
      </c>
      <c r="BP54" s="12">
        <v>22571.4285714</v>
      </c>
      <c r="BQ54" s="10">
        <f t="shared" si="17"/>
        <v>-8</v>
      </c>
      <c r="BR54" s="12">
        <f t="shared" si="18"/>
        <v>-102095.23809522</v>
      </c>
      <c r="BS54" s="11">
        <f t="shared" si="19"/>
        <v>-0.81894576012239217</v>
      </c>
      <c r="BU54" s="14"/>
      <c r="BV54" s="13" t="s">
        <v>6</v>
      </c>
      <c r="BX54" s="12"/>
      <c r="BY54" s="10">
        <f t="shared" si="32"/>
        <v>-3</v>
      </c>
      <c r="BZ54" s="12">
        <f t="shared" si="21"/>
        <v>-22571.4285714</v>
      </c>
      <c r="CA54" s="11">
        <f t="shared" si="22"/>
        <v>-1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Y55" s="10">
        <v>6</v>
      </c>
      <c r="AZ55" s="12">
        <v>14840</v>
      </c>
      <c r="BA55" s="10">
        <f t="shared" si="11"/>
        <v>1</v>
      </c>
      <c r="BB55" s="12">
        <f t="shared" si="12"/>
        <v>-12710</v>
      </c>
      <c r="BC55" s="11">
        <f t="shared" si="13"/>
        <v>-0.46134301270417422</v>
      </c>
      <c r="BE55" s="14"/>
      <c r="BF55" s="13" t="s">
        <v>5</v>
      </c>
      <c r="BG55" s="10">
        <v>3</v>
      </c>
      <c r="BH55" s="12">
        <v>11370</v>
      </c>
      <c r="BI55" s="10">
        <f t="shared" si="14"/>
        <v>-3</v>
      </c>
      <c r="BJ55" s="12">
        <f t="shared" si="15"/>
        <v>-3470</v>
      </c>
      <c r="BK55" s="11">
        <f t="shared" si="16"/>
        <v>-0.23382749326145552</v>
      </c>
      <c r="BM55" s="14"/>
      <c r="BN55" s="13" t="s">
        <v>5</v>
      </c>
      <c r="BO55" s="10">
        <v>2</v>
      </c>
      <c r="BP55" s="12">
        <v>9680</v>
      </c>
      <c r="BQ55" s="10">
        <f t="shared" si="17"/>
        <v>-1</v>
      </c>
      <c r="BR55" s="12">
        <f t="shared" si="18"/>
        <v>-1690</v>
      </c>
      <c r="BS55" s="11">
        <f t="shared" si="19"/>
        <v>-0.14863676341248899</v>
      </c>
      <c r="BU55" s="14"/>
      <c r="BV55" s="13" t="s">
        <v>5</v>
      </c>
      <c r="BX55" s="12"/>
      <c r="BY55" s="10">
        <f t="shared" si="32"/>
        <v>-2</v>
      </c>
      <c r="BZ55" s="12">
        <f t="shared" si="21"/>
        <v>-9680</v>
      </c>
      <c r="CA55" s="11">
        <f t="shared" si="22"/>
        <v>-1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Y56" s="10">
        <v>6</v>
      </c>
      <c r="AZ56" s="12">
        <v>383238.09523805999</v>
      </c>
      <c r="BA56" s="10">
        <f t="shared" si="11"/>
        <v>1</v>
      </c>
      <c r="BB56" s="12">
        <f t="shared" si="12"/>
        <v>165419.04761903998</v>
      </c>
      <c r="BC56" s="11">
        <f t="shared" si="13"/>
        <v>0.75943334353554282</v>
      </c>
      <c r="BE56" s="14"/>
      <c r="BF56" s="13" t="s">
        <v>4</v>
      </c>
      <c r="BG56" s="10">
        <v>6</v>
      </c>
      <c r="BH56" s="12">
        <v>191647.61904758</v>
      </c>
      <c r="BI56" s="10">
        <f t="shared" si="14"/>
        <v>0</v>
      </c>
      <c r="BJ56" s="12">
        <f t="shared" si="15"/>
        <v>-191590.47619048</v>
      </c>
      <c r="BK56" s="11">
        <f t="shared" si="16"/>
        <v>-0.49992544731615929</v>
      </c>
      <c r="BM56" s="14"/>
      <c r="BN56" s="13" t="s">
        <v>4</v>
      </c>
      <c r="BO56" s="10">
        <v>8</v>
      </c>
      <c r="BP56" s="12">
        <v>273257.1428571</v>
      </c>
      <c r="BQ56" s="10">
        <f t="shared" si="17"/>
        <v>2</v>
      </c>
      <c r="BR56" s="12">
        <f t="shared" si="18"/>
        <v>81609.523809520004</v>
      </c>
      <c r="BS56" s="11">
        <f t="shared" si="19"/>
        <v>0.42583113849830279</v>
      </c>
      <c r="BU56" s="14"/>
      <c r="BV56" s="13" t="s">
        <v>4</v>
      </c>
      <c r="BX56" s="12"/>
      <c r="BY56" s="10">
        <f t="shared" si="32"/>
        <v>-8</v>
      </c>
      <c r="BZ56" s="12">
        <f t="shared" si="21"/>
        <v>-273257.1428571</v>
      </c>
      <c r="CA56" s="11">
        <f t="shared" si="22"/>
        <v>-1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Y57" s="10">
        <v>8</v>
      </c>
      <c r="AZ57" s="12">
        <v>200666.66666662</v>
      </c>
      <c r="BA57" s="10">
        <f t="shared" si="11"/>
        <v>-5</v>
      </c>
      <c r="BB57" s="12">
        <f t="shared" si="12"/>
        <v>-140952.38095235999</v>
      </c>
      <c r="BC57" s="11">
        <f t="shared" si="13"/>
        <v>-0.41260105938111874</v>
      </c>
      <c r="BE57" s="14"/>
      <c r="BF57" s="13" t="s">
        <v>3</v>
      </c>
      <c r="BG57" s="10">
        <v>17</v>
      </c>
      <c r="BH57" s="12">
        <v>399809.52380944003</v>
      </c>
      <c r="BI57" s="10">
        <f t="shared" si="14"/>
        <v>9</v>
      </c>
      <c r="BJ57" s="12">
        <f t="shared" si="15"/>
        <v>199142.85714282002</v>
      </c>
      <c r="BK57" s="11">
        <f t="shared" si="16"/>
        <v>0.9924062648315598</v>
      </c>
      <c r="BM57" s="14"/>
      <c r="BN57" s="13" t="s">
        <v>3</v>
      </c>
      <c r="BO57" s="10">
        <v>12</v>
      </c>
      <c r="BP57" s="12">
        <v>318857.14285708999</v>
      </c>
      <c r="BQ57" s="10">
        <f t="shared" si="17"/>
        <v>-5</v>
      </c>
      <c r="BR57" s="12">
        <f t="shared" si="18"/>
        <v>-80952.380952350039</v>
      </c>
      <c r="BS57" s="11">
        <f t="shared" si="19"/>
        <v>-0.20247737017623951</v>
      </c>
      <c r="BU57" s="14"/>
      <c r="BV57" s="13" t="s">
        <v>3</v>
      </c>
      <c r="BX57" s="12"/>
      <c r="BY57" s="10">
        <f t="shared" si="32"/>
        <v>-12</v>
      </c>
      <c r="BZ57" s="12">
        <f t="shared" si="21"/>
        <v>-318857.14285708999</v>
      </c>
      <c r="CA57" s="11">
        <f t="shared" si="22"/>
        <v>-1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Y58" s="10">
        <v>19</v>
      </c>
      <c r="AZ58" s="12">
        <v>773428.57142853003</v>
      </c>
      <c r="BA58" s="10">
        <f t="shared" si="11"/>
        <v>9</v>
      </c>
      <c r="BB58" s="12">
        <f t="shared" si="12"/>
        <v>385809.52380951005</v>
      </c>
      <c r="BC58" s="11">
        <f t="shared" si="13"/>
        <v>0.99533169533173083</v>
      </c>
      <c r="BE58" s="14"/>
      <c r="BF58" s="13" t="s">
        <v>2</v>
      </c>
      <c r="BG58" s="10">
        <v>17</v>
      </c>
      <c r="BH58" s="12">
        <v>645047.61904757994</v>
      </c>
      <c r="BI58" s="10">
        <f t="shared" si="14"/>
        <v>-2</v>
      </c>
      <c r="BJ58" s="12">
        <f t="shared" si="15"/>
        <v>-128380.9523809501</v>
      </c>
      <c r="BK58" s="11">
        <f t="shared" si="16"/>
        <v>-0.16598941017116711</v>
      </c>
      <c r="BM58" s="14"/>
      <c r="BN58" s="13" t="s">
        <v>2</v>
      </c>
      <c r="BO58" s="10">
        <v>9</v>
      </c>
      <c r="BP58" s="12">
        <v>284857.14285712998</v>
      </c>
      <c r="BQ58" s="10">
        <f t="shared" si="17"/>
        <v>-8</v>
      </c>
      <c r="BR58" s="12">
        <f t="shared" si="18"/>
        <v>-360190.47619044996</v>
      </c>
      <c r="BS58" s="11">
        <f t="shared" si="19"/>
        <v>-0.55839362173334617</v>
      </c>
      <c r="BU58" s="14"/>
      <c r="BV58" s="13" t="s">
        <v>2</v>
      </c>
      <c r="BX58" s="12"/>
      <c r="BY58" s="10">
        <f t="shared" si="32"/>
        <v>-9</v>
      </c>
      <c r="BZ58" s="12">
        <f t="shared" si="21"/>
        <v>-284857.14285712998</v>
      </c>
      <c r="CA58" s="11">
        <f t="shared" si="22"/>
        <v>-1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>
        <v>238</v>
      </c>
      <c r="AZ59" s="7">
        <v>1706268.57142757</v>
      </c>
      <c r="BA59" s="27">
        <f t="shared" si="11"/>
        <v>8</v>
      </c>
      <c r="BB59" s="28">
        <f t="shared" si="12"/>
        <v>272850.95238094986</v>
      </c>
      <c r="BC59" s="29">
        <f t="shared" si="13"/>
        <v>0.19034993623311652</v>
      </c>
      <c r="BE59" s="9" t="s">
        <v>1</v>
      </c>
      <c r="BF59" s="9"/>
      <c r="BG59" s="8">
        <v>254</v>
      </c>
      <c r="BH59" s="7">
        <v>1675750.95237987</v>
      </c>
      <c r="BI59" s="27">
        <f t="shared" si="14"/>
        <v>16</v>
      </c>
      <c r="BJ59" s="28">
        <f t="shared" si="15"/>
        <v>-30517.619047699962</v>
      </c>
      <c r="BK59" s="29">
        <f t="shared" si="16"/>
        <v>-1.7885589384188817E-2</v>
      </c>
      <c r="BM59" s="9" t="s">
        <v>1</v>
      </c>
      <c r="BN59" s="9"/>
      <c r="BO59" s="8">
        <v>226</v>
      </c>
      <c r="BP59" s="7">
        <v>1146679.9999990901</v>
      </c>
      <c r="BQ59" s="27">
        <f t="shared" si="17"/>
        <v>-28</v>
      </c>
      <c r="BR59" s="28">
        <f t="shared" si="18"/>
        <v>-529070.9523807799</v>
      </c>
      <c r="BS59" s="29">
        <f t="shared" si="19"/>
        <v>-0.31572170770925312</v>
      </c>
      <c r="BU59" s="9" t="s">
        <v>1</v>
      </c>
      <c r="BV59" s="9"/>
      <c r="BW59" s="8"/>
      <c r="BX59" s="7"/>
      <c r="BY59" s="27">
        <f t="shared" si="32"/>
        <v>-226</v>
      </c>
      <c r="BZ59" s="28">
        <f t="shared" si="21"/>
        <v>-1146679.9999990901</v>
      </c>
      <c r="CA59" s="29">
        <f t="shared" si="22"/>
        <v>-1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>
        <v>1800</v>
      </c>
      <c r="AZ60" s="2">
        <v>14724800.95237501</v>
      </c>
      <c r="BA60" s="6">
        <f t="shared" si="11"/>
        <v>-226</v>
      </c>
      <c r="BB60" s="5">
        <f t="shared" si="12"/>
        <v>-3252820.476189822</v>
      </c>
      <c r="BC60" s="30">
        <f t="shared" si="13"/>
        <v>-0.18093719956864712</v>
      </c>
      <c r="BE60" s="4" t="s">
        <v>0</v>
      </c>
      <c r="BF60" s="4"/>
      <c r="BG60" s="3">
        <v>1717</v>
      </c>
      <c r="BH60" s="2">
        <v>10998812.76189879</v>
      </c>
      <c r="BI60" s="6">
        <f t="shared" si="14"/>
        <v>-83</v>
      </c>
      <c r="BJ60" s="5">
        <f t="shared" si="15"/>
        <v>-3725988.1904762201</v>
      </c>
      <c r="BK60" s="30">
        <f t="shared" si="16"/>
        <v>-0.2530416677636137</v>
      </c>
      <c r="BM60" s="4" t="s">
        <v>0</v>
      </c>
      <c r="BN60" s="4"/>
      <c r="BO60" s="3">
        <v>1693</v>
      </c>
      <c r="BP60" s="2">
        <v>10316829.33332772</v>
      </c>
      <c r="BQ60" s="6">
        <f t="shared" si="17"/>
        <v>-24</v>
      </c>
      <c r="BR60" s="5">
        <f t="shared" si="18"/>
        <v>-681983.42857106961</v>
      </c>
      <c r="BS60" s="30">
        <f t="shared" si="19"/>
        <v>-6.2005185771826413E-2</v>
      </c>
      <c r="BU60" s="4" t="s">
        <v>0</v>
      </c>
      <c r="BV60" s="4"/>
      <c r="BW60" s="3"/>
      <c r="BX60" s="2"/>
      <c r="BY60" s="6">
        <f t="shared" si="32"/>
        <v>-1693</v>
      </c>
      <c r="BZ60" s="5">
        <f t="shared" si="21"/>
        <v>-10316829.33332772</v>
      </c>
      <c r="CA60" s="30">
        <f t="shared" si="22"/>
        <v>-1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2026-08-30T08:14:05Z</dcterms:modified>
</cp:coreProperties>
</file>