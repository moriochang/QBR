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6D410CDE-1F29-AA43-B257-751CAEED2528}" xr6:coauthVersionLast="47" xr6:coauthVersionMax="47" xr10:uidLastSave="{00000000-0000-0000-0000-000000000000}"/>
  <bookViews>
    <workbookView xWindow="15640" yWindow="3220" windowWidth="17760" windowHeight="15980" xr2:uid="{021FACC0-6583-9245-81B4-0A7BE4D712CF}"/>
  </bookViews>
  <sheets>
    <sheet name="26Q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0" i="2" l="1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<sst xmlns="http://schemas.openxmlformats.org/spreadsheetml/2006/main" count="840" uniqueCount="50">
  <si>
    <t>總計</t>
  </si>
  <si>
    <t>84 合計</t>
  </si>
  <si>
    <t>iPhone</t>
  </si>
  <si>
    <t>iPad</t>
  </si>
  <si>
    <t>CPU</t>
  </si>
  <si>
    <t>Care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</si>
  <si>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</si>
  <si>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</si>
  <si>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</si>
  <si>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</si>
  <si>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</si>
  <si>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</si>
  <si>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</si>
  <si>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</si>
  <si>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</si>
  <si>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</si>
  <si>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</si>
  <si>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</si>
  <si>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</si>
  <si>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</si>
  <si>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</si>
  <si>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26Q4W1</t>
    <phoneticPr fontId="2" type="noConversion"/>
  </si>
  <si>
    <t>06/28~07/04</t>
    <phoneticPr fontId="2" type="noConversion"/>
  </si>
  <si>
    <t>26Q4W2</t>
    <phoneticPr fontId="2" type="noConversion"/>
  </si>
  <si>
    <t>07/05-07/11</t>
    <phoneticPr fontId="2" type="noConversion"/>
  </si>
  <si>
    <t>26Q4W3</t>
    <phoneticPr fontId="2" type="noConversion"/>
  </si>
  <si>
    <t>07/12-07/18</t>
    <phoneticPr fontId="2" type="noConversion"/>
  </si>
  <si>
    <t>26Q4W4</t>
    <phoneticPr fontId="2" type="noConversion"/>
  </si>
  <si>
    <t>07/19-07/25</t>
    <phoneticPr fontId="2" type="noConversion"/>
  </si>
  <si>
    <t>26Q4W5</t>
    <phoneticPr fontId="2" type="noConversion"/>
  </si>
  <si>
    <t>07/26-08/01</t>
    <phoneticPr fontId="2" type="noConversion"/>
  </si>
  <si>
    <t>26Q4W6</t>
  </si>
  <si>
    <t>08/02-08/08</t>
  </si>
  <si>
    <t>store</t>
  </si>
  <si>
    <t>class</t>
  </si>
  <si>
    <t>Qty</t>
  </si>
  <si>
    <t>業績</t>
  </si>
  <si>
    <t>Traffic</t>
  </si>
  <si>
    <t>Trade in</t>
  </si>
  <si>
    <t>75 合計</t>
  </si>
  <si>
    <t>26Q4W7</t>
  </si>
  <si>
    <t>08/09-08/15</t>
  </si>
  <si>
    <t>26Q4W8</t>
  </si>
  <si>
    <t>08/16-08/22</t>
  </si>
  <si>
    <t>26Q4W9</t>
  </si>
  <si>
    <t>08/23-08/29</t>
  </si>
  <si>
    <t>26Q4W10</t>
  </si>
  <si>
    <t>08/30-09/05</t>
  </si>
  <si>
    <t>26Q4W11</t>
  </si>
  <si>
    <t>09/06-09/12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</si>
</sst>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  <font>
      <sz val="10"/>
      <name val="Microsoft JhengHei"/>
      <family val="2"/>
    </font>
    <font>
      <sz val="16"/>
      <color theme="1"/>
      <name val="Arial"/>
      <family val="2"/>
    </font>
    <font>
      <sz val="12"/>
      <color theme="1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13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3" fillId="3" borderId="0" xfId="0" applyNumberFormat="1" applyFont="1" applyFill="1">
      <alignment vertical="center"/>
    </xf>
    <xf numFmtId="38" fontId="3" fillId="0" borderId="0" xfId="0" applyNumberFormat="1" applyFont="1">
      <alignment vertical="center"/>
    </xf>
    <xf numFmtId="38" fontId="3" fillId="2" borderId="0" xfId="0" applyNumberFormat="1" applyFont="1" applyFill="1">
      <alignment vertical="center"/>
    </xf>
    <xf numFmtId="38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0" fontId="20" fillId="0" borderId="0" xfId="2" applyFont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0"/>
  <sheetViews>
    <sheetView tabSelected="1" zoomScale="75" workbookViewId="0">
      <pane xSplit="1" topLeftCell="BQ1" activePane="topRight" state="frozen"/>
      <selection pane="topRight" activeCell="CC1" sqref="CC1:CF60"/>
    </sheetView>
  </sheetViews>
  <sheetFormatPr baseColWidth="10" defaultRowHeight="15"/>
  <cols>
    <col min="1" max="1" width="17.33203125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style="49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21</v>
      </c>
      <c r="B1" s="26"/>
      <c r="D1" s="25"/>
      <c r="I1" s="26" t="s">
        <v>23</v>
      </c>
      <c r="J1" s="26"/>
      <c r="L1" s="25"/>
      <c r="Q1" s="26" t="s">
        <v>25</v>
      </c>
      <c r="R1" s="26"/>
      <c r="T1" s="25"/>
      <c r="Y1" s="26" t="s">
        <v>27</v>
      </c>
      <c r="Z1" s="26"/>
      <c r="AB1" s="25"/>
      <c r="AG1" s="26" t="s">
        <v>29</v>
      </c>
      <c r="AH1" s="26"/>
      <c r="AJ1" s="41"/>
      <c r="AO1" s="26" t="s">
        <v>31</v>
      </c>
      <c r="AP1" s="26"/>
      <c r="AR1" s="25"/>
      <c r="AW1" s="26" t="s">
        <v>40</v>
      </c>
      <c r="AX1" s="26"/>
      <c r="AZ1" s="25"/>
      <c r="BE1" s="53" t="s">
        <v>42</v>
      </c>
      <c r="BF1" s="26"/>
      <c r="BH1" s="25"/>
      <c r="BM1" s="26" t="s">
        <v>44</v>
      </c>
      <c r="BU1" s="26" t="s">
        <v>46</v>
      </c>
      <c r="BV1" s="26"/>
      <c r="BX1" s="25"/>
      <c r="CC1" s="26" t="s">
        <v>48</v>
      </c>
      <c r="CD1" s="26"/>
      <c r="CF1" s="25"/>
      <c r="CK1" s="26"/>
      <c r="CL1" s="26"/>
      <c r="CN1" s="25"/>
      <c r="CS1" s="26"/>
      <c r="CT1" s="26"/>
      <c r="CV1" s="25"/>
    </row>
    <row r="2" spans="1:103" s="20" customFormat="1" ht="18">
      <c r="A2" s="23" t="s">
        <v>22</v>
      </c>
      <c r="B2" s="22"/>
      <c r="D2" s="21"/>
      <c r="I2" s="23" t="s">
        <v>24</v>
      </c>
      <c r="K2" s="23"/>
      <c r="M2" s="23"/>
      <c r="O2" s="23"/>
      <c r="Q2" s="23" t="s">
        <v>26</v>
      </c>
      <c r="S2" s="23"/>
      <c r="U2" s="23"/>
      <c r="W2" s="23"/>
      <c r="Y2" s="23" t="s">
        <v>28</v>
      </c>
      <c r="Z2" s="22"/>
      <c r="AB2" s="21"/>
      <c r="AG2" s="23" t="s">
        <v>30</v>
      </c>
      <c r="AJ2" s="42"/>
      <c r="AK2" s="22"/>
      <c r="AL2" s="22"/>
      <c r="AN2" s="21"/>
      <c r="AO2" s="23" t="s">
        <v>32</v>
      </c>
      <c r="AQ2" s="22"/>
      <c r="AR2" s="22"/>
      <c r="AT2" s="21"/>
      <c r="AW2" s="20" t="s">
        <v>41</v>
      </c>
      <c r="AY2" s="22"/>
      <c r="AZ2" s="22"/>
      <c r="BB2" s="21"/>
      <c r="BE2" s="54" t="s">
        <v>43</v>
      </c>
      <c r="BG2" s="22"/>
      <c r="BH2" s="22"/>
      <c r="BJ2" s="21"/>
      <c r="BM2" s="20" t="s">
        <v>45</v>
      </c>
      <c r="BN2" s="21"/>
      <c r="BP2" s="21"/>
      <c r="BQ2" s="21"/>
      <c r="BR2" s="21"/>
      <c r="BS2" s="21"/>
      <c r="BU2" s="20" t="s">
        <v>47</v>
      </c>
      <c r="BV2" s="21"/>
      <c r="BX2" s="21"/>
      <c r="BY2" s="21"/>
      <c r="BZ2" s="21"/>
      <c r="CA2" s="21"/>
      <c r="CC2" s="20" t="s">
        <v>49</v>
      </c>
      <c r="CD2" s="21"/>
      <c r="CF2" s="21"/>
      <c r="CG2" s="21"/>
      <c r="CH2" s="21"/>
      <c r="CI2" s="21"/>
      <c r="CL2" s="21"/>
      <c r="CN2" s="21"/>
      <c r="CO2" s="21"/>
      <c r="CP2" s="21"/>
      <c r="CQ2" s="21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  <c r="AJ3" s="42"/>
    </row>
    <row r="4" spans="1:103" s="15" customFormat="1" ht="22" customHeight="1">
      <c r="A4" s="19" t="s">
        <v>17</v>
      </c>
      <c r="B4" s="19" t="s">
        <v>16</v>
      </c>
      <c r="C4" s="18" t="s">
        <v>15</v>
      </c>
      <c r="D4" s="17" t="s">
        <v>14</v>
      </c>
      <c r="E4" s="16" t="s">
        <v>13</v>
      </c>
      <c r="F4" s="16" t="s">
        <v>13</v>
      </c>
      <c r="G4" s="16" t="s">
        <v>13</v>
      </c>
      <c r="I4" s="19" t="s">
        <v>17</v>
      </c>
      <c r="J4" s="19" t="s">
        <v>16</v>
      </c>
      <c r="K4" s="18" t="s">
        <v>15</v>
      </c>
      <c r="L4" s="17" t="s">
        <v>14</v>
      </c>
      <c r="M4" s="16" t="s">
        <v>13</v>
      </c>
      <c r="N4" s="16" t="s">
        <v>13</v>
      </c>
      <c r="O4" s="16" t="s">
        <v>13</v>
      </c>
      <c r="Q4" s="19" t="s">
        <v>17</v>
      </c>
      <c r="R4" s="19" t="s">
        <v>16</v>
      </c>
      <c r="S4" s="18" t="s">
        <v>15</v>
      </c>
      <c r="T4" s="17" t="s">
        <v>14</v>
      </c>
      <c r="U4" s="16" t="s">
        <v>13</v>
      </c>
      <c r="V4" s="16" t="s">
        <v>13</v>
      </c>
      <c r="W4" s="16" t="s">
        <v>13</v>
      </c>
      <c r="Y4" s="19" t="s">
        <v>17</v>
      </c>
      <c r="Z4" s="18" t="s">
        <v>15</v>
      </c>
      <c r="AA4" s="17" t="s">
        <v>14</v>
      </c>
      <c r="AB4" s="17"/>
      <c r="AC4" s="16" t="s">
        <v>13</v>
      </c>
      <c r="AD4" s="16" t="s">
        <v>13</v>
      </c>
      <c r="AE4" s="16" t="s">
        <v>13</v>
      </c>
      <c r="AG4" s="19" t="s">
        <v>17</v>
      </c>
      <c r="AH4" s="19" t="s">
        <v>16</v>
      </c>
      <c r="AI4" s="18" t="s">
        <v>15</v>
      </c>
      <c r="AJ4" s="17" t="s">
        <v>14</v>
      </c>
      <c r="AK4" s="16" t="s">
        <v>13</v>
      </c>
      <c r="AL4" s="16" t="s">
        <v>13</v>
      </c>
      <c r="AM4" s="16" t="s">
        <v>13</v>
      </c>
      <c r="AO4" s="19" t="s">
        <v>33</v>
      </c>
      <c r="AP4" s="19" t="s">
        <v>34</v>
      </c>
      <c r="AQ4" s="18" t="s">
        <v>35</v>
      </c>
      <c r="AR4" s="17" t="s">
        <v>36</v>
      </c>
      <c r="AS4" s="16" t="s">
        <v>13</v>
      </c>
      <c r="AT4" s="16" t="s">
        <v>13</v>
      </c>
      <c r="AU4" s="16" t="s">
        <v>13</v>
      </c>
      <c r="AW4" s="19" t="s">
        <v>33</v>
      </c>
      <c r="AX4" s="19" t="s">
        <v>34</v>
      </c>
      <c r="AY4" s="18" t="s">
        <v>35</v>
      </c>
      <c r="AZ4" s="17" t="s">
        <v>36</v>
      </c>
      <c r="BA4" s="16" t="s">
        <v>13</v>
      </c>
      <c r="BB4" s="16" t="s">
        <v>13</v>
      </c>
      <c r="BC4" s="16" t="s">
        <v>13</v>
      </c>
      <c r="BE4" s="19" t="s">
        <v>17</v>
      </c>
      <c r="BF4" s="19" t="s">
        <v>16</v>
      </c>
      <c r="BG4" s="18" t="s">
        <v>15</v>
      </c>
      <c r="BH4" s="17" t="s">
        <v>14</v>
      </c>
      <c r="BI4" s="16" t="s">
        <v>13</v>
      </c>
      <c r="BJ4" s="16" t="s">
        <v>13</v>
      </c>
      <c r="BK4" s="16" t="s">
        <v>13</v>
      </c>
      <c r="BM4" s="19" t="s">
        <v>33</v>
      </c>
      <c r="BN4" s="19" t="s">
        <v>34</v>
      </c>
      <c r="BO4" s="18" t="s">
        <v>35</v>
      </c>
      <c r="BP4" s="17" t="s">
        <v>36</v>
      </c>
      <c r="BQ4" s="16" t="s">
        <v>13</v>
      </c>
      <c r="BR4" s="16" t="s">
        <v>13</v>
      </c>
      <c r="BS4" s="16" t="s">
        <v>13</v>
      </c>
      <c r="BU4" s="19" t="s">
        <v>33</v>
      </c>
      <c r="BV4" s="19" t="s">
        <v>34</v>
      </c>
      <c r="BW4" s="18" t="s">
        <v>35</v>
      </c>
      <c r="BX4" s="17" t="s">
        <v>36</v>
      </c>
      <c r="BY4" s="16" t="s">
        <v>13</v>
      </c>
      <c r="BZ4" s="16" t="s">
        <v>13</v>
      </c>
      <c r="CA4" s="16" t="s">
        <v>13</v>
      </c>
      <c r="CC4" s="19" t="s">
        <v>33</v>
      </c>
      <c r="CD4" s="19" t="s">
        <v>34</v>
      </c>
      <c r="CE4" s="18" t="s">
        <v>35</v>
      </c>
      <c r="CF4" s="17" t="s">
        <v>36</v>
      </c>
      <c r="CG4" s="16" t="s">
        <v>13</v>
      </c>
      <c r="CH4" s="16" t="s">
        <v>13</v>
      </c>
      <c r="CI4" s="16" t="s">
        <v>13</v>
      </c>
      <c r="CK4" s="19" t="s">
        <v>17</v>
      </c>
      <c r="CL4" s="19" t="s">
        <v>16</v>
      </c>
      <c r="CM4" s="18" t="s">
        <v>15</v>
      </c>
      <c r="CN4" s="17" t="s">
        <v>14</v>
      </c>
      <c r="CO4" s="16" t="s">
        <v>13</v>
      </c>
      <c r="CP4" s="16" t="s">
        <v>13</v>
      </c>
      <c r="CQ4" s="16" t="s">
        <v>13</v>
      </c>
      <c r="CS4" s="19" t="s">
        <v>17</v>
      </c>
      <c r="CT4" s="19" t="s">
        <v>16</v>
      </c>
      <c r="CU4" s="18" t="s">
        <v>15</v>
      </c>
      <c r="CV4" s="17" t="s">
        <v>14</v>
      </c>
      <c r="CW4" s="16" t="s">
        <v>13</v>
      </c>
      <c r="CX4" s="16" t="s">
        <v>13</v>
      </c>
      <c r="CY4" s="16" t="s">
        <v>13</v>
      </c>
    </row>
    <row r="5" spans="1:103" s="39" customFormat="1" ht="22" customHeight="1">
      <c r="A5" s="14">
        <v>75</v>
      </c>
      <c r="B5" s="32" t="s">
        <v>19</v>
      </c>
      <c r="C5" s="40">
        <v>6261</v>
      </c>
      <c r="D5" s="1"/>
      <c r="E5" s="37"/>
      <c r="F5" s="37"/>
      <c r="G5" s="37"/>
      <c r="H5" s="1"/>
      <c r="I5" s="14">
        <v>75</v>
      </c>
      <c r="J5" s="32" t="s">
        <v>19</v>
      </c>
      <c r="K5" s="40">
        <v>4160</v>
      </c>
      <c r="L5" s="1"/>
      <c r="M5" s="10">
        <f t="shared" ref="M5:N60" si="0">K5-C5</f>
        <v>-2101</v>
      </c>
      <c r="N5" s="12">
        <f t="shared" si="0"/>
        <v>0</v>
      </c>
      <c r="O5" s="11" t="e">
        <f t="shared" ref="O5:O60" si="1">(L5-D5)/D5</f>
        <v>#DIV/0!</v>
      </c>
      <c r="P5" s="1"/>
      <c r="Q5" s="14">
        <v>75</v>
      </c>
      <c r="R5" s="32" t="s">
        <v>19</v>
      </c>
      <c r="S5" s="40">
        <v>6480</v>
      </c>
      <c r="T5" s="1"/>
      <c r="U5" s="10">
        <f t="shared" ref="U5:U60" si="2">S5-K5</f>
        <v>2320</v>
      </c>
      <c r="V5" s="12">
        <f t="shared" ref="V5:V60" si="3">T5-L5</f>
        <v>0</v>
      </c>
      <c r="W5" s="11" t="e">
        <f t="shared" ref="W5:W60" si="4">(T5-L5)/L5</f>
        <v>#DIV/0!</v>
      </c>
      <c r="X5" s="1"/>
      <c r="Y5" s="14">
        <v>75</v>
      </c>
      <c r="Z5" s="32" t="s">
        <v>19</v>
      </c>
      <c r="AA5" s="40">
        <v>5616</v>
      </c>
      <c r="AB5" s="1"/>
      <c r="AC5" s="10">
        <f t="shared" ref="AC5:AD60" si="5">AA5-S5</f>
        <v>-864</v>
      </c>
      <c r="AD5" s="12">
        <f t="shared" si="5"/>
        <v>0</v>
      </c>
      <c r="AE5" s="11" t="e">
        <f t="shared" ref="AE5:AE60" si="6">(AB5-T5)/T5</f>
        <v>#DIV/0!</v>
      </c>
      <c r="AF5" s="1"/>
      <c r="AG5" s="14">
        <v>75</v>
      </c>
      <c r="AH5" s="32" t="s">
        <v>19</v>
      </c>
      <c r="AI5" s="32">
        <v>5898</v>
      </c>
      <c r="AJ5" s="43"/>
      <c r="AK5" s="10">
        <f t="shared" ref="AK5:AL60" si="7">AI5-AA5</f>
        <v>282</v>
      </c>
      <c r="AL5" s="12">
        <f t="shared" si="7"/>
        <v>0</v>
      </c>
      <c r="AM5" s="11" t="e">
        <f t="shared" ref="AM5:AM60" si="8">(AJ5-AB5)/AB5</f>
        <v>#DIV/0!</v>
      </c>
      <c r="AN5" s="1"/>
      <c r="AO5" s="14">
        <v>75</v>
      </c>
      <c r="AP5" s="32" t="s">
        <v>37</v>
      </c>
      <c r="AQ5" s="40">
        <v>6469</v>
      </c>
      <c r="AR5" s="1"/>
      <c r="AS5" s="10">
        <f t="shared" ref="AS5:AT60" si="9">AQ5-AI5</f>
        <v>571</v>
      </c>
      <c r="AT5" s="12">
        <f t="shared" si="9"/>
        <v>0</v>
      </c>
      <c r="AU5" s="11" t="e">
        <f t="shared" ref="AU5:AU60" si="10">(AR5-AJ5)/AJ5</f>
        <v>#DIV/0!</v>
      </c>
      <c r="AV5" s="1"/>
      <c r="AW5" s="14">
        <v>75</v>
      </c>
      <c r="AX5" s="32" t="s">
        <v>37</v>
      </c>
      <c r="AY5" s="40">
        <v>6235</v>
      </c>
      <c r="AZ5" s="1"/>
      <c r="BA5" s="10">
        <f t="shared" ref="BA5:BA60" si="11">AY5-AQ5</f>
        <v>-234</v>
      </c>
      <c r="BB5" s="12">
        <f t="shared" ref="BB5:BB60" si="12">AZ5-AR5</f>
        <v>0</v>
      </c>
      <c r="BC5" s="11" t="e">
        <f t="shared" ref="BC5:BC60" si="13">(AZ5-AR5)/AR5</f>
        <v>#DIV/0!</v>
      </c>
      <c r="BD5" s="38"/>
      <c r="BE5" s="14">
        <v>75</v>
      </c>
      <c r="BF5" s="32" t="s">
        <v>19</v>
      </c>
      <c r="BG5" s="40">
        <v>5656</v>
      </c>
      <c r="BH5" s="1"/>
      <c r="BI5" s="10">
        <f t="shared" ref="BI5:BI60" si="14">BG5-AY5</f>
        <v>-579</v>
      </c>
      <c r="BJ5" s="12">
        <f t="shared" ref="BJ5:BJ60" si="15">BH5-AZ5</f>
        <v>0</v>
      </c>
      <c r="BK5" s="11" t="e">
        <f t="shared" ref="BK5:BK60" si="16">(BH5-AZ5)/AZ5</f>
        <v>#DIV/0!</v>
      </c>
      <c r="BL5" s="38"/>
      <c r="BM5" s="14">
        <v>75</v>
      </c>
      <c r="BN5" s="32" t="s">
        <v>37</v>
      </c>
      <c r="BO5" s="40">
        <v>6262</v>
      </c>
      <c r="BP5" s="1"/>
      <c r="BQ5" s="10">
        <f t="shared" ref="BQ5:BQ60" si="17">BO5-BG5</f>
        <v>606</v>
      </c>
      <c r="BR5" s="12">
        <f t="shared" ref="BR5:BR60" si="18">BP5-BH5</f>
        <v>0</v>
      </c>
      <c r="BS5" s="11" t="e">
        <f t="shared" ref="BS5:BS60" si="19">(BP5-BH5)/BH5</f>
        <v>#DIV/0!</v>
      </c>
      <c r="BT5" s="38"/>
      <c r="BU5" s="14">
        <v>75</v>
      </c>
      <c r="BV5" s="32" t="s">
        <v>37</v>
      </c>
      <c r="BW5" s="15">
        <v>5042</v>
      </c>
      <c r="BX5" s="33"/>
      <c r="BY5" s="10">
        <f t="shared" ref="BY5:BY33" si="20">BW5-BO5</f>
        <v>-1220</v>
      </c>
      <c r="BZ5" s="12">
        <f t="shared" ref="BZ5:BZ60" si="21">BX5-BP5</f>
        <v>0</v>
      </c>
      <c r="CA5" s="11" t="e">
        <f t="shared" ref="CA5:CA60" si="22">(BX5-BP5)/BP5</f>
        <v>#DIV/0!</v>
      </c>
      <c r="CB5" s="38"/>
      <c r="CC5" s="14">
        <v>75</v>
      </c>
      <c r="CD5" s="32" t="s">
        <v>37</v>
      </c>
      <c r="CE5" s="15">
        <v>7657</v>
      </c>
      <c r="CF5" s="33"/>
      <c r="CG5" s="10">
        <f t="shared" ref="CG5:CG60" si="23">CE5-BW5</f>
        <v>2615</v>
      </c>
      <c r="CH5" s="12">
        <f t="shared" ref="CH5:CH60" si="24">CF5-BX5</f>
        <v>0</v>
      </c>
      <c r="CI5" s="11" t="e">
        <f t="shared" ref="CI5:CI60" si="25">(CF5-BX5)/BX5</f>
        <v>#DIV/0!</v>
      </c>
      <c r="CJ5" s="38"/>
      <c r="CK5" s="14">
        <v>75</v>
      </c>
      <c r="CL5" s="32" t="s">
        <v>19</v>
      </c>
      <c r="CM5" s="15"/>
      <c r="CN5" s="33"/>
      <c r="CO5" s="10">
        <f t="shared" ref="CO5:CO60" si="26">CM5-CE5</f>
        <v>-7657</v>
      </c>
      <c r="CP5" s="12">
        <f t="shared" ref="CP5:CP60" si="27">CN5-CF5</f>
        <v>0</v>
      </c>
      <c r="CQ5" s="11" t="e">
        <f t="shared" ref="CQ5:CQ60" si="28">(CN5-CF5)/CF5</f>
        <v>#DIV/0!</v>
      </c>
      <c r="CR5" s="38"/>
      <c r="CS5" s="14">
        <v>75</v>
      </c>
      <c r="CT5" s="32" t="s">
        <v>19</v>
      </c>
      <c r="CU5" s="15"/>
      <c r="CV5" s="33"/>
      <c r="CW5" s="10">
        <f t="shared" ref="CW5:CW60" si="29">CU5-CM5</f>
        <v>0</v>
      </c>
      <c r="CX5" s="12">
        <f t="shared" ref="CX5:CX60" si="30">CV5-CN5</f>
        <v>0</v>
      </c>
      <c r="CY5" s="11" t="e">
        <f t="shared" ref="CY5:CY60" si="31">(CV5-CN5)/CN5</f>
        <v>#DIV/0!</v>
      </c>
    </row>
    <row r="6" spans="1:103" s="15" customFormat="1" ht="22" customHeight="1">
      <c r="A6" s="14"/>
      <c r="B6" s="32" t="s">
        <v>20</v>
      </c>
      <c r="C6" s="15">
        <v>11</v>
      </c>
      <c r="D6" s="33"/>
      <c r="E6" s="34"/>
      <c r="F6" s="34"/>
      <c r="G6" s="34"/>
      <c r="I6" s="14"/>
      <c r="J6" s="32" t="s">
        <v>20</v>
      </c>
      <c r="K6" s="15">
        <v>8</v>
      </c>
      <c r="L6" s="33"/>
      <c r="M6" s="10">
        <f t="shared" si="0"/>
        <v>-3</v>
      </c>
      <c r="N6" s="12">
        <f t="shared" si="0"/>
        <v>0</v>
      </c>
      <c r="O6" s="11" t="e">
        <f t="shared" si="1"/>
        <v>#DIV/0!</v>
      </c>
      <c r="Q6" s="14"/>
      <c r="R6" s="32" t="s">
        <v>20</v>
      </c>
      <c r="S6" s="15">
        <v>17</v>
      </c>
      <c r="T6" s="33"/>
      <c r="U6" s="10">
        <f t="shared" si="2"/>
        <v>9</v>
      </c>
      <c r="V6" s="12">
        <f t="shared" si="3"/>
        <v>0</v>
      </c>
      <c r="W6" s="11" t="e">
        <f t="shared" si="4"/>
        <v>#DIV/0!</v>
      </c>
      <c r="Y6" s="14"/>
      <c r="Z6" s="32" t="s">
        <v>20</v>
      </c>
      <c r="AA6" s="15">
        <v>9</v>
      </c>
      <c r="AB6" s="33"/>
      <c r="AC6" s="10">
        <f t="shared" si="5"/>
        <v>-8</v>
      </c>
      <c r="AD6" s="12">
        <f t="shared" si="5"/>
        <v>0</v>
      </c>
      <c r="AE6" s="11" t="e">
        <f t="shared" si="6"/>
        <v>#DIV/0!</v>
      </c>
      <c r="AG6" s="14"/>
      <c r="AH6" s="32" t="s">
        <v>20</v>
      </c>
      <c r="AI6" s="32">
        <v>12</v>
      </c>
      <c r="AJ6" s="44"/>
      <c r="AK6" s="10">
        <f t="shared" si="7"/>
        <v>3</v>
      </c>
      <c r="AL6" s="12">
        <f t="shared" si="7"/>
        <v>0</v>
      </c>
      <c r="AM6" s="11" t="e">
        <f t="shared" si="8"/>
        <v>#DIV/0!</v>
      </c>
      <c r="AO6" s="14"/>
      <c r="AP6" s="32" t="s">
        <v>38</v>
      </c>
      <c r="AQ6" s="15">
        <v>16</v>
      </c>
      <c r="AR6" s="33"/>
      <c r="AS6" s="10">
        <f t="shared" si="9"/>
        <v>4</v>
      </c>
      <c r="AT6" s="12">
        <f t="shared" si="9"/>
        <v>0</v>
      </c>
      <c r="AU6" s="11" t="e">
        <f t="shared" si="10"/>
        <v>#DIV/0!</v>
      </c>
      <c r="AW6" s="14"/>
      <c r="AX6" s="32" t="s">
        <v>38</v>
      </c>
      <c r="AY6" s="15">
        <v>18</v>
      </c>
      <c r="AZ6" s="33"/>
      <c r="BA6" s="10">
        <f t="shared" si="11"/>
        <v>2</v>
      </c>
      <c r="BB6" s="12">
        <f t="shared" si="12"/>
        <v>0</v>
      </c>
      <c r="BC6" s="11" t="e">
        <f t="shared" si="13"/>
        <v>#DIV/0!</v>
      </c>
      <c r="BE6" s="14"/>
      <c r="BF6" s="32" t="s">
        <v>20</v>
      </c>
      <c r="BG6" s="15">
        <v>10</v>
      </c>
      <c r="BH6" s="33"/>
      <c r="BI6" s="10">
        <f t="shared" si="14"/>
        <v>-8</v>
      </c>
      <c r="BJ6" s="12">
        <f t="shared" si="15"/>
        <v>0</v>
      </c>
      <c r="BK6" s="11" t="e">
        <f t="shared" si="16"/>
        <v>#DIV/0!</v>
      </c>
      <c r="BM6" s="14"/>
      <c r="BN6" s="32" t="s">
        <v>38</v>
      </c>
      <c r="BO6" s="15">
        <v>10</v>
      </c>
      <c r="BP6" s="33"/>
      <c r="BQ6" s="10">
        <f t="shared" si="17"/>
        <v>0</v>
      </c>
      <c r="BR6" s="12">
        <f t="shared" si="18"/>
        <v>0</v>
      </c>
      <c r="BS6" s="11" t="e">
        <f t="shared" si="19"/>
        <v>#DIV/0!</v>
      </c>
      <c r="BU6" s="14"/>
      <c r="BV6" s="32" t="s">
        <v>38</v>
      </c>
      <c r="BW6" s="15">
        <v>7</v>
      </c>
      <c r="BX6" s="33"/>
      <c r="BY6" s="10">
        <f t="shared" si="20"/>
        <v>-3</v>
      </c>
      <c r="BZ6" s="12">
        <f t="shared" si="21"/>
        <v>0</v>
      </c>
      <c r="CA6" s="11" t="e">
        <f t="shared" si="22"/>
        <v>#DIV/0!</v>
      </c>
      <c r="CC6" s="14"/>
      <c r="CD6" s="32" t="s">
        <v>38</v>
      </c>
      <c r="CF6" s="33"/>
      <c r="CG6" s="10">
        <f t="shared" si="23"/>
        <v>-7</v>
      </c>
      <c r="CH6" s="12">
        <f t="shared" si="24"/>
        <v>0</v>
      </c>
      <c r="CI6" s="11" t="e">
        <f t="shared" si="25"/>
        <v>#DIV/0!</v>
      </c>
      <c r="CK6" s="14"/>
      <c r="CL6" s="32" t="s">
        <v>20</v>
      </c>
      <c r="CN6" s="33"/>
      <c r="CO6" s="10">
        <f t="shared" si="26"/>
        <v>0</v>
      </c>
      <c r="CP6" s="12">
        <f t="shared" si="27"/>
        <v>0</v>
      </c>
      <c r="CQ6" s="11" t="e">
        <f t="shared" si="28"/>
        <v>#DIV/0!</v>
      </c>
      <c r="CS6" s="14"/>
      <c r="CT6" s="32" t="s">
        <v>20</v>
      </c>
      <c r="CV6" s="33"/>
      <c r="CW6" s="10">
        <f t="shared" si="29"/>
        <v>0</v>
      </c>
      <c r="CX6" s="12">
        <f t="shared" si="30"/>
        <v>0</v>
      </c>
      <c r="CY6" s="11" t="e">
        <f t="shared" si="31"/>
        <v>#DIV/0!</v>
      </c>
    </row>
    <row r="7" spans="1:103" s="10" customFormat="1" ht="20" customHeight="1">
      <c r="A7" s="14"/>
      <c r="B7" s="13" t="s">
        <v>9</v>
      </c>
      <c r="C7" s="10">
        <v>193</v>
      </c>
      <c r="D7" s="12">
        <v>256952.38095148996</v>
      </c>
      <c r="F7" s="12"/>
      <c r="G7" s="11"/>
      <c r="I7" s="14"/>
      <c r="J7" s="13" t="s">
        <v>9</v>
      </c>
      <c r="K7" s="10">
        <v>159</v>
      </c>
      <c r="L7" s="12">
        <v>178482.85714225</v>
      </c>
      <c r="M7" s="10">
        <f t="shared" si="0"/>
        <v>-34</v>
      </c>
      <c r="N7" s="12">
        <f t="shared" si="0"/>
        <v>-78469.523809239967</v>
      </c>
      <c r="O7" s="11">
        <f t="shared" si="1"/>
        <v>-0.30538547071900546</v>
      </c>
      <c r="Q7" s="14"/>
      <c r="R7" s="13" t="s">
        <v>9</v>
      </c>
      <c r="S7" s="10">
        <v>232</v>
      </c>
      <c r="T7" s="12">
        <v>272942.85714200989</v>
      </c>
      <c r="U7" s="10">
        <f t="shared" si="2"/>
        <v>73</v>
      </c>
      <c r="V7" s="12">
        <f t="shared" si="3"/>
        <v>94459.999999759893</v>
      </c>
      <c r="W7" s="11">
        <f t="shared" si="4"/>
        <v>0.52923850229759439</v>
      </c>
      <c r="Y7" s="14"/>
      <c r="Z7" s="13" t="s">
        <v>9</v>
      </c>
      <c r="AA7" s="10">
        <v>193</v>
      </c>
      <c r="AB7" s="12">
        <v>229125.71428494997</v>
      </c>
      <c r="AC7" s="10">
        <f t="shared" si="5"/>
        <v>-39</v>
      </c>
      <c r="AD7" s="12">
        <f t="shared" si="5"/>
        <v>-43817.142857059924</v>
      </c>
      <c r="AE7" s="11">
        <f t="shared" si="6"/>
        <v>-0.16053595729109785</v>
      </c>
      <c r="AG7" s="14"/>
      <c r="AH7" s="13" t="s">
        <v>9</v>
      </c>
      <c r="AI7" s="13">
        <v>255</v>
      </c>
      <c r="AJ7" s="45">
        <v>266492.38095159992</v>
      </c>
      <c r="AK7" s="10">
        <f t="shared" si="7"/>
        <v>62</v>
      </c>
      <c r="AL7" s="12">
        <f t="shared" si="7"/>
        <v>37366.666666649951</v>
      </c>
      <c r="AM7" s="11">
        <f t="shared" si="8"/>
        <v>0.16308368872198806</v>
      </c>
      <c r="AO7" s="14"/>
      <c r="AP7" s="13" t="s">
        <v>9</v>
      </c>
      <c r="AQ7" s="10">
        <v>240</v>
      </c>
      <c r="AR7" s="12">
        <v>282545.71428457979</v>
      </c>
      <c r="AS7" s="10">
        <f t="shared" si="9"/>
        <v>-15</v>
      </c>
      <c r="AT7" s="12">
        <f t="shared" si="9"/>
        <v>16053.333332979877</v>
      </c>
      <c r="AU7" s="11">
        <f t="shared" si="10"/>
        <v>6.0239370730435504E-2</v>
      </c>
      <c r="AW7" s="14"/>
      <c r="AX7" s="13" t="s">
        <v>9</v>
      </c>
      <c r="AY7" s="10">
        <v>200</v>
      </c>
      <c r="AZ7" s="12">
        <v>235359.99999904991</v>
      </c>
      <c r="BA7" s="10">
        <f t="shared" si="11"/>
        <v>-40</v>
      </c>
      <c r="BB7" s="12">
        <f t="shared" si="12"/>
        <v>-47185.714285529888</v>
      </c>
      <c r="BC7" s="11">
        <f t="shared" si="13"/>
        <v>-0.16700205276518362</v>
      </c>
      <c r="BE7" s="14"/>
      <c r="BF7" s="13" t="s">
        <v>9</v>
      </c>
      <c r="BG7" s="10">
        <v>170</v>
      </c>
      <c r="BH7" s="12">
        <v>174014.28571349999</v>
      </c>
      <c r="BI7" s="10">
        <f t="shared" si="14"/>
        <v>-30</v>
      </c>
      <c r="BJ7" s="12">
        <f t="shared" si="15"/>
        <v>-61345.714285549911</v>
      </c>
      <c r="BK7" s="11">
        <f t="shared" si="16"/>
        <v>-0.26064630474930978</v>
      </c>
      <c r="BM7" s="14"/>
      <c r="BN7" s="13" t="s">
        <v>9</v>
      </c>
      <c r="BO7" s="10">
        <v>209</v>
      </c>
      <c r="BP7" s="12">
        <v>210267.61904672001</v>
      </c>
      <c r="BQ7" s="10">
        <f t="shared" si="17"/>
        <v>39</v>
      </c>
      <c r="BR7" s="12">
        <f t="shared" si="18"/>
        <v>36253.333333220013</v>
      </c>
      <c r="BS7" s="11">
        <f t="shared" si="19"/>
        <v>0.20833538571027496</v>
      </c>
      <c r="BU7" s="14"/>
      <c r="BV7" s="13" t="s">
        <v>9</v>
      </c>
      <c r="BW7" s="10">
        <v>198</v>
      </c>
      <c r="BX7" s="12">
        <v>205488</v>
      </c>
      <c r="BY7" s="10">
        <f t="shared" si="20"/>
        <v>-11</v>
      </c>
      <c r="BZ7" s="12">
        <f t="shared" si="21"/>
        <v>-4779.6190467200067</v>
      </c>
      <c r="CA7" s="11">
        <f t="shared" si="22"/>
        <v>-2.2731122692068E-2</v>
      </c>
      <c r="CC7" s="14"/>
      <c r="CD7" s="13" t="s">
        <v>9</v>
      </c>
      <c r="CE7" s="10">
        <v>142</v>
      </c>
      <c r="CF7" s="12">
        <v>157770</v>
      </c>
      <c r="CG7" s="10">
        <f t="shared" si="23"/>
        <v>-56</v>
      </c>
      <c r="CH7" s="12">
        <f t="shared" si="24"/>
        <v>-47718</v>
      </c>
      <c r="CI7" s="11">
        <f t="shared" si="25"/>
        <v>-0.23221793973370708</v>
      </c>
      <c r="CK7" s="14"/>
      <c r="CL7" s="13" t="s">
        <v>9</v>
      </c>
      <c r="CN7" s="12"/>
      <c r="CO7" s="10">
        <f t="shared" si="26"/>
        <v>-142</v>
      </c>
      <c r="CP7" s="12">
        <f t="shared" si="27"/>
        <v>-157770</v>
      </c>
      <c r="CQ7" s="11">
        <f t="shared" si="28"/>
        <v>-1</v>
      </c>
      <c r="CS7" s="14"/>
      <c r="CT7" s="13" t="s">
        <v>9</v>
      </c>
      <c r="CV7" s="12"/>
      <c r="CW7" s="10">
        <f t="shared" si="29"/>
        <v>0</v>
      </c>
      <c r="CX7" s="12">
        <f t="shared" si="30"/>
        <v>0</v>
      </c>
      <c r="CY7" s="11" t="e">
        <f t="shared" si="31"/>
        <v>#DIV/0!</v>
      </c>
    </row>
    <row r="8" spans="1:103" s="10" customFormat="1" ht="20" customHeight="1">
      <c r="A8" s="14"/>
      <c r="B8" s="13" t="s">
        <v>8</v>
      </c>
      <c r="C8" s="10">
        <v>234</v>
      </c>
      <c r="D8" s="12">
        <v>286997.14285695989</v>
      </c>
      <c r="F8" s="12"/>
      <c r="G8" s="11"/>
      <c r="I8" s="14"/>
      <c r="J8" s="13" t="s">
        <v>8</v>
      </c>
      <c r="K8" s="10">
        <v>189</v>
      </c>
      <c r="L8" s="12">
        <v>267975.23809503997</v>
      </c>
      <c r="M8" s="10">
        <f t="shared" si="0"/>
        <v>-45</v>
      </c>
      <c r="N8" s="12">
        <f t="shared" si="0"/>
        <v>-19021.904761919926</v>
      </c>
      <c r="O8" s="11">
        <f t="shared" si="1"/>
        <v>-6.6279073626180629E-2</v>
      </c>
      <c r="Q8" s="14"/>
      <c r="R8" s="13" t="s">
        <v>8</v>
      </c>
      <c r="S8" s="10">
        <v>326</v>
      </c>
      <c r="T8" s="12">
        <v>435428.57142646989</v>
      </c>
      <c r="U8" s="10">
        <f t="shared" si="2"/>
        <v>137</v>
      </c>
      <c r="V8" s="12">
        <f t="shared" si="3"/>
        <v>167453.33333142992</v>
      </c>
      <c r="W8" s="11">
        <f t="shared" si="4"/>
        <v>0.62488360686535149</v>
      </c>
      <c r="Y8" s="14"/>
      <c r="Z8" s="13" t="s">
        <v>8</v>
      </c>
      <c r="AA8" s="10">
        <v>240</v>
      </c>
      <c r="AB8" s="12">
        <v>398944.76190460991</v>
      </c>
      <c r="AC8" s="10">
        <f t="shared" si="5"/>
        <v>-86</v>
      </c>
      <c r="AD8" s="12">
        <f t="shared" si="5"/>
        <v>-36483.809521859977</v>
      </c>
      <c r="AE8" s="11">
        <f t="shared" si="6"/>
        <v>-8.378827646136891E-2</v>
      </c>
      <c r="AG8" s="14"/>
      <c r="AH8" s="13" t="s">
        <v>8</v>
      </c>
      <c r="AI8" s="13">
        <v>247</v>
      </c>
      <c r="AJ8" s="45">
        <v>337030.47619030991</v>
      </c>
      <c r="AK8" s="10">
        <f t="shared" si="7"/>
        <v>7</v>
      </c>
      <c r="AL8" s="12">
        <f t="shared" si="7"/>
        <v>-61914.2857143</v>
      </c>
      <c r="AM8" s="11">
        <f t="shared" si="8"/>
        <v>-0.15519513382933969</v>
      </c>
      <c r="AO8" s="14"/>
      <c r="AP8" s="13" t="s">
        <v>8</v>
      </c>
      <c r="AQ8" s="10">
        <v>253</v>
      </c>
      <c r="AR8" s="12">
        <v>370535.23809472017</v>
      </c>
      <c r="AS8" s="10">
        <f t="shared" si="9"/>
        <v>6</v>
      </c>
      <c r="AT8" s="12">
        <f t="shared" si="9"/>
        <v>33504.761904410261</v>
      </c>
      <c r="AU8" s="11">
        <f t="shared" si="10"/>
        <v>9.9411668295217415E-2</v>
      </c>
      <c r="AW8" s="14"/>
      <c r="AX8" s="13" t="s">
        <v>8</v>
      </c>
      <c r="AY8" s="10">
        <v>265</v>
      </c>
      <c r="AZ8" s="12">
        <v>417266.66666615021</v>
      </c>
      <c r="BA8" s="10">
        <f t="shared" si="11"/>
        <v>12</v>
      </c>
      <c r="BB8" s="12">
        <f t="shared" si="12"/>
        <v>46731.428571430035</v>
      </c>
      <c r="BC8" s="11">
        <f t="shared" si="13"/>
        <v>0.12611871629732568</v>
      </c>
      <c r="BE8" s="14"/>
      <c r="BF8" s="13" t="s">
        <v>8</v>
      </c>
      <c r="BG8" s="10">
        <v>263</v>
      </c>
      <c r="BH8" s="12">
        <v>314315.23809473001</v>
      </c>
      <c r="BI8" s="10">
        <f t="shared" si="14"/>
        <v>-2</v>
      </c>
      <c r="BJ8" s="12">
        <f t="shared" si="15"/>
        <v>-102951.4285714202</v>
      </c>
      <c r="BK8" s="11">
        <f t="shared" si="16"/>
        <v>-0.24672814005004223</v>
      </c>
      <c r="BM8" s="14"/>
      <c r="BN8" s="13" t="s">
        <v>8</v>
      </c>
      <c r="BO8" s="10">
        <v>271</v>
      </c>
      <c r="BP8" s="12">
        <v>337086.66666618001</v>
      </c>
      <c r="BQ8" s="10">
        <f t="shared" si="17"/>
        <v>8</v>
      </c>
      <c r="BR8" s="12">
        <f t="shared" si="18"/>
        <v>22771.42857145</v>
      </c>
      <c r="BS8" s="11">
        <f t="shared" si="19"/>
        <v>7.2447739757965618E-2</v>
      </c>
      <c r="BU8" s="14"/>
      <c r="BV8" s="13" t="s">
        <v>8</v>
      </c>
      <c r="BW8" s="10">
        <v>204</v>
      </c>
      <c r="BX8" s="12">
        <v>339810</v>
      </c>
      <c r="BY8" s="10">
        <f t="shared" si="20"/>
        <v>-67</v>
      </c>
      <c r="BZ8" s="12">
        <f t="shared" si="21"/>
        <v>2723.3333338199882</v>
      </c>
      <c r="CA8" s="11">
        <f t="shared" si="22"/>
        <v>8.0790301222947204E-3</v>
      </c>
      <c r="CC8" s="14"/>
      <c r="CD8" s="13" t="s">
        <v>8</v>
      </c>
      <c r="CE8" s="10">
        <v>229</v>
      </c>
      <c r="CF8" s="12">
        <v>258686</v>
      </c>
      <c r="CG8" s="10">
        <f t="shared" si="23"/>
        <v>25</v>
      </c>
      <c r="CH8" s="12">
        <f t="shared" si="24"/>
        <v>-81124</v>
      </c>
      <c r="CI8" s="11">
        <f t="shared" si="25"/>
        <v>-0.23873340984667904</v>
      </c>
      <c r="CK8" s="14"/>
      <c r="CL8" s="13" t="s">
        <v>8</v>
      </c>
      <c r="CN8" s="12"/>
      <c r="CO8" s="10">
        <f t="shared" si="26"/>
        <v>-229</v>
      </c>
      <c r="CP8" s="12">
        <f t="shared" si="27"/>
        <v>-258686</v>
      </c>
      <c r="CQ8" s="11">
        <f t="shared" si="28"/>
        <v>-1</v>
      </c>
      <c r="CS8" s="14"/>
      <c r="CT8" s="13" t="s">
        <v>8</v>
      </c>
      <c r="CV8" s="12"/>
      <c r="CW8" s="10">
        <f t="shared" si="29"/>
        <v>0</v>
      </c>
      <c r="CX8" s="12">
        <f t="shared" si="30"/>
        <v>0</v>
      </c>
      <c r="CY8" s="11" t="e">
        <f t="shared" si="31"/>
        <v>#DIV/0!</v>
      </c>
    </row>
    <row r="9" spans="1:103" s="10" customFormat="1" ht="20" customHeight="1">
      <c r="A9" s="14"/>
      <c r="B9" s="13" t="s">
        <v>7</v>
      </c>
      <c r="C9" s="10">
        <v>53</v>
      </c>
      <c r="D9" s="12">
        <v>343780.95238093002</v>
      </c>
      <c r="F9" s="12"/>
      <c r="G9" s="11"/>
      <c r="I9" s="14"/>
      <c r="J9" s="13" t="s">
        <v>7</v>
      </c>
      <c r="K9" s="10">
        <v>62</v>
      </c>
      <c r="L9" s="12">
        <v>412266.66666664998</v>
      </c>
      <c r="M9" s="10">
        <f t="shared" si="0"/>
        <v>9</v>
      </c>
      <c r="N9" s="12">
        <f t="shared" si="0"/>
        <v>68485.714285719965</v>
      </c>
      <c r="O9" s="11">
        <f t="shared" si="1"/>
        <v>0.19921323101645744</v>
      </c>
      <c r="Q9" s="14"/>
      <c r="R9" s="13" t="s">
        <v>7</v>
      </c>
      <c r="S9" s="10">
        <v>74</v>
      </c>
      <c r="T9" s="12">
        <v>490439.04761901998</v>
      </c>
      <c r="U9" s="10">
        <f t="shared" si="2"/>
        <v>12</v>
      </c>
      <c r="V9" s="12">
        <f t="shared" si="3"/>
        <v>78172.380952370004</v>
      </c>
      <c r="W9" s="11">
        <f t="shared" si="4"/>
        <v>0.18961605987800736</v>
      </c>
      <c r="Y9" s="14"/>
      <c r="Z9" s="13" t="s">
        <v>7</v>
      </c>
      <c r="AA9" s="10">
        <v>62</v>
      </c>
      <c r="AB9" s="12">
        <v>427980.95238093997</v>
      </c>
      <c r="AC9" s="10">
        <f t="shared" si="5"/>
        <v>-12</v>
      </c>
      <c r="AD9" s="12">
        <f t="shared" si="5"/>
        <v>-62458.095238080015</v>
      </c>
      <c r="AE9" s="11">
        <f t="shared" si="6"/>
        <v>-0.12735139165876194</v>
      </c>
      <c r="AG9" s="14"/>
      <c r="AH9" s="13" t="s">
        <v>7</v>
      </c>
      <c r="AI9" s="13">
        <v>72</v>
      </c>
      <c r="AJ9" s="45">
        <v>503599.99999997998</v>
      </c>
      <c r="AK9" s="10">
        <f t="shared" si="7"/>
        <v>10</v>
      </c>
      <c r="AL9" s="12">
        <f t="shared" si="7"/>
        <v>75619.047619040008</v>
      </c>
      <c r="AM9" s="11">
        <f t="shared" si="8"/>
        <v>0.17668788108058728</v>
      </c>
      <c r="AO9" s="14"/>
      <c r="AP9" s="13" t="s">
        <v>7</v>
      </c>
      <c r="AQ9" s="10">
        <v>64</v>
      </c>
      <c r="AR9" s="12">
        <v>456533.33333325997</v>
      </c>
      <c r="AS9" s="10">
        <f t="shared" si="9"/>
        <v>-8</v>
      </c>
      <c r="AT9" s="12">
        <f t="shared" si="9"/>
        <v>-47066.666666720004</v>
      </c>
      <c r="AU9" s="11">
        <f t="shared" si="10"/>
        <v>-9.3460418321528738E-2</v>
      </c>
      <c r="AW9" s="14"/>
      <c r="AX9" s="13" t="s">
        <v>7</v>
      </c>
      <c r="AY9" s="10">
        <v>73</v>
      </c>
      <c r="AZ9" s="12">
        <v>531685.71428561991</v>
      </c>
      <c r="BA9" s="10">
        <f t="shared" si="11"/>
        <v>9</v>
      </c>
      <c r="BB9" s="12">
        <f t="shared" si="12"/>
        <v>75152.380952359934</v>
      </c>
      <c r="BC9" s="11">
        <f t="shared" si="13"/>
        <v>0.16461532042721672</v>
      </c>
      <c r="BE9" s="14"/>
      <c r="BF9" s="13" t="s">
        <v>7</v>
      </c>
      <c r="BG9" s="10">
        <v>68</v>
      </c>
      <c r="BH9" s="12">
        <v>467447.61904753</v>
      </c>
      <c r="BI9" s="10">
        <f t="shared" si="14"/>
        <v>-5</v>
      </c>
      <c r="BJ9" s="12">
        <f t="shared" si="15"/>
        <v>-64238.095238089911</v>
      </c>
      <c r="BK9" s="11">
        <f t="shared" si="16"/>
        <v>-0.12081967506763104</v>
      </c>
      <c r="BM9" s="14"/>
      <c r="BN9" s="13" t="s">
        <v>7</v>
      </c>
      <c r="BO9" s="10">
        <v>53</v>
      </c>
      <c r="BP9" s="12">
        <v>376638.09523803002</v>
      </c>
      <c r="BQ9" s="10">
        <f t="shared" si="17"/>
        <v>-15</v>
      </c>
      <c r="BR9" s="12">
        <f t="shared" si="18"/>
        <v>-90809.52380949998</v>
      </c>
      <c r="BS9" s="11">
        <f t="shared" si="19"/>
        <v>-0.1942667372967547</v>
      </c>
      <c r="BU9" s="14"/>
      <c r="BV9" s="13" t="s">
        <v>7</v>
      </c>
      <c r="BW9" s="10">
        <v>57</v>
      </c>
      <c r="BX9" s="12">
        <v>396124</v>
      </c>
      <c r="BY9" s="10">
        <f t="shared" si="20"/>
        <v>4</v>
      </c>
      <c r="BZ9" s="12">
        <f t="shared" si="21"/>
        <v>19485.904761969985</v>
      </c>
      <c r="CA9" s="11">
        <f t="shared" si="22"/>
        <v>5.1736414898910225E-2</v>
      </c>
      <c r="CC9" s="14"/>
      <c r="CD9" s="13" t="s">
        <v>7</v>
      </c>
      <c r="CE9" s="10">
        <v>37</v>
      </c>
      <c r="CF9" s="12">
        <v>265076</v>
      </c>
      <c r="CG9" s="10">
        <f t="shared" si="23"/>
        <v>-20</v>
      </c>
      <c r="CH9" s="12">
        <f t="shared" si="24"/>
        <v>-131048</v>
      </c>
      <c r="CI9" s="11">
        <f t="shared" si="25"/>
        <v>-0.33082570104310771</v>
      </c>
      <c r="CK9" s="14"/>
      <c r="CL9" s="13" t="s">
        <v>7</v>
      </c>
      <c r="CN9" s="12"/>
      <c r="CO9" s="10">
        <f t="shared" si="26"/>
        <v>-37</v>
      </c>
      <c r="CP9" s="12">
        <f t="shared" si="27"/>
        <v>-265076</v>
      </c>
      <c r="CQ9" s="11">
        <f t="shared" si="28"/>
        <v>-1</v>
      </c>
      <c r="CS9" s="14"/>
      <c r="CT9" s="13" t="s">
        <v>7</v>
      </c>
      <c r="CV9" s="12"/>
      <c r="CW9" s="10">
        <f t="shared" si="29"/>
        <v>0</v>
      </c>
      <c r="CX9" s="12">
        <f t="shared" si="30"/>
        <v>0</v>
      </c>
      <c r="CY9" s="11" t="e">
        <f t="shared" si="31"/>
        <v>#DIV/0!</v>
      </c>
    </row>
    <row r="10" spans="1:103" s="10" customFormat="1" ht="20" customHeight="1">
      <c r="A10" s="14"/>
      <c r="B10" s="13" t="s">
        <v>6</v>
      </c>
      <c r="C10" s="10">
        <v>48</v>
      </c>
      <c r="D10" s="12">
        <v>644380.95238085999</v>
      </c>
      <c r="F10" s="12"/>
      <c r="G10" s="11"/>
      <c r="I10" s="14"/>
      <c r="J10" s="13" t="s">
        <v>6</v>
      </c>
      <c r="K10" s="10">
        <v>25</v>
      </c>
      <c r="L10" s="12">
        <v>279147.61904757004</v>
      </c>
      <c r="M10" s="10">
        <f t="shared" si="0"/>
        <v>-23</v>
      </c>
      <c r="N10" s="12">
        <f t="shared" si="0"/>
        <v>-365233.33333328995</v>
      </c>
      <c r="O10" s="11">
        <f t="shared" si="1"/>
        <v>-0.5667972214011372</v>
      </c>
      <c r="Q10" s="14"/>
      <c r="R10" s="13" t="s">
        <v>6</v>
      </c>
      <c r="S10" s="10">
        <v>47</v>
      </c>
      <c r="T10" s="12">
        <v>596476.19047609996</v>
      </c>
      <c r="U10" s="10">
        <f t="shared" si="2"/>
        <v>22</v>
      </c>
      <c r="V10" s="12">
        <f t="shared" si="3"/>
        <v>317328.57142852992</v>
      </c>
      <c r="W10" s="11">
        <f t="shared" si="4"/>
        <v>1.1367769229457529</v>
      </c>
      <c r="Y10" s="14"/>
      <c r="Z10" s="13" t="s">
        <v>6</v>
      </c>
      <c r="AA10" s="10">
        <v>44</v>
      </c>
      <c r="AB10" s="12">
        <v>551714.28571422002</v>
      </c>
      <c r="AC10" s="10">
        <f t="shared" si="5"/>
        <v>-3</v>
      </c>
      <c r="AD10" s="12">
        <f t="shared" si="5"/>
        <v>-44761.904761879938</v>
      </c>
      <c r="AE10" s="11">
        <f t="shared" si="6"/>
        <v>-7.5043908669936238E-2</v>
      </c>
      <c r="AG10" s="14"/>
      <c r="AH10" s="13" t="s">
        <v>6</v>
      </c>
      <c r="AI10" s="13">
        <v>38</v>
      </c>
      <c r="AJ10" s="45">
        <v>474857.14285708999</v>
      </c>
      <c r="AK10" s="10">
        <f t="shared" si="7"/>
        <v>-6</v>
      </c>
      <c r="AL10" s="12">
        <f t="shared" si="7"/>
        <v>-76857.142857130035</v>
      </c>
      <c r="AM10" s="11">
        <f t="shared" si="8"/>
        <v>-0.13930605903676185</v>
      </c>
      <c r="AO10" s="14"/>
      <c r="AP10" s="13" t="s">
        <v>6</v>
      </c>
      <c r="AQ10" s="10">
        <v>54</v>
      </c>
      <c r="AR10" s="12">
        <v>716761.90476172033</v>
      </c>
      <c r="AS10" s="10">
        <f t="shared" si="9"/>
        <v>16</v>
      </c>
      <c r="AT10" s="12">
        <f t="shared" si="9"/>
        <v>241904.76190463034</v>
      </c>
      <c r="AU10" s="11">
        <f t="shared" si="10"/>
        <v>0.50942639390270783</v>
      </c>
      <c r="AW10" s="14"/>
      <c r="AX10" s="13" t="s">
        <v>6</v>
      </c>
      <c r="AY10" s="10">
        <v>37</v>
      </c>
      <c r="AZ10" s="12">
        <v>487333.33333317022</v>
      </c>
      <c r="BA10" s="10">
        <f t="shared" si="11"/>
        <v>-17</v>
      </c>
      <c r="BB10" s="12">
        <f t="shared" si="12"/>
        <v>-229428.57142855012</v>
      </c>
      <c r="BC10" s="11">
        <f t="shared" si="13"/>
        <v>-0.32009035344145575</v>
      </c>
      <c r="BE10" s="14"/>
      <c r="BF10" s="13" t="s">
        <v>6</v>
      </c>
      <c r="BG10" s="10">
        <v>20</v>
      </c>
      <c r="BH10" s="12">
        <v>222857.14285706001</v>
      </c>
      <c r="BI10" s="10">
        <f t="shared" si="14"/>
        <v>-17</v>
      </c>
      <c r="BJ10" s="12">
        <f t="shared" si="15"/>
        <v>-264476.19047611021</v>
      </c>
      <c r="BK10" s="11">
        <f t="shared" si="16"/>
        <v>-0.54270080125074982</v>
      </c>
      <c r="BM10" s="14"/>
      <c r="BN10" s="13" t="s">
        <v>6</v>
      </c>
      <c r="BO10" s="10">
        <v>5</v>
      </c>
      <c r="BP10" s="12">
        <v>40476.190476169999</v>
      </c>
      <c r="BQ10" s="10">
        <f t="shared" si="17"/>
        <v>-15</v>
      </c>
      <c r="BR10" s="12">
        <f t="shared" si="18"/>
        <v>-182380.95238089003</v>
      </c>
      <c r="BS10" s="11">
        <f t="shared" si="19"/>
        <v>-0.81837606837609278</v>
      </c>
      <c r="BU10" s="14"/>
      <c r="BV10" s="13" t="s">
        <v>6</v>
      </c>
      <c r="BW10" s="10">
        <v>59</v>
      </c>
      <c r="BX10" s="12">
        <v>495333</v>
      </c>
      <c r="BY10" s="10">
        <f t="shared" si="20"/>
        <v>54</v>
      </c>
      <c r="BZ10" s="12">
        <f t="shared" si="21"/>
        <v>454856.80952383002</v>
      </c>
      <c r="CA10" s="11">
        <f t="shared" si="22"/>
        <v>11.237638823535603</v>
      </c>
      <c r="CC10" s="14"/>
      <c r="CD10" s="13" t="s">
        <v>6</v>
      </c>
      <c r="CE10" s="10">
        <v>0</v>
      </c>
      <c r="CF10" s="12">
        <v>0</v>
      </c>
      <c r="CG10" s="10">
        <f t="shared" si="23"/>
        <v>-59</v>
      </c>
      <c r="CH10" s="12">
        <f t="shared" si="24"/>
        <v>-495333</v>
      </c>
      <c r="CI10" s="11">
        <f t="shared" si="25"/>
        <v>-1</v>
      </c>
      <c r="CK10" s="14"/>
      <c r="CL10" s="13" t="s">
        <v>6</v>
      </c>
      <c r="CN10" s="12"/>
      <c r="CO10" s="10">
        <f t="shared" si="26"/>
        <v>0</v>
      </c>
      <c r="CP10" s="12">
        <f t="shared" si="27"/>
        <v>0</v>
      </c>
      <c r="CQ10" s="11" t="e">
        <f t="shared" si="28"/>
        <v>#DIV/0!</v>
      </c>
      <c r="CS10" s="14"/>
      <c r="CT10" s="13" t="s">
        <v>6</v>
      </c>
      <c r="CV10" s="12"/>
      <c r="CW10" s="10">
        <f t="shared" si="29"/>
        <v>0</v>
      </c>
      <c r="CX10" s="12">
        <f t="shared" si="30"/>
        <v>0</v>
      </c>
      <c r="CY10" s="11" t="e">
        <f t="shared" si="31"/>
        <v>#DIV/0!</v>
      </c>
    </row>
    <row r="11" spans="1:103" s="10" customFormat="1" ht="20" customHeight="1">
      <c r="A11" s="14"/>
      <c r="B11" s="13" t="s">
        <v>5</v>
      </c>
      <c r="C11" s="10">
        <v>8</v>
      </c>
      <c r="D11" s="12">
        <v>34820</v>
      </c>
      <c r="F11" s="12"/>
      <c r="G11" s="11"/>
      <c r="I11" s="14"/>
      <c r="J11" s="13" t="s">
        <v>5</v>
      </c>
      <c r="K11" s="10">
        <v>8</v>
      </c>
      <c r="L11" s="12">
        <v>35120</v>
      </c>
      <c r="M11" s="10">
        <f t="shared" si="0"/>
        <v>0</v>
      </c>
      <c r="N11" s="12">
        <f t="shared" si="0"/>
        <v>300</v>
      </c>
      <c r="O11" s="11">
        <f t="shared" si="1"/>
        <v>8.6157380815623207E-3</v>
      </c>
      <c r="Q11" s="14"/>
      <c r="R11" s="13" t="s">
        <v>5</v>
      </c>
      <c r="S11" s="10">
        <v>12</v>
      </c>
      <c r="T11" s="12">
        <v>66680</v>
      </c>
      <c r="U11" s="10">
        <f t="shared" si="2"/>
        <v>4</v>
      </c>
      <c r="V11" s="12">
        <f t="shared" si="3"/>
        <v>31560</v>
      </c>
      <c r="W11" s="11">
        <f t="shared" si="4"/>
        <v>0.89863325740318911</v>
      </c>
      <c r="Y11" s="14"/>
      <c r="Z11" s="13" t="s">
        <v>5</v>
      </c>
      <c r="AA11" s="10">
        <v>12</v>
      </c>
      <c r="AB11" s="12">
        <v>56600</v>
      </c>
      <c r="AC11" s="10">
        <f t="shared" si="5"/>
        <v>0</v>
      </c>
      <c r="AD11" s="12">
        <f t="shared" si="5"/>
        <v>-10080</v>
      </c>
      <c r="AE11" s="11">
        <f t="shared" si="6"/>
        <v>-0.15116976604679064</v>
      </c>
      <c r="AG11" s="14"/>
      <c r="AH11" s="13" t="s">
        <v>5</v>
      </c>
      <c r="AI11" s="13">
        <v>11</v>
      </c>
      <c r="AJ11" s="45">
        <v>53110</v>
      </c>
      <c r="AK11" s="10">
        <f t="shared" si="7"/>
        <v>-1</v>
      </c>
      <c r="AL11" s="12">
        <f t="shared" si="7"/>
        <v>-3490</v>
      </c>
      <c r="AM11" s="11">
        <f t="shared" si="8"/>
        <v>-6.1660777385159009E-2</v>
      </c>
      <c r="AO11" s="14"/>
      <c r="AP11" s="13" t="s">
        <v>5</v>
      </c>
      <c r="AQ11" s="10">
        <v>14</v>
      </c>
      <c r="AR11" s="12">
        <v>67170</v>
      </c>
      <c r="AS11" s="10">
        <f t="shared" si="9"/>
        <v>3</v>
      </c>
      <c r="AT11" s="12">
        <f t="shared" si="9"/>
        <v>14060</v>
      </c>
      <c r="AU11" s="11">
        <f t="shared" si="10"/>
        <v>0.26473357183204671</v>
      </c>
      <c r="AW11" s="14"/>
      <c r="AX11" s="13" t="s">
        <v>5</v>
      </c>
      <c r="AY11" s="10">
        <v>13</v>
      </c>
      <c r="AZ11" s="12">
        <v>71080</v>
      </c>
      <c r="BA11" s="10">
        <f t="shared" si="11"/>
        <v>-1</v>
      </c>
      <c r="BB11" s="12">
        <f t="shared" si="12"/>
        <v>3910</v>
      </c>
      <c r="BC11" s="11">
        <f t="shared" si="13"/>
        <v>5.8210510644633021E-2</v>
      </c>
      <c r="BE11" s="14"/>
      <c r="BF11" s="13" t="s">
        <v>5</v>
      </c>
      <c r="BG11" s="10">
        <v>8</v>
      </c>
      <c r="BH11" s="12">
        <v>58120</v>
      </c>
      <c r="BI11" s="10">
        <f t="shared" si="14"/>
        <v>-5</v>
      </c>
      <c r="BJ11" s="12">
        <f t="shared" si="15"/>
        <v>-12960</v>
      </c>
      <c r="BK11" s="11">
        <f t="shared" si="16"/>
        <v>-0.18232976927405739</v>
      </c>
      <c r="BM11" s="14"/>
      <c r="BN11" s="13" t="s">
        <v>5</v>
      </c>
      <c r="BO11" s="10">
        <v>5</v>
      </c>
      <c r="BP11" s="12">
        <v>21150</v>
      </c>
      <c r="BQ11" s="10">
        <f t="shared" si="17"/>
        <v>-3</v>
      </c>
      <c r="BR11" s="12">
        <f t="shared" si="18"/>
        <v>-36970</v>
      </c>
      <c r="BS11" s="11">
        <f t="shared" si="19"/>
        <v>-0.6360977288368892</v>
      </c>
      <c r="BU11" s="14"/>
      <c r="BV11" s="13" t="s">
        <v>5</v>
      </c>
      <c r="BW11" s="10">
        <v>6</v>
      </c>
      <c r="BX11" s="12">
        <v>32240</v>
      </c>
      <c r="BY11" s="10">
        <f t="shared" si="20"/>
        <v>1</v>
      </c>
      <c r="BZ11" s="12">
        <f t="shared" si="21"/>
        <v>11090</v>
      </c>
      <c r="CA11" s="11">
        <f t="shared" si="22"/>
        <v>0.52434988179669029</v>
      </c>
      <c r="CC11" s="14"/>
      <c r="CD11" s="13" t="s">
        <v>5</v>
      </c>
      <c r="CE11" s="10">
        <v>5</v>
      </c>
      <c r="CF11" s="12">
        <v>40850</v>
      </c>
      <c r="CG11" s="10">
        <f t="shared" si="23"/>
        <v>-1</v>
      </c>
      <c r="CH11" s="12">
        <f t="shared" si="24"/>
        <v>8610</v>
      </c>
      <c r="CI11" s="11">
        <f t="shared" si="25"/>
        <v>0.26705955334987591</v>
      </c>
      <c r="CK11" s="14"/>
      <c r="CL11" s="13" t="s">
        <v>5</v>
      </c>
      <c r="CN11" s="12"/>
      <c r="CO11" s="10">
        <f t="shared" si="26"/>
        <v>-5</v>
      </c>
      <c r="CP11" s="12">
        <f t="shared" si="27"/>
        <v>-40850</v>
      </c>
      <c r="CQ11" s="11">
        <f t="shared" si="28"/>
        <v>-1</v>
      </c>
      <c r="CS11" s="14"/>
      <c r="CT11" s="13" t="s">
        <v>5</v>
      </c>
      <c r="CV11" s="12"/>
      <c r="CW11" s="10">
        <f t="shared" si="29"/>
        <v>0</v>
      </c>
      <c r="CX11" s="12">
        <f t="shared" si="30"/>
        <v>0</v>
      </c>
      <c r="CY11" s="11" t="e">
        <f t="shared" si="31"/>
        <v>#DIV/0!</v>
      </c>
    </row>
    <row r="12" spans="1:103" s="10" customFormat="1" ht="20" customHeight="1">
      <c r="A12" s="14"/>
      <c r="B12" s="13" t="s">
        <v>4</v>
      </c>
      <c r="C12" s="10">
        <v>12</v>
      </c>
      <c r="D12" s="12">
        <v>496161.90476184007</v>
      </c>
      <c r="F12" s="12"/>
      <c r="G12" s="11"/>
      <c r="I12" s="14"/>
      <c r="J12" s="13" t="s">
        <v>4</v>
      </c>
      <c r="K12" s="10">
        <v>28</v>
      </c>
      <c r="L12" s="12">
        <v>1034838.0952380203</v>
      </c>
      <c r="M12" s="10">
        <f t="shared" si="0"/>
        <v>16</v>
      </c>
      <c r="N12" s="12">
        <f t="shared" si="0"/>
        <v>538676.19047618029</v>
      </c>
      <c r="O12" s="11">
        <f t="shared" si="1"/>
        <v>1.0856863159108261</v>
      </c>
      <c r="Q12" s="14"/>
      <c r="R12" s="13" t="s">
        <v>4</v>
      </c>
      <c r="S12" s="10">
        <v>28</v>
      </c>
      <c r="T12" s="12">
        <v>1271766.6666665294</v>
      </c>
      <c r="U12" s="10">
        <f t="shared" si="2"/>
        <v>0</v>
      </c>
      <c r="V12" s="12">
        <f t="shared" si="3"/>
        <v>236928.57142850908</v>
      </c>
      <c r="W12" s="11">
        <f t="shared" si="4"/>
        <v>0.22895230907982159</v>
      </c>
      <c r="Y12" s="14"/>
      <c r="Z12" s="13" t="s">
        <v>4</v>
      </c>
      <c r="AA12" s="10">
        <v>33</v>
      </c>
      <c r="AB12" s="12">
        <v>1467361.9047617998</v>
      </c>
      <c r="AC12" s="10">
        <f t="shared" si="5"/>
        <v>5</v>
      </c>
      <c r="AD12" s="12">
        <f t="shared" si="5"/>
        <v>195595.23809527047</v>
      </c>
      <c r="AE12" s="11">
        <f t="shared" si="6"/>
        <v>0.15379805370111779</v>
      </c>
      <c r="AG12" s="14"/>
      <c r="AH12" s="13" t="s">
        <v>4</v>
      </c>
      <c r="AI12" s="13">
        <v>28</v>
      </c>
      <c r="AJ12" s="45">
        <v>1397652.38095225</v>
      </c>
      <c r="AK12" s="10">
        <f t="shared" si="7"/>
        <v>-5</v>
      </c>
      <c r="AL12" s="12">
        <f t="shared" si="7"/>
        <v>-69709.523809549864</v>
      </c>
      <c r="AM12" s="11">
        <f t="shared" si="8"/>
        <v>-4.7506701368852808E-2</v>
      </c>
      <c r="AO12" s="14"/>
      <c r="AP12" s="13" t="s">
        <v>4</v>
      </c>
      <c r="AQ12" s="10">
        <v>37</v>
      </c>
      <c r="AR12" s="12">
        <v>1971285.7142855099</v>
      </c>
      <c r="AS12" s="10">
        <f t="shared" si="9"/>
        <v>9</v>
      </c>
      <c r="AT12" s="12">
        <f t="shared" si="9"/>
        <v>573633.33333325991</v>
      </c>
      <c r="AU12" s="11">
        <f t="shared" si="10"/>
        <v>0.41042632714039484</v>
      </c>
      <c r="AW12" s="14"/>
      <c r="AX12" s="13" t="s">
        <v>4</v>
      </c>
      <c r="AY12" s="10">
        <v>31</v>
      </c>
      <c r="AZ12" s="12">
        <v>1534395.238095101</v>
      </c>
      <c r="BA12" s="10">
        <f t="shared" si="11"/>
        <v>-6</v>
      </c>
      <c r="BB12" s="12">
        <f t="shared" si="12"/>
        <v>-436890.47619040892</v>
      </c>
      <c r="BC12" s="11">
        <f t="shared" si="13"/>
        <v>-0.22162717105103119</v>
      </c>
      <c r="BE12" s="14"/>
      <c r="BF12" s="13" t="s">
        <v>4</v>
      </c>
      <c r="BG12" s="10">
        <v>21</v>
      </c>
      <c r="BH12" s="12">
        <v>943204.76190464001</v>
      </c>
      <c r="BI12" s="10">
        <f t="shared" si="14"/>
        <v>-10</v>
      </c>
      <c r="BJ12" s="12">
        <f t="shared" si="15"/>
        <v>-591190.47619046096</v>
      </c>
      <c r="BK12" s="11">
        <f t="shared" si="16"/>
        <v>-0.38529217343270933</v>
      </c>
      <c r="BM12" s="14"/>
      <c r="BN12" s="13" t="s">
        <v>4</v>
      </c>
      <c r="BO12" s="10">
        <v>24</v>
      </c>
      <c r="BP12" s="12">
        <v>798423.80952372996</v>
      </c>
      <c r="BQ12" s="10">
        <f t="shared" si="17"/>
        <v>3</v>
      </c>
      <c r="BR12" s="12">
        <f t="shared" si="18"/>
        <v>-144780.95238091005</v>
      </c>
      <c r="BS12" s="11">
        <f t="shared" si="19"/>
        <v>-0.15349896250369832</v>
      </c>
      <c r="BU12" s="14"/>
      <c r="BV12" s="13" t="s">
        <v>4</v>
      </c>
      <c r="BW12" s="10">
        <v>29</v>
      </c>
      <c r="BX12" s="12">
        <v>1151102</v>
      </c>
      <c r="BY12" s="10">
        <f t="shared" si="20"/>
        <v>5</v>
      </c>
      <c r="BZ12" s="12">
        <f t="shared" si="21"/>
        <v>352678.19047627004</v>
      </c>
      <c r="CA12" s="11">
        <f t="shared" si="22"/>
        <v>0.44171802778106917</v>
      </c>
      <c r="CC12" s="14"/>
      <c r="CD12" s="13" t="s">
        <v>4</v>
      </c>
      <c r="CE12" s="10">
        <v>22</v>
      </c>
      <c r="CF12" s="12">
        <v>972138</v>
      </c>
      <c r="CG12" s="10">
        <f t="shared" si="23"/>
        <v>-7</v>
      </c>
      <c r="CH12" s="12">
        <f t="shared" si="24"/>
        <v>-178964</v>
      </c>
      <c r="CI12" s="11">
        <f t="shared" si="25"/>
        <v>-0.15547188693964567</v>
      </c>
      <c r="CK12" s="14"/>
      <c r="CL12" s="13" t="s">
        <v>4</v>
      </c>
      <c r="CN12" s="12"/>
      <c r="CO12" s="10">
        <f t="shared" si="26"/>
        <v>-22</v>
      </c>
      <c r="CP12" s="12">
        <f t="shared" si="27"/>
        <v>-972138</v>
      </c>
      <c r="CQ12" s="11">
        <f t="shared" si="28"/>
        <v>-1</v>
      </c>
      <c r="CS12" s="14"/>
      <c r="CT12" s="13" t="s">
        <v>4</v>
      </c>
      <c r="CV12" s="12"/>
      <c r="CW12" s="10">
        <f t="shared" si="29"/>
        <v>0</v>
      </c>
      <c r="CX12" s="12">
        <f t="shared" si="30"/>
        <v>0</v>
      </c>
      <c r="CY12" s="11" t="e">
        <f t="shared" si="31"/>
        <v>#DIV/0!</v>
      </c>
    </row>
    <row r="13" spans="1:103" s="10" customFormat="1" ht="20" customHeight="1">
      <c r="A13" s="14"/>
      <c r="B13" s="13" t="s">
        <v>3</v>
      </c>
      <c r="C13" s="10">
        <v>33</v>
      </c>
      <c r="D13" s="12">
        <v>822857.14285706007</v>
      </c>
      <c r="F13" s="12"/>
      <c r="G13" s="11"/>
      <c r="I13" s="14"/>
      <c r="J13" s="13" t="s">
        <v>3</v>
      </c>
      <c r="K13" s="10">
        <v>60</v>
      </c>
      <c r="L13" s="12">
        <v>1410190.47619037</v>
      </c>
      <c r="M13" s="10">
        <f t="shared" si="0"/>
        <v>27</v>
      </c>
      <c r="N13" s="12">
        <f t="shared" si="0"/>
        <v>587333.33333330997</v>
      </c>
      <c r="O13" s="11">
        <f t="shared" si="1"/>
        <v>0.71377314814819159</v>
      </c>
      <c r="Q13" s="14"/>
      <c r="R13" s="13" t="s">
        <v>3</v>
      </c>
      <c r="S13" s="10">
        <v>65</v>
      </c>
      <c r="T13" s="12">
        <v>1783619.0476188997</v>
      </c>
      <c r="U13" s="10">
        <f t="shared" si="2"/>
        <v>5</v>
      </c>
      <c r="V13" s="12">
        <f t="shared" si="3"/>
        <v>373428.57142852969</v>
      </c>
      <c r="W13" s="11">
        <f t="shared" si="4"/>
        <v>0.26480718579049484</v>
      </c>
      <c r="Y13" s="14"/>
      <c r="Z13" s="13" t="s">
        <v>3</v>
      </c>
      <c r="AA13" s="10">
        <v>54</v>
      </c>
      <c r="AB13" s="12">
        <v>1287619.0476189298</v>
      </c>
      <c r="AC13" s="10">
        <f t="shared" si="5"/>
        <v>-11</v>
      </c>
      <c r="AD13" s="12">
        <f t="shared" si="5"/>
        <v>-495999.99999996996</v>
      </c>
      <c r="AE13" s="11">
        <f t="shared" si="6"/>
        <v>-0.27808628791115531</v>
      </c>
      <c r="AG13" s="14"/>
      <c r="AH13" s="13" t="s">
        <v>3</v>
      </c>
      <c r="AI13" s="13">
        <v>115</v>
      </c>
      <c r="AJ13" s="45">
        <v>2222285.7142855702</v>
      </c>
      <c r="AK13" s="10">
        <f t="shared" si="7"/>
        <v>61</v>
      </c>
      <c r="AL13" s="12">
        <f t="shared" si="7"/>
        <v>934666.66666664043</v>
      </c>
      <c r="AM13" s="11">
        <f t="shared" si="8"/>
        <v>0.72588757396454306</v>
      </c>
      <c r="AO13" s="14"/>
      <c r="AP13" s="13" t="s">
        <v>3</v>
      </c>
      <c r="AQ13" s="10">
        <v>63</v>
      </c>
      <c r="AR13" s="12">
        <v>1626095.23809503</v>
      </c>
      <c r="AS13" s="10">
        <f t="shared" si="9"/>
        <v>-52</v>
      </c>
      <c r="AT13" s="12">
        <f t="shared" si="9"/>
        <v>-596190.47619054024</v>
      </c>
      <c r="AU13" s="11">
        <f t="shared" si="10"/>
        <v>-0.26827804919864057</v>
      </c>
      <c r="AW13" s="14"/>
      <c r="AX13" s="13" t="s">
        <v>3</v>
      </c>
      <c r="AY13" s="10">
        <v>53</v>
      </c>
      <c r="AZ13" s="12">
        <v>1229714.2857141199</v>
      </c>
      <c r="BA13" s="10">
        <f t="shared" si="11"/>
        <v>-10</v>
      </c>
      <c r="BB13" s="12">
        <f t="shared" si="12"/>
        <v>-396380.95238091005</v>
      </c>
      <c r="BC13" s="11">
        <f t="shared" si="13"/>
        <v>-0.24376244582406514</v>
      </c>
      <c r="BE13" s="14"/>
      <c r="BF13" s="13" t="s">
        <v>3</v>
      </c>
      <c r="BG13" s="10">
        <v>29</v>
      </c>
      <c r="BH13" s="12">
        <v>671523.80952368001</v>
      </c>
      <c r="BI13" s="10">
        <f t="shared" si="14"/>
        <v>-24</v>
      </c>
      <c r="BJ13" s="12">
        <f t="shared" si="15"/>
        <v>-558190.47619043989</v>
      </c>
      <c r="BK13" s="11">
        <f t="shared" si="16"/>
        <v>-0.45391883519210108</v>
      </c>
      <c r="BM13" s="14"/>
      <c r="BN13" s="13" t="s">
        <v>3</v>
      </c>
      <c r="BO13" s="10">
        <v>45</v>
      </c>
      <c r="BP13" s="12">
        <v>981238.09523791994</v>
      </c>
      <c r="BQ13" s="10">
        <f t="shared" si="17"/>
        <v>16</v>
      </c>
      <c r="BR13" s="12">
        <f t="shared" si="18"/>
        <v>309714.28571423993</v>
      </c>
      <c r="BS13" s="11">
        <f t="shared" si="19"/>
        <v>0.46121117571977682</v>
      </c>
      <c r="BU13" s="14"/>
      <c r="BV13" s="13" t="s">
        <v>3</v>
      </c>
      <c r="BW13" s="10">
        <v>49</v>
      </c>
      <c r="BX13" s="12">
        <v>1278952</v>
      </c>
      <c r="BY13" s="10">
        <f t="shared" si="20"/>
        <v>4</v>
      </c>
      <c r="BZ13" s="12">
        <f t="shared" si="21"/>
        <v>297713.90476208006</v>
      </c>
      <c r="CA13" s="11">
        <f t="shared" si="22"/>
        <v>0.30340638648960488</v>
      </c>
      <c r="CC13" s="14"/>
      <c r="CD13" s="13" t="s">
        <v>3</v>
      </c>
      <c r="CE13" s="10">
        <v>46</v>
      </c>
      <c r="CF13" s="12">
        <v>988381</v>
      </c>
      <c r="CG13" s="10">
        <f t="shared" si="23"/>
        <v>-3</v>
      </c>
      <c r="CH13" s="12">
        <f t="shared" si="24"/>
        <v>-290571</v>
      </c>
      <c r="CI13" s="11">
        <f t="shared" si="25"/>
        <v>-0.22719460933639418</v>
      </c>
      <c r="CK13" s="14"/>
      <c r="CL13" s="13" t="s">
        <v>3</v>
      </c>
      <c r="CN13" s="12"/>
      <c r="CO13" s="10">
        <f t="shared" si="26"/>
        <v>-46</v>
      </c>
      <c r="CP13" s="12">
        <f t="shared" si="27"/>
        <v>-988381</v>
      </c>
      <c r="CQ13" s="11">
        <f t="shared" si="28"/>
        <v>-1</v>
      </c>
      <c r="CS13" s="14"/>
      <c r="CT13" s="13" t="s">
        <v>3</v>
      </c>
      <c r="CV13" s="12"/>
      <c r="CW13" s="10">
        <f t="shared" si="29"/>
        <v>0</v>
      </c>
      <c r="CX13" s="12">
        <f t="shared" si="30"/>
        <v>0</v>
      </c>
      <c r="CY13" s="11" t="e">
        <f t="shared" si="31"/>
        <v>#DIV/0!</v>
      </c>
    </row>
    <row r="14" spans="1:103" s="10" customFormat="1" ht="20" customHeight="1">
      <c r="A14" s="14"/>
      <c r="B14" s="13" t="s">
        <v>2</v>
      </c>
      <c r="C14" s="10">
        <v>59</v>
      </c>
      <c r="D14" s="12">
        <v>2111523.8095237603</v>
      </c>
      <c r="F14" s="12"/>
      <c r="G14" s="11"/>
      <c r="I14" s="14"/>
      <c r="J14" s="13" t="s">
        <v>2</v>
      </c>
      <c r="K14" s="10">
        <v>140</v>
      </c>
      <c r="L14" s="12">
        <v>5139047.6190475598</v>
      </c>
      <c r="M14" s="10">
        <f t="shared" si="0"/>
        <v>81</v>
      </c>
      <c r="N14" s="12">
        <f t="shared" si="0"/>
        <v>3027523.8095237995</v>
      </c>
      <c r="O14" s="11">
        <f t="shared" si="1"/>
        <v>1.433809931893042</v>
      </c>
      <c r="Q14" s="14"/>
      <c r="R14" s="13" t="s">
        <v>2</v>
      </c>
      <c r="S14" s="10">
        <v>117</v>
      </c>
      <c r="T14" s="12">
        <v>4160098.0952380095</v>
      </c>
      <c r="U14" s="10">
        <f t="shared" si="2"/>
        <v>-23</v>
      </c>
      <c r="V14" s="12">
        <f t="shared" si="3"/>
        <v>-978949.52380955033</v>
      </c>
      <c r="W14" s="11">
        <f t="shared" si="4"/>
        <v>-0.19049240177910298</v>
      </c>
      <c r="Y14" s="14"/>
      <c r="Z14" s="13" t="s">
        <v>2</v>
      </c>
      <c r="AA14" s="10">
        <v>82</v>
      </c>
      <c r="AB14" s="12">
        <v>3091659.9999999399</v>
      </c>
      <c r="AC14" s="10">
        <f t="shared" si="5"/>
        <v>-35</v>
      </c>
      <c r="AD14" s="12">
        <f t="shared" si="5"/>
        <v>-1068438.0952380695</v>
      </c>
      <c r="AE14" s="11">
        <f t="shared" si="6"/>
        <v>-0.25683002438358166</v>
      </c>
      <c r="AG14" s="14"/>
      <c r="AH14" s="13" t="s">
        <v>2</v>
      </c>
      <c r="AI14" s="13">
        <v>70</v>
      </c>
      <c r="AJ14" s="45">
        <v>2648571.4285713602</v>
      </c>
      <c r="AK14" s="10">
        <f t="shared" si="7"/>
        <v>-12</v>
      </c>
      <c r="AL14" s="12">
        <f t="shared" si="7"/>
        <v>-443088.57142857974</v>
      </c>
      <c r="AM14" s="11">
        <f t="shared" si="8"/>
        <v>-0.14331736718416266</v>
      </c>
      <c r="AO14" s="14"/>
      <c r="AP14" s="13" t="s">
        <v>2</v>
      </c>
      <c r="AQ14" s="10">
        <v>105</v>
      </c>
      <c r="AR14" s="12">
        <v>4165238.0952379601</v>
      </c>
      <c r="AS14" s="10">
        <f t="shared" si="9"/>
        <v>35</v>
      </c>
      <c r="AT14" s="12">
        <f t="shared" si="9"/>
        <v>1516666.6666665999</v>
      </c>
      <c r="AU14" s="11">
        <f t="shared" si="10"/>
        <v>0.5726357425386448</v>
      </c>
      <c r="AW14" s="14"/>
      <c r="AX14" s="13" t="s">
        <v>2</v>
      </c>
      <c r="AY14" s="10">
        <v>81</v>
      </c>
      <c r="AZ14" s="12">
        <v>3206571.4285713299</v>
      </c>
      <c r="BA14" s="10">
        <f t="shared" si="11"/>
        <v>-24</v>
      </c>
      <c r="BB14" s="12">
        <f t="shared" si="12"/>
        <v>-958666.66666663019</v>
      </c>
      <c r="BC14" s="11">
        <f t="shared" si="13"/>
        <v>-0.23015891162684221</v>
      </c>
      <c r="BE14" s="14"/>
      <c r="BF14" s="13" t="s">
        <v>2</v>
      </c>
      <c r="BG14" s="10">
        <v>41</v>
      </c>
      <c r="BH14" s="12">
        <v>1441809.52380946</v>
      </c>
      <c r="BI14" s="10">
        <f t="shared" si="14"/>
        <v>-40</v>
      </c>
      <c r="BJ14" s="12">
        <f t="shared" si="15"/>
        <v>-1764761.9047618699</v>
      </c>
      <c r="BK14" s="11">
        <f t="shared" si="16"/>
        <v>-0.55035789598741292</v>
      </c>
      <c r="BM14" s="14"/>
      <c r="BN14" s="13" t="s">
        <v>2</v>
      </c>
      <c r="BO14" s="10">
        <v>32</v>
      </c>
      <c r="BP14" s="12">
        <v>1143619.0476189801</v>
      </c>
      <c r="BQ14" s="10">
        <f t="shared" si="17"/>
        <v>-9</v>
      </c>
      <c r="BR14" s="12">
        <f t="shared" si="18"/>
        <v>-298190.47619047994</v>
      </c>
      <c r="BS14" s="11">
        <f t="shared" si="19"/>
        <v>-0.20681683070217174</v>
      </c>
      <c r="BU14" s="14"/>
      <c r="BV14" s="13" t="s">
        <v>2</v>
      </c>
      <c r="BW14" s="10">
        <v>40</v>
      </c>
      <c r="BX14" s="12">
        <v>1330476</v>
      </c>
      <c r="BY14" s="10">
        <f t="shared" si="20"/>
        <v>8</v>
      </c>
      <c r="BZ14" s="12">
        <f t="shared" si="21"/>
        <v>186856.95238101995</v>
      </c>
      <c r="CA14" s="11">
        <f t="shared" si="22"/>
        <v>0.16339090606269366</v>
      </c>
      <c r="CC14" s="14"/>
      <c r="CD14" s="13" t="s">
        <v>2</v>
      </c>
      <c r="CE14" s="10">
        <v>26</v>
      </c>
      <c r="CF14" s="12">
        <v>929905</v>
      </c>
      <c r="CG14" s="10">
        <f t="shared" si="23"/>
        <v>-14</v>
      </c>
      <c r="CH14" s="12">
        <f t="shared" si="24"/>
        <v>-400571</v>
      </c>
      <c r="CI14" s="11">
        <f t="shared" si="25"/>
        <v>-0.30107345040421624</v>
      </c>
      <c r="CK14" s="14"/>
      <c r="CL14" s="13" t="s">
        <v>2</v>
      </c>
      <c r="CN14" s="12"/>
      <c r="CO14" s="10">
        <f t="shared" si="26"/>
        <v>-26</v>
      </c>
      <c r="CP14" s="12">
        <f t="shared" si="27"/>
        <v>-929905</v>
      </c>
      <c r="CQ14" s="11">
        <f t="shared" si="28"/>
        <v>-1</v>
      </c>
      <c r="CS14" s="14"/>
      <c r="CT14" s="13" t="s">
        <v>2</v>
      </c>
      <c r="CV14" s="12"/>
      <c r="CW14" s="10">
        <f t="shared" si="29"/>
        <v>0</v>
      </c>
      <c r="CX14" s="12">
        <f t="shared" si="30"/>
        <v>0</v>
      </c>
      <c r="CY14" s="11" t="e">
        <f t="shared" si="31"/>
        <v>#DIV/0!</v>
      </c>
    </row>
    <row r="15" spans="1:103" s="1" customFormat="1" ht="20" customHeight="1">
      <c r="A15" s="9" t="s">
        <v>18</v>
      </c>
      <c r="B15" s="9"/>
      <c r="C15" s="8">
        <v>640</v>
      </c>
      <c r="D15" s="7">
        <v>4997474.2857129006</v>
      </c>
      <c r="E15" s="27"/>
      <c r="F15" s="28"/>
      <c r="G15" s="29"/>
      <c r="I15" s="9" t="s">
        <v>18</v>
      </c>
      <c r="J15" s="9"/>
      <c r="K15" s="8">
        <v>671</v>
      </c>
      <c r="L15" s="7">
        <v>8757068.5714274608</v>
      </c>
      <c r="M15" s="27">
        <f t="shared" si="0"/>
        <v>31</v>
      </c>
      <c r="N15" s="28">
        <f t="shared" si="0"/>
        <v>3759594.2857145602</v>
      </c>
      <c r="O15" s="29">
        <f t="shared" si="1"/>
        <v>0.7522988755465394</v>
      </c>
      <c r="Q15" s="9" t="s">
        <v>18</v>
      </c>
      <c r="R15" s="9"/>
      <c r="S15" s="8">
        <v>901</v>
      </c>
      <c r="T15" s="7">
        <v>9077450.4761870392</v>
      </c>
      <c r="U15" s="27">
        <f t="shared" si="2"/>
        <v>230</v>
      </c>
      <c r="V15" s="28">
        <f t="shared" si="3"/>
        <v>320381.90475957841</v>
      </c>
      <c r="W15" s="29">
        <f t="shared" si="4"/>
        <v>3.6585519702896883E-2</v>
      </c>
      <c r="Y15" s="9" t="s">
        <v>18</v>
      </c>
      <c r="Z15" s="9"/>
      <c r="AA15" s="8">
        <v>720</v>
      </c>
      <c r="AB15" s="7">
        <v>7511006.6666653901</v>
      </c>
      <c r="AC15" s="27">
        <f t="shared" si="5"/>
        <v>-181</v>
      </c>
      <c r="AD15" s="28">
        <f t="shared" si="5"/>
        <v>-1566443.809521649</v>
      </c>
      <c r="AE15" s="29">
        <f t="shared" si="6"/>
        <v>-0.17256429144184435</v>
      </c>
      <c r="AG15" s="9" t="s">
        <v>18</v>
      </c>
      <c r="AH15" s="9"/>
      <c r="AI15" s="9">
        <v>836</v>
      </c>
      <c r="AJ15" s="46">
        <v>7903599.5238081599</v>
      </c>
      <c r="AK15" s="27">
        <f t="shared" si="7"/>
        <v>116</v>
      </c>
      <c r="AL15" s="28">
        <f t="shared" si="7"/>
        <v>392592.85714276973</v>
      </c>
      <c r="AM15" s="29">
        <f t="shared" si="8"/>
        <v>5.22690066146708E-2</v>
      </c>
      <c r="AO15" s="9" t="s">
        <v>39</v>
      </c>
      <c r="AP15" s="9"/>
      <c r="AQ15" s="8">
        <v>830</v>
      </c>
      <c r="AR15" s="7">
        <v>9656165.2380927801</v>
      </c>
      <c r="AS15" s="27">
        <f t="shared" si="9"/>
        <v>-6</v>
      </c>
      <c r="AT15" s="28">
        <f t="shared" si="9"/>
        <v>1752565.7142846202</v>
      </c>
      <c r="AU15" s="29">
        <f t="shared" si="10"/>
        <v>0.22174272734914438</v>
      </c>
      <c r="AW15" s="9" t="s">
        <v>39</v>
      </c>
      <c r="AX15" s="9"/>
      <c r="AY15" s="8">
        <v>753</v>
      </c>
      <c r="AZ15" s="7">
        <v>7713406.6666645408</v>
      </c>
      <c r="BA15" s="27">
        <f t="shared" si="11"/>
        <v>-77</v>
      </c>
      <c r="BB15" s="28">
        <f t="shared" si="12"/>
        <v>-1942758.5714282393</v>
      </c>
      <c r="BC15" s="29">
        <f t="shared" si="13"/>
        <v>-0.20119359223102523</v>
      </c>
      <c r="BE15" s="9" t="s">
        <v>18</v>
      </c>
      <c r="BF15" s="9"/>
      <c r="BG15" s="8">
        <v>620</v>
      </c>
      <c r="BH15" s="7">
        <v>4293292.3809505999</v>
      </c>
      <c r="BI15" s="27">
        <f t="shared" si="14"/>
        <v>-133</v>
      </c>
      <c r="BJ15" s="28">
        <f t="shared" si="15"/>
        <v>-3420114.2857139409</v>
      </c>
      <c r="BK15" s="29">
        <f t="shared" si="16"/>
        <v>-0.44339867370079672</v>
      </c>
      <c r="BM15" s="9" t="s">
        <v>39</v>
      </c>
      <c r="BN15" s="9"/>
      <c r="BO15" s="8">
        <v>644</v>
      </c>
      <c r="BP15" s="7">
        <v>3908899.5238077301</v>
      </c>
      <c r="BQ15" s="27">
        <f t="shared" si="17"/>
        <v>24</v>
      </c>
      <c r="BR15" s="28">
        <f t="shared" si="18"/>
        <v>-384392.85714286985</v>
      </c>
      <c r="BS15" s="29">
        <f t="shared" si="19"/>
        <v>-8.9533351804416225E-2</v>
      </c>
      <c r="BU15" s="9" t="s">
        <v>39</v>
      </c>
      <c r="BV15" s="9"/>
      <c r="BW15" s="8">
        <v>642</v>
      </c>
      <c r="BX15" s="7">
        <v>5229525</v>
      </c>
      <c r="BY15" s="27">
        <f t="shared" si="20"/>
        <v>-2</v>
      </c>
      <c r="BZ15" s="28">
        <f t="shared" si="21"/>
        <v>1320625.4761922699</v>
      </c>
      <c r="CA15" s="29">
        <f t="shared" si="22"/>
        <v>0.33785096499636413</v>
      </c>
      <c r="CC15" s="9" t="s">
        <v>39</v>
      </c>
      <c r="CD15" s="9"/>
      <c r="CE15" s="8">
        <v>507</v>
      </c>
      <c r="CF15" s="7">
        <v>3612806</v>
      </c>
      <c r="CG15" s="27">
        <f t="shared" si="23"/>
        <v>-135</v>
      </c>
      <c r="CH15" s="28">
        <f t="shared" si="24"/>
        <v>-1616719</v>
      </c>
      <c r="CI15" s="29">
        <f t="shared" si="25"/>
        <v>-0.30915216965211945</v>
      </c>
      <c r="CK15" s="9" t="s">
        <v>18</v>
      </c>
      <c r="CL15" s="9"/>
      <c r="CM15" s="8"/>
      <c r="CN15" s="7"/>
      <c r="CO15" s="27">
        <f t="shared" si="26"/>
        <v>-507</v>
      </c>
      <c r="CP15" s="28">
        <f t="shared" si="27"/>
        <v>-3612806</v>
      </c>
      <c r="CQ15" s="29">
        <f t="shared" si="28"/>
        <v>-1</v>
      </c>
      <c r="CS15" s="9" t="s">
        <v>18</v>
      </c>
      <c r="CT15" s="9"/>
      <c r="CU15" s="8"/>
      <c r="CV15" s="7"/>
      <c r="CW15" s="27">
        <f t="shared" si="29"/>
        <v>0</v>
      </c>
      <c r="CX15" s="28">
        <f t="shared" si="30"/>
        <v>0</v>
      </c>
      <c r="CY15" s="29" t="e">
        <f t="shared" si="31"/>
        <v>#DIV/0!</v>
      </c>
    </row>
    <row r="16" spans="1:103" s="1" customFormat="1" ht="20" customHeight="1">
      <c r="A16" s="14">
        <v>76</v>
      </c>
      <c r="B16" s="32" t="s">
        <v>19</v>
      </c>
      <c r="C16" s="1">
        <v>4406</v>
      </c>
      <c r="D16" s="35"/>
      <c r="E16" s="10"/>
      <c r="F16" s="12"/>
      <c r="G16" s="36"/>
      <c r="I16" s="14">
        <v>76</v>
      </c>
      <c r="J16" s="32" t="s">
        <v>19</v>
      </c>
      <c r="K16" s="1">
        <v>2903</v>
      </c>
      <c r="L16" s="35"/>
      <c r="M16" s="10">
        <f t="shared" si="0"/>
        <v>-1503</v>
      </c>
      <c r="N16" s="12">
        <f t="shared" si="0"/>
        <v>0</v>
      </c>
      <c r="O16" s="11" t="e">
        <f t="shared" si="1"/>
        <v>#DIV/0!</v>
      </c>
      <c r="Q16" s="14">
        <v>76</v>
      </c>
      <c r="R16" s="32" t="s">
        <v>19</v>
      </c>
      <c r="S16" s="1">
        <v>4282</v>
      </c>
      <c r="T16" s="35"/>
      <c r="U16" s="10">
        <f t="shared" si="2"/>
        <v>1379</v>
      </c>
      <c r="V16" s="12">
        <f t="shared" si="3"/>
        <v>0</v>
      </c>
      <c r="W16" s="11" t="e">
        <f t="shared" si="4"/>
        <v>#DIV/0!</v>
      </c>
      <c r="Y16" s="14">
        <v>76</v>
      </c>
      <c r="Z16" s="32" t="s">
        <v>19</v>
      </c>
      <c r="AA16" s="1">
        <v>3776</v>
      </c>
      <c r="AB16" s="35"/>
      <c r="AC16" s="10">
        <f t="shared" si="5"/>
        <v>-506</v>
      </c>
      <c r="AD16" s="12">
        <f t="shared" si="5"/>
        <v>0</v>
      </c>
      <c r="AE16" s="11" t="e">
        <f t="shared" si="6"/>
        <v>#DIV/0!</v>
      </c>
      <c r="AG16" s="14">
        <v>76</v>
      </c>
      <c r="AH16" s="32" t="s">
        <v>19</v>
      </c>
      <c r="AI16" s="32">
        <v>3807</v>
      </c>
      <c r="AJ16" s="47"/>
      <c r="AK16" s="10">
        <f t="shared" si="7"/>
        <v>31</v>
      </c>
      <c r="AL16" s="12">
        <f t="shared" si="7"/>
        <v>0</v>
      </c>
      <c r="AM16" s="11" t="e">
        <f t="shared" si="8"/>
        <v>#DIV/0!</v>
      </c>
      <c r="AO16" s="14">
        <v>76</v>
      </c>
      <c r="AP16" s="32" t="s">
        <v>37</v>
      </c>
      <c r="AQ16" s="1">
        <v>4138</v>
      </c>
      <c r="AR16" s="35"/>
      <c r="AS16" s="10">
        <f t="shared" si="9"/>
        <v>331</v>
      </c>
      <c r="AT16" s="12">
        <f t="shared" si="9"/>
        <v>0</v>
      </c>
      <c r="AU16" s="11" t="e">
        <f t="shared" si="10"/>
        <v>#DIV/0!</v>
      </c>
      <c r="AW16" s="14">
        <v>76</v>
      </c>
      <c r="AX16" s="32" t="s">
        <v>37</v>
      </c>
      <c r="AY16" s="1">
        <v>3746</v>
      </c>
      <c r="AZ16" s="35"/>
      <c r="BA16" s="10">
        <f t="shared" si="11"/>
        <v>-392</v>
      </c>
      <c r="BB16" s="12">
        <f t="shared" si="12"/>
        <v>0</v>
      </c>
      <c r="BC16" s="11" t="e">
        <f t="shared" si="13"/>
        <v>#DIV/0!</v>
      </c>
      <c r="BE16" s="14">
        <v>76</v>
      </c>
      <c r="BF16" s="32" t="s">
        <v>19</v>
      </c>
      <c r="BG16" s="1">
        <v>3813</v>
      </c>
      <c r="BH16" s="35"/>
      <c r="BI16" s="10">
        <f t="shared" si="14"/>
        <v>67</v>
      </c>
      <c r="BJ16" s="12">
        <f t="shared" si="15"/>
        <v>0</v>
      </c>
      <c r="BK16" s="11" t="e">
        <f t="shared" si="16"/>
        <v>#DIV/0!</v>
      </c>
      <c r="BM16" s="14">
        <v>76</v>
      </c>
      <c r="BN16" s="32" t="s">
        <v>37</v>
      </c>
      <c r="BO16" s="1">
        <v>3936</v>
      </c>
      <c r="BP16" s="35"/>
      <c r="BQ16" s="10">
        <f t="shared" si="17"/>
        <v>123</v>
      </c>
      <c r="BR16" s="12">
        <f t="shared" si="18"/>
        <v>0</v>
      </c>
      <c r="BS16" s="11" t="e">
        <f t="shared" si="19"/>
        <v>#DIV/0!</v>
      </c>
      <c r="BU16" s="14">
        <v>76</v>
      </c>
      <c r="BV16" s="32" t="s">
        <v>37</v>
      </c>
      <c r="BW16" s="15">
        <v>3854</v>
      </c>
      <c r="BX16" s="33"/>
      <c r="BY16" s="10">
        <f t="shared" si="20"/>
        <v>-82</v>
      </c>
      <c r="BZ16" s="12">
        <f t="shared" si="21"/>
        <v>0</v>
      </c>
      <c r="CA16" s="11" t="e">
        <f t="shared" si="22"/>
        <v>#DIV/0!</v>
      </c>
      <c r="CC16" s="14">
        <v>76</v>
      </c>
      <c r="CD16" s="32" t="s">
        <v>37</v>
      </c>
      <c r="CE16" s="15">
        <v>6869</v>
      </c>
      <c r="CF16" s="33"/>
      <c r="CG16" s="10">
        <f t="shared" si="23"/>
        <v>3015</v>
      </c>
      <c r="CH16" s="12">
        <f t="shared" si="24"/>
        <v>0</v>
      </c>
      <c r="CI16" s="11" t="e">
        <f t="shared" si="25"/>
        <v>#DIV/0!</v>
      </c>
      <c r="CK16" s="14">
        <v>76</v>
      </c>
      <c r="CL16" s="32" t="s">
        <v>19</v>
      </c>
      <c r="CM16" s="15"/>
      <c r="CN16" s="33"/>
      <c r="CO16" s="10">
        <f t="shared" si="26"/>
        <v>-6869</v>
      </c>
      <c r="CP16" s="12">
        <f t="shared" si="27"/>
        <v>0</v>
      </c>
      <c r="CQ16" s="11" t="e">
        <f t="shared" si="28"/>
        <v>#DIV/0!</v>
      </c>
      <c r="CS16" s="14">
        <v>76</v>
      </c>
      <c r="CT16" s="32" t="s">
        <v>19</v>
      </c>
      <c r="CU16" s="15"/>
      <c r="CV16" s="33"/>
      <c r="CW16" s="10">
        <f t="shared" si="29"/>
        <v>0</v>
      </c>
      <c r="CX16" s="12">
        <f t="shared" si="30"/>
        <v>0</v>
      </c>
      <c r="CY16" s="11" t="e">
        <f t="shared" si="31"/>
        <v>#DIV/0!</v>
      </c>
    </row>
    <row r="17" spans="1:103" s="1" customFormat="1" ht="20" customHeight="1">
      <c r="A17" s="14"/>
      <c r="B17" s="32" t="s">
        <v>20</v>
      </c>
      <c r="C17" s="1">
        <v>10</v>
      </c>
      <c r="D17" s="35"/>
      <c r="E17" s="10"/>
      <c r="F17" s="12"/>
      <c r="G17" s="36"/>
      <c r="I17" s="14"/>
      <c r="J17" s="32" t="s">
        <v>20</v>
      </c>
      <c r="K17" s="1">
        <v>6</v>
      </c>
      <c r="L17" s="35"/>
      <c r="M17" s="10">
        <f t="shared" si="0"/>
        <v>-4</v>
      </c>
      <c r="N17" s="12">
        <f t="shared" si="0"/>
        <v>0</v>
      </c>
      <c r="O17" s="11" t="e">
        <f t="shared" si="1"/>
        <v>#DIV/0!</v>
      </c>
      <c r="Q17" s="14"/>
      <c r="R17" s="32" t="s">
        <v>20</v>
      </c>
      <c r="S17" s="1">
        <v>7</v>
      </c>
      <c r="T17" s="35"/>
      <c r="U17" s="10">
        <f t="shared" si="2"/>
        <v>1</v>
      </c>
      <c r="V17" s="12">
        <f t="shared" si="3"/>
        <v>0</v>
      </c>
      <c r="W17" s="11" t="e">
        <f t="shared" si="4"/>
        <v>#DIV/0!</v>
      </c>
      <c r="Y17" s="14"/>
      <c r="Z17" s="32" t="s">
        <v>20</v>
      </c>
      <c r="AA17" s="1">
        <v>6</v>
      </c>
      <c r="AB17" s="35"/>
      <c r="AC17" s="10">
        <f t="shared" si="5"/>
        <v>-1</v>
      </c>
      <c r="AD17" s="12">
        <f t="shared" si="5"/>
        <v>0</v>
      </c>
      <c r="AE17" s="11" t="e">
        <f t="shared" si="6"/>
        <v>#DIV/0!</v>
      </c>
      <c r="AG17" s="14"/>
      <c r="AH17" s="32" t="s">
        <v>20</v>
      </c>
      <c r="AI17" s="32">
        <v>4</v>
      </c>
      <c r="AJ17" s="47"/>
      <c r="AK17" s="10">
        <f t="shared" si="7"/>
        <v>-2</v>
      </c>
      <c r="AL17" s="12">
        <f t="shared" si="7"/>
        <v>0</v>
      </c>
      <c r="AM17" s="11" t="e">
        <f t="shared" si="8"/>
        <v>#DIV/0!</v>
      </c>
      <c r="AO17" s="14"/>
      <c r="AP17" s="32" t="s">
        <v>38</v>
      </c>
      <c r="AQ17" s="1">
        <v>9</v>
      </c>
      <c r="AR17" s="35"/>
      <c r="AS17" s="10">
        <f t="shared" si="9"/>
        <v>5</v>
      </c>
      <c r="AT17" s="12">
        <f t="shared" si="9"/>
        <v>0</v>
      </c>
      <c r="AU17" s="11" t="e">
        <f t="shared" si="10"/>
        <v>#DIV/0!</v>
      </c>
      <c r="AW17" s="14"/>
      <c r="AX17" s="32" t="s">
        <v>38</v>
      </c>
      <c r="AY17" s="1">
        <v>10</v>
      </c>
      <c r="AZ17" s="35"/>
      <c r="BA17" s="10">
        <f t="shared" si="11"/>
        <v>1</v>
      </c>
      <c r="BB17" s="12">
        <f t="shared" si="12"/>
        <v>0</v>
      </c>
      <c r="BC17" s="11" t="e">
        <f t="shared" si="13"/>
        <v>#DIV/0!</v>
      </c>
      <c r="BE17" s="14"/>
      <c r="BF17" s="32" t="s">
        <v>20</v>
      </c>
      <c r="BG17" s="1">
        <v>7</v>
      </c>
      <c r="BH17" s="35"/>
      <c r="BI17" s="10">
        <f t="shared" si="14"/>
        <v>-3</v>
      </c>
      <c r="BJ17" s="12">
        <f t="shared" si="15"/>
        <v>0</v>
      </c>
      <c r="BK17" s="11" t="e">
        <f t="shared" si="16"/>
        <v>#DIV/0!</v>
      </c>
      <c r="BM17" s="14"/>
      <c r="BN17" s="32" t="s">
        <v>38</v>
      </c>
      <c r="BO17" s="1">
        <v>6</v>
      </c>
      <c r="BP17" s="35"/>
      <c r="BQ17" s="10">
        <f t="shared" si="17"/>
        <v>-1</v>
      </c>
      <c r="BR17" s="12">
        <f t="shared" si="18"/>
        <v>0</v>
      </c>
      <c r="BS17" s="11" t="e">
        <f t="shared" si="19"/>
        <v>#DIV/0!</v>
      </c>
      <c r="BU17" s="14"/>
      <c r="BV17" s="32" t="s">
        <v>38</v>
      </c>
      <c r="BW17" s="15">
        <v>2</v>
      </c>
      <c r="BX17" s="33"/>
      <c r="BY17" s="10">
        <f t="shared" si="20"/>
        <v>-4</v>
      </c>
      <c r="BZ17" s="12">
        <f t="shared" si="21"/>
        <v>0</v>
      </c>
      <c r="CA17" s="11" t="e">
        <f t="shared" si="22"/>
        <v>#DIV/0!</v>
      </c>
      <c r="CC17" s="14"/>
      <c r="CD17" s="32" t="s">
        <v>38</v>
      </c>
      <c r="CE17" s="15"/>
      <c r="CF17" s="33"/>
      <c r="CG17" s="10">
        <f t="shared" si="23"/>
        <v>-2</v>
      </c>
      <c r="CH17" s="12">
        <f t="shared" si="24"/>
        <v>0</v>
      </c>
      <c r="CI17" s="11" t="e">
        <f t="shared" si="25"/>
        <v>#DIV/0!</v>
      </c>
      <c r="CK17" s="14"/>
      <c r="CL17" s="32" t="s">
        <v>20</v>
      </c>
      <c r="CM17" s="15"/>
      <c r="CN17" s="33"/>
      <c r="CO17" s="10">
        <f t="shared" si="26"/>
        <v>0</v>
      </c>
      <c r="CP17" s="12">
        <f t="shared" si="27"/>
        <v>0</v>
      </c>
      <c r="CQ17" s="11" t="e">
        <f t="shared" si="28"/>
        <v>#DIV/0!</v>
      </c>
      <c r="CS17" s="14"/>
      <c r="CT17" s="32" t="s">
        <v>20</v>
      </c>
      <c r="CU17" s="15"/>
      <c r="CV17" s="33"/>
      <c r="CW17" s="10">
        <f t="shared" si="29"/>
        <v>0</v>
      </c>
      <c r="CX17" s="12">
        <f t="shared" si="30"/>
        <v>0</v>
      </c>
      <c r="CY17" s="11" t="e">
        <f t="shared" si="31"/>
        <v>#DIV/0!</v>
      </c>
    </row>
    <row r="18" spans="1:103" s="10" customFormat="1" ht="20" customHeight="1">
      <c r="A18" s="14"/>
      <c r="B18" s="13" t="s">
        <v>9</v>
      </c>
      <c r="C18" s="10">
        <v>142</v>
      </c>
      <c r="D18" s="12">
        <v>144453.33333267999</v>
      </c>
      <c r="F18" s="12"/>
      <c r="G18" s="11"/>
      <c r="I18" s="14"/>
      <c r="J18" s="13" t="s">
        <v>9</v>
      </c>
      <c r="K18" s="10">
        <v>99</v>
      </c>
      <c r="L18" s="12">
        <v>104603.80952343997</v>
      </c>
      <c r="M18" s="10">
        <f t="shared" si="0"/>
        <v>-43</v>
      </c>
      <c r="N18" s="12">
        <f t="shared" si="0"/>
        <v>-39849.523809240025</v>
      </c>
      <c r="O18" s="11">
        <f t="shared" si="1"/>
        <v>-0.27586434241337637</v>
      </c>
      <c r="Q18" s="14"/>
      <c r="R18" s="13" t="s">
        <v>9</v>
      </c>
      <c r="S18" s="10">
        <v>138</v>
      </c>
      <c r="T18" s="12">
        <v>143140.95238040996</v>
      </c>
      <c r="U18" s="10">
        <f t="shared" si="2"/>
        <v>39</v>
      </c>
      <c r="V18" s="12">
        <f t="shared" si="3"/>
        <v>38537.142856969993</v>
      </c>
      <c r="W18" s="11">
        <f t="shared" si="4"/>
        <v>0.3684105104062626</v>
      </c>
      <c r="Y18" s="14"/>
      <c r="Z18" s="13" t="s">
        <v>9</v>
      </c>
      <c r="AA18" s="10">
        <v>141</v>
      </c>
      <c r="AB18" s="12">
        <v>127235.23809469998</v>
      </c>
      <c r="AC18" s="10">
        <f t="shared" si="5"/>
        <v>3</v>
      </c>
      <c r="AD18" s="12">
        <f t="shared" si="5"/>
        <v>-15905.714285709983</v>
      </c>
      <c r="AE18" s="11">
        <f t="shared" si="6"/>
        <v>-0.11111924310409166</v>
      </c>
      <c r="AG18" s="14"/>
      <c r="AH18" s="13" t="s">
        <v>9</v>
      </c>
      <c r="AI18" s="13">
        <v>104</v>
      </c>
      <c r="AJ18" s="45">
        <v>102379.04761861001</v>
      </c>
      <c r="AK18" s="10">
        <f t="shared" si="7"/>
        <v>-37</v>
      </c>
      <c r="AL18" s="12">
        <f t="shared" si="7"/>
        <v>-24856.190476089963</v>
      </c>
      <c r="AM18" s="11">
        <f t="shared" si="8"/>
        <v>-0.19535618314786143</v>
      </c>
      <c r="AO18" s="14"/>
      <c r="AP18" s="13" t="s">
        <v>9</v>
      </c>
      <c r="AQ18" s="10">
        <v>133</v>
      </c>
      <c r="AR18" s="12">
        <v>128007.61904704</v>
      </c>
      <c r="AS18" s="10">
        <f t="shared" si="9"/>
        <v>29</v>
      </c>
      <c r="AT18" s="12">
        <f t="shared" si="9"/>
        <v>25628.57142842999</v>
      </c>
      <c r="AU18" s="11">
        <f t="shared" si="10"/>
        <v>0.25033023870180388</v>
      </c>
      <c r="AW18" s="14"/>
      <c r="AX18" s="13" t="s">
        <v>9</v>
      </c>
      <c r="AY18" s="10">
        <v>111</v>
      </c>
      <c r="AZ18" s="12">
        <v>115135.2380947101</v>
      </c>
      <c r="BA18" s="10">
        <f t="shared" si="11"/>
        <v>-22</v>
      </c>
      <c r="BB18" s="12">
        <f t="shared" si="12"/>
        <v>-12872.380952329899</v>
      </c>
      <c r="BC18" s="11">
        <f t="shared" si="13"/>
        <v>-0.10055949050657352</v>
      </c>
      <c r="BE18" s="14"/>
      <c r="BF18" s="13" t="s">
        <v>9</v>
      </c>
      <c r="BG18" s="10">
        <v>124</v>
      </c>
      <c r="BH18" s="12">
        <v>122476.19047563001</v>
      </c>
      <c r="BI18" s="10">
        <f t="shared" si="14"/>
        <v>13</v>
      </c>
      <c r="BJ18" s="12">
        <f t="shared" si="15"/>
        <v>7340.9523809199018</v>
      </c>
      <c r="BK18" s="11">
        <f t="shared" si="16"/>
        <v>6.375938854515803E-2</v>
      </c>
      <c r="BM18" s="14"/>
      <c r="BN18" s="13" t="s">
        <v>9</v>
      </c>
      <c r="BO18" s="10">
        <v>129</v>
      </c>
      <c r="BP18" s="12">
        <v>116457.14285663</v>
      </c>
      <c r="BQ18" s="10">
        <f t="shared" si="17"/>
        <v>5</v>
      </c>
      <c r="BR18" s="12">
        <f t="shared" si="18"/>
        <v>-6019.0476190000045</v>
      </c>
      <c r="BS18" s="11">
        <f t="shared" si="19"/>
        <v>-4.914463452549709E-2</v>
      </c>
      <c r="BU18" s="14"/>
      <c r="BV18" s="13" t="s">
        <v>9</v>
      </c>
      <c r="BW18" s="10">
        <v>139</v>
      </c>
      <c r="BX18" s="12">
        <v>140534</v>
      </c>
      <c r="BY18" s="10">
        <f t="shared" si="20"/>
        <v>10</v>
      </c>
      <c r="BZ18" s="12">
        <f t="shared" si="21"/>
        <v>24076.857143369998</v>
      </c>
      <c r="CA18" s="11">
        <f t="shared" si="22"/>
        <v>0.20674435721826814</v>
      </c>
      <c r="CC18" s="14"/>
      <c r="CD18" s="13" t="s">
        <v>9</v>
      </c>
      <c r="CE18" s="10">
        <v>139</v>
      </c>
      <c r="CF18" s="12">
        <v>156901</v>
      </c>
      <c r="CG18" s="10">
        <f t="shared" si="23"/>
        <v>0</v>
      </c>
      <c r="CH18" s="12">
        <f t="shared" si="24"/>
        <v>16367</v>
      </c>
      <c r="CI18" s="11">
        <f t="shared" si="25"/>
        <v>0.11646292000512332</v>
      </c>
      <c r="CK18" s="14"/>
      <c r="CL18" s="13" t="s">
        <v>9</v>
      </c>
      <c r="CN18" s="12"/>
      <c r="CO18" s="10">
        <f t="shared" si="26"/>
        <v>-139</v>
      </c>
      <c r="CP18" s="12">
        <f t="shared" si="27"/>
        <v>-156901</v>
      </c>
      <c r="CQ18" s="11">
        <f t="shared" si="28"/>
        <v>-1</v>
      </c>
      <c r="CS18" s="14"/>
      <c r="CT18" s="13" t="s">
        <v>9</v>
      </c>
      <c r="CV18" s="12"/>
      <c r="CW18" s="10">
        <f t="shared" si="29"/>
        <v>0</v>
      </c>
      <c r="CX18" s="12">
        <f t="shared" si="30"/>
        <v>0</v>
      </c>
      <c r="CY18" s="11" t="e">
        <f t="shared" si="31"/>
        <v>#DIV/0!</v>
      </c>
    </row>
    <row r="19" spans="1:103" s="10" customFormat="1" ht="20" customHeight="1">
      <c r="A19" s="14"/>
      <c r="B19" s="13" t="s">
        <v>8</v>
      </c>
      <c r="C19" s="10">
        <v>185</v>
      </c>
      <c r="D19" s="12">
        <v>198114.28571418001</v>
      </c>
      <c r="F19" s="12"/>
      <c r="G19" s="11"/>
      <c r="I19" s="14"/>
      <c r="J19" s="13" t="s">
        <v>8</v>
      </c>
      <c r="K19" s="10">
        <v>133</v>
      </c>
      <c r="L19" s="12">
        <v>152373.33333323002</v>
      </c>
      <c r="M19" s="10">
        <f t="shared" si="0"/>
        <v>-52</v>
      </c>
      <c r="N19" s="12">
        <f t="shared" si="0"/>
        <v>-45740.952380949981</v>
      </c>
      <c r="O19" s="11">
        <f t="shared" si="1"/>
        <v>-0.23088164599568842</v>
      </c>
      <c r="Q19" s="14"/>
      <c r="R19" s="13" t="s">
        <v>8</v>
      </c>
      <c r="S19" s="10">
        <v>149</v>
      </c>
      <c r="T19" s="12">
        <v>165923.80952371002</v>
      </c>
      <c r="U19" s="10">
        <f t="shared" si="2"/>
        <v>16</v>
      </c>
      <c r="V19" s="12">
        <f t="shared" si="3"/>
        <v>13550.476190479996</v>
      </c>
      <c r="W19" s="11">
        <f t="shared" si="4"/>
        <v>8.8929446472408885E-2</v>
      </c>
      <c r="Y19" s="14"/>
      <c r="Z19" s="13" t="s">
        <v>8</v>
      </c>
      <c r="AA19" s="10">
        <v>178</v>
      </c>
      <c r="AB19" s="12">
        <v>206676.19047605002</v>
      </c>
      <c r="AC19" s="10">
        <f t="shared" si="5"/>
        <v>29</v>
      </c>
      <c r="AD19" s="12">
        <f t="shared" si="5"/>
        <v>40752.380952339998</v>
      </c>
      <c r="AE19" s="11">
        <f t="shared" si="6"/>
        <v>0.24560900011469786</v>
      </c>
      <c r="AG19" s="14"/>
      <c r="AH19" s="13" t="s">
        <v>8</v>
      </c>
      <c r="AI19" s="13">
        <v>138</v>
      </c>
      <c r="AJ19" s="45">
        <v>136401.90476181998</v>
      </c>
      <c r="AK19" s="10">
        <f t="shared" si="7"/>
        <v>-40</v>
      </c>
      <c r="AL19" s="12">
        <f t="shared" si="7"/>
        <v>-70274.285714230035</v>
      </c>
      <c r="AM19" s="11">
        <f t="shared" si="8"/>
        <v>-0.34002119717981516</v>
      </c>
      <c r="AO19" s="14"/>
      <c r="AP19" s="13" t="s">
        <v>8</v>
      </c>
      <c r="AQ19" s="10">
        <v>171</v>
      </c>
      <c r="AR19" s="12">
        <v>165000.95238059</v>
      </c>
      <c r="AS19" s="10">
        <f t="shared" si="9"/>
        <v>33</v>
      </c>
      <c r="AT19" s="12">
        <f t="shared" si="9"/>
        <v>28599.047618770011</v>
      </c>
      <c r="AU19" s="11">
        <f t="shared" si="10"/>
        <v>0.20966750917964541</v>
      </c>
      <c r="AW19" s="14"/>
      <c r="AX19" s="13" t="s">
        <v>8</v>
      </c>
      <c r="AY19" s="10">
        <v>170</v>
      </c>
      <c r="AZ19" s="12">
        <v>173704.76190436989</v>
      </c>
      <c r="BA19" s="10">
        <f t="shared" si="11"/>
        <v>-1</v>
      </c>
      <c r="BB19" s="12">
        <f t="shared" si="12"/>
        <v>8703.8095237798989</v>
      </c>
      <c r="BC19" s="11">
        <f t="shared" si="13"/>
        <v>5.2750056276667755E-2</v>
      </c>
      <c r="BE19" s="14"/>
      <c r="BF19" s="13" t="s">
        <v>8</v>
      </c>
      <c r="BG19" s="10">
        <v>115</v>
      </c>
      <c r="BH19" s="12">
        <v>115704.76190441</v>
      </c>
      <c r="BI19" s="10">
        <f t="shared" si="14"/>
        <v>-55</v>
      </c>
      <c r="BJ19" s="12">
        <f t="shared" si="15"/>
        <v>-57999.999999959895</v>
      </c>
      <c r="BK19" s="11">
        <f t="shared" si="16"/>
        <v>-0.33389988486263134</v>
      </c>
      <c r="BM19" s="14"/>
      <c r="BN19" s="13" t="s">
        <v>8</v>
      </c>
      <c r="BO19" s="10">
        <v>164</v>
      </c>
      <c r="BP19" s="12">
        <v>177323.80952340999</v>
      </c>
      <c r="BQ19" s="10">
        <f t="shared" si="17"/>
        <v>49</v>
      </c>
      <c r="BR19" s="12">
        <f t="shared" si="18"/>
        <v>61619.04761899999</v>
      </c>
      <c r="BS19" s="11">
        <f t="shared" si="19"/>
        <v>0.53255411968184019</v>
      </c>
      <c r="BU19" s="14"/>
      <c r="BV19" s="13" t="s">
        <v>8</v>
      </c>
      <c r="BW19" s="10">
        <v>183</v>
      </c>
      <c r="BX19" s="12">
        <v>189429</v>
      </c>
      <c r="BY19" s="10">
        <f t="shared" si="20"/>
        <v>19</v>
      </c>
      <c r="BZ19" s="12">
        <f t="shared" si="21"/>
        <v>12105.190476590011</v>
      </c>
      <c r="CA19" s="11">
        <f t="shared" si="22"/>
        <v>6.8266018585574684E-2</v>
      </c>
      <c r="CC19" s="14"/>
      <c r="CD19" s="13" t="s">
        <v>8</v>
      </c>
      <c r="CE19" s="10">
        <v>245</v>
      </c>
      <c r="CF19" s="12">
        <v>238287</v>
      </c>
      <c r="CG19" s="10">
        <f t="shared" si="23"/>
        <v>62</v>
      </c>
      <c r="CH19" s="12">
        <f t="shared" si="24"/>
        <v>48858</v>
      </c>
      <c r="CI19" s="11">
        <f t="shared" si="25"/>
        <v>0.25792249338802403</v>
      </c>
      <c r="CK19" s="14"/>
      <c r="CL19" s="13" t="s">
        <v>8</v>
      </c>
      <c r="CN19" s="12"/>
      <c r="CO19" s="10">
        <f t="shared" si="26"/>
        <v>-245</v>
      </c>
      <c r="CP19" s="12">
        <f t="shared" si="27"/>
        <v>-238287</v>
      </c>
      <c r="CQ19" s="11">
        <f t="shared" si="28"/>
        <v>-1</v>
      </c>
      <c r="CS19" s="14"/>
      <c r="CT19" s="13" t="s">
        <v>8</v>
      </c>
      <c r="CV19" s="12"/>
      <c r="CW19" s="10">
        <f t="shared" si="29"/>
        <v>0</v>
      </c>
      <c r="CX19" s="12">
        <f t="shared" si="30"/>
        <v>0</v>
      </c>
      <c r="CY19" s="11" t="e">
        <f t="shared" si="31"/>
        <v>#DIV/0!</v>
      </c>
    </row>
    <row r="20" spans="1:103" s="10" customFormat="1" ht="20" customHeight="1">
      <c r="A20" s="14"/>
      <c r="B20" s="13" t="s">
        <v>7</v>
      </c>
      <c r="C20" s="10">
        <v>37</v>
      </c>
      <c r="D20" s="12">
        <v>225361.90476189001</v>
      </c>
      <c r="F20" s="12"/>
      <c r="G20" s="11"/>
      <c r="I20" s="14"/>
      <c r="J20" s="13" t="s">
        <v>7</v>
      </c>
      <c r="K20" s="10">
        <v>33</v>
      </c>
      <c r="L20" s="12">
        <v>241114.28571425998</v>
      </c>
      <c r="M20" s="10">
        <f t="shared" si="0"/>
        <v>-4</v>
      </c>
      <c r="N20" s="12">
        <f t="shared" si="0"/>
        <v>15752.380952369975</v>
      </c>
      <c r="O20" s="11">
        <f t="shared" si="1"/>
        <v>6.9898153234964108E-2</v>
      </c>
      <c r="Q20" s="14"/>
      <c r="R20" s="13" t="s">
        <v>7</v>
      </c>
      <c r="S20" s="10">
        <v>33</v>
      </c>
      <c r="T20" s="12">
        <v>200758.09523808002</v>
      </c>
      <c r="U20" s="10">
        <f t="shared" si="2"/>
        <v>0</v>
      </c>
      <c r="V20" s="12">
        <f t="shared" si="3"/>
        <v>-40356.190476179967</v>
      </c>
      <c r="W20" s="11">
        <f t="shared" si="4"/>
        <v>-0.16737370146539277</v>
      </c>
      <c r="Y20" s="14"/>
      <c r="Z20" s="13" t="s">
        <v>7</v>
      </c>
      <c r="AA20" s="10">
        <v>22</v>
      </c>
      <c r="AB20" s="12">
        <v>141219.04761903</v>
      </c>
      <c r="AC20" s="10">
        <f t="shared" si="5"/>
        <v>-11</v>
      </c>
      <c r="AD20" s="12">
        <f t="shared" si="5"/>
        <v>-59539.047619050019</v>
      </c>
      <c r="AE20" s="11">
        <f t="shared" si="6"/>
        <v>-0.29657109243063084</v>
      </c>
      <c r="AG20" s="14"/>
      <c r="AH20" s="13" t="s">
        <v>7</v>
      </c>
      <c r="AI20" s="13">
        <v>34</v>
      </c>
      <c r="AJ20" s="45">
        <v>205390.47619046</v>
      </c>
      <c r="AK20" s="10">
        <f t="shared" si="7"/>
        <v>12</v>
      </c>
      <c r="AL20" s="12">
        <f t="shared" si="7"/>
        <v>64171.428571430006</v>
      </c>
      <c r="AM20" s="11">
        <f t="shared" si="8"/>
        <v>0.454410574588683</v>
      </c>
      <c r="AO20" s="14"/>
      <c r="AP20" s="13" t="s">
        <v>7</v>
      </c>
      <c r="AQ20" s="10">
        <v>25</v>
      </c>
      <c r="AR20" s="12">
        <v>161190.47619043</v>
      </c>
      <c r="AS20" s="10">
        <f t="shared" si="9"/>
        <v>-9</v>
      </c>
      <c r="AT20" s="12">
        <f t="shared" si="9"/>
        <v>-44200.000000030006</v>
      </c>
      <c r="AU20" s="11">
        <f t="shared" si="10"/>
        <v>-0.21519985161845109</v>
      </c>
      <c r="AW20" s="14"/>
      <c r="AX20" s="13" t="s">
        <v>7</v>
      </c>
      <c r="AY20" s="10">
        <v>39</v>
      </c>
      <c r="AZ20" s="12">
        <v>243914.28571423999</v>
      </c>
      <c r="BA20" s="10">
        <f t="shared" si="11"/>
        <v>14</v>
      </c>
      <c r="BB20" s="12">
        <f t="shared" si="12"/>
        <v>82723.809523809992</v>
      </c>
      <c r="BC20" s="11">
        <f t="shared" si="13"/>
        <v>0.51320531757769794</v>
      </c>
      <c r="BE20" s="14"/>
      <c r="BF20" s="13" t="s">
        <v>7</v>
      </c>
      <c r="BG20" s="10">
        <v>42</v>
      </c>
      <c r="BH20" s="12">
        <v>253409.52380945001</v>
      </c>
      <c r="BI20" s="10">
        <f t="shared" si="14"/>
        <v>3</v>
      </c>
      <c r="BJ20" s="12">
        <f t="shared" si="15"/>
        <v>9495.2380952100211</v>
      </c>
      <c r="BK20" s="11">
        <f t="shared" si="16"/>
        <v>3.8928585373364535E-2</v>
      </c>
      <c r="BM20" s="14"/>
      <c r="BN20" s="13" t="s">
        <v>7</v>
      </c>
      <c r="BO20" s="10">
        <v>36</v>
      </c>
      <c r="BP20" s="12">
        <v>221085.71428565</v>
      </c>
      <c r="BQ20" s="10">
        <f t="shared" si="17"/>
        <v>-6</v>
      </c>
      <c r="BR20" s="12">
        <f t="shared" si="18"/>
        <v>-32323.80952380001</v>
      </c>
      <c r="BS20" s="11">
        <f t="shared" si="19"/>
        <v>-0.12755562236921186</v>
      </c>
      <c r="BU20" s="14"/>
      <c r="BV20" s="13" t="s">
        <v>7</v>
      </c>
      <c r="BW20" s="10">
        <v>23</v>
      </c>
      <c r="BX20" s="12">
        <v>131210</v>
      </c>
      <c r="BY20" s="10">
        <f t="shared" si="20"/>
        <v>-13</v>
      </c>
      <c r="BZ20" s="12">
        <f t="shared" si="21"/>
        <v>-89875.71428565</v>
      </c>
      <c r="CA20" s="11">
        <f t="shared" si="22"/>
        <v>-0.40651977255087424</v>
      </c>
      <c r="CC20" s="14"/>
      <c r="CD20" s="13" t="s">
        <v>7</v>
      </c>
      <c r="CE20" s="10">
        <v>33</v>
      </c>
      <c r="CF20" s="12">
        <v>232638</v>
      </c>
      <c r="CG20" s="10">
        <f t="shared" si="23"/>
        <v>10</v>
      </c>
      <c r="CH20" s="12">
        <f t="shared" si="24"/>
        <v>101428</v>
      </c>
      <c r="CI20" s="11">
        <f t="shared" si="25"/>
        <v>0.77302034905876071</v>
      </c>
      <c r="CK20" s="14"/>
      <c r="CL20" s="13" t="s">
        <v>7</v>
      </c>
      <c r="CN20" s="12"/>
      <c r="CO20" s="10">
        <f t="shared" si="26"/>
        <v>-33</v>
      </c>
      <c r="CP20" s="12">
        <f t="shared" si="27"/>
        <v>-232638</v>
      </c>
      <c r="CQ20" s="11">
        <f t="shared" si="28"/>
        <v>-1</v>
      </c>
      <c r="CS20" s="14"/>
      <c r="CT20" s="13" t="s">
        <v>7</v>
      </c>
      <c r="CV20" s="12"/>
      <c r="CW20" s="10">
        <f t="shared" si="29"/>
        <v>0</v>
      </c>
      <c r="CX20" s="12">
        <f t="shared" si="30"/>
        <v>0</v>
      </c>
      <c r="CY20" s="11" t="e">
        <f t="shared" si="31"/>
        <v>#DIV/0!</v>
      </c>
    </row>
    <row r="21" spans="1:103" s="10" customFormat="1" ht="20" customHeight="1">
      <c r="A21" s="14"/>
      <c r="B21" s="13" t="s">
        <v>6</v>
      </c>
      <c r="C21" s="10">
        <v>22</v>
      </c>
      <c r="D21" s="12">
        <v>241714.28571422998</v>
      </c>
      <c r="F21" s="12"/>
      <c r="G21" s="11"/>
      <c r="I21" s="14"/>
      <c r="J21" s="13" t="s">
        <v>6</v>
      </c>
      <c r="K21" s="10">
        <v>21</v>
      </c>
      <c r="L21" s="12">
        <v>262190.47619041003</v>
      </c>
      <c r="M21" s="10">
        <f t="shared" si="0"/>
        <v>-1</v>
      </c>
      <c r="N21" s="12">
        <f t="shared" si="0"/>
        <v>20476.190476180054</v>
      </c>
      <c r="O21" s="11">
        <f t="shared" si="1"/>
        <v>8.4712371946390919E-2</v>
      </c>
      <c r="Q21" s="14"/>
      <c r="R21" s="13" t="s">
        <v>6</v>
      </c>
      <c r="S21" s="10">
        <v>30</v>
      </c>
      <c r="T21" s="12">
        <v>344761.90476185002</v>
      </c>
      <c r="U21" s="10">
        <f t="shared" si="2"/>
        <v>9</v>
      </c>
      <c r="V21" s="12">
        <f t="shared" si="3"/>
        <v>82571.428571439988</v>
      </c>
      <c r="W21" s="11">
        <f t="shared" si="4"/>
        <v>0.3149291681802901</v>
      </c>
      <c r="Y21" s="14"/>
      <c r="Z21" s="13" t="s">
        <v>6</v>
      </c>
      <c r="AA21" s="10">
        <v>16</v>
      </c>
      <c r="AB21" s="12">
        <v>209904.76190470002</v>
      </c>
      <c r="AC21" s="10">
        <f t="shared" si="5"/>
        <v>-14</v>
      </c>
      <c r="AD21" s="12">
        <f t="shared" si="5"/>
        <v>-134857.14285715</v>
      </c>
      <c r="AE21" s="11">
        <f t="shared" si="6"/>
        <v>-0.39116022099455799</v>
      </c>
      <c r="AG21" s="14"/>
      <c r="AH21" s="13" t="s">
        <v>6</v>
      </c>
      <c r="AI21" s="13">
        <v>19</v>
      </c>
      <c r="AJ21" s="45">
        <v>193238.09523804003</v>
      </c>
      <c r="AK21" s="10">
        <f t="shared" si="7"/>
        <v>3</v>
      </c>
      <c r="AL21" s="12">
        <f t="shared" si="7"/>
        <v>-16666.666666659992</v>
      </c>
      <c r="AM21" s="11">
        <f t="shared" si="8"/>
        <v>-7.9401088929211217E-2</v>
      </c>
      <c r="AO21" s="14"/>
      <c r="AP21" s="13" t="s">
        <v>6</v>
      </c>
      <c r="AQ21" s="10">
        <v>21</v>
      </c>
      <c r="AR21" s="12">
        <v>262476.19047610002</v>
      </c>
      <c r="AS21" s="10">
        <f t="shared" si="9"/>
        <v>2</v>
      </c>
      <c r="AT21" s="12">
        <f t="shared" si="9"/>
        <v>69238.095238059992</v>
      </c>
      <c r="AU21" s="11">
        <f t="shared" si="10"/>
        <v>0.358304583538609</v>
      </c>
      <c r="AW21" s="14"/>
      <c r="AX21" s="13" t="s">
        <v>6</v>
      </c>
      <c r="AY21" s="10">
        <v>16</v>
      </c>
      <c r="AZ21" s="12">
        <v>169904.76190467001</v>
      </c>
      <c r="BA21" s="10">
        <f t="shared" si="11"/>
        <v>-5</v>
      </c>
      <c r="BB21" s="12">
        <f t="shared" si="12"/>
        <v>-92571.428571430006</v>
      </c>
      <c r="BC21" s="11">
        <f t="shared" si="13"/>
        <v>-0.35268505079838536</v>
      </c>
      <c r="BE21" s="14"/>
      <c r="BF21" s="13" t="s">
        <v>6</v>
      </c>
      <c r="BG21" s="10">
        <v>12</v>
      </c>
      <c r="BH21" s="12">
        <v>101428.5714285</v>
      </c>
      <c r="BI21" s="10">
        <f t="shared" si="14"/>
        <v>-4</v>
      </c>
      <c r="BJ21" s="12">
        <f t="shared" si="15"/>
        <v>-68476.190476170013</v>
      </c>
      <c r="BK21" s="11">
        <f t="shared" si="16"/>
        <v>-0.40302690582969397</v>
      </c>
      <c r="BM21" s="14"/>
      <c r="BN21" s="13" t="s">
        <v>6</v>
      </c>
      <c r="BO21" s="10">
        <v>8</v>
      </c>
      <c r="BP21" s="12">
        <v>67809.523809480001</v>
      </c>
      <c r="BQ21" s="10">
        <f t="shared" si="17"/>
        <v>-4</v>
      </c>
      <c r="BR21" s="12">
        <f t="shared" si="18"/>
        <v>-33619.047619019999</v>
      </c>
      <c r="BS21" s="11">
        <f t="shared" si="19"/>
        <v>-0.33145539906099397</v>
      </c>
      <c r="BU21" s="14"/>
      <c r="BV21" s="13" t="s">
        <v>6</v>
      </c>
      <c r="BW21" s="10">
        <v>1</v>
      </c>
      <c r="BX21" s="12">
        <v>7524</v>
      </c>
      <c r="BY21" s="10">
        <f t="shared" si="20"/>
        <v>-7</v>
      </c>
      <c r="BZ21" s="12">
        <f t="shared" si="21"/>
        <v>-60285.523809480001</v>
      </c>
      <c r="CA21" s="11">
        <f t="shared" si="22"/>
        <v>-0.88904213483138894</v>
      </c>
      <c r="CC21" s="14"/>
      <c r="CD21" s="13" t="s">
        <v>6</v>
      </c>
      <c r="CE21" s="10">
        <v>1</v>
      </c>
      <c r="CF21" s="12">
        <v>13238</v>
      </c>
      <c r="CG21" s="10">
        <f t="shared" si="23"/>
        <v>0</v>
      </c>
      <c r="CH21" s="12">
        <f t="shared" si="24"/>
        <v>5714</v>
      </c>
      <c r="CI21" s="11">
        <f t="shared" si="25"/>
        <v>0.7594364699627858</v>
      </c>
      <c r="CK21" s="14"/>
      <c r="CL21" s="13" t="s">
        <v>6</v>
      </c>
      <c r="CN21" s="12"/>
      <c r="CO21" s="10">
        <f t="shared" si="26"/>
        <v>-1</v>
      </c>
      <c r="CP21" s="12">
        <f t="shared" si="27"/>
        <v>-13238</v>
      </c>
      <c r="CQ21" s="11">
        <f t="shared" si="28"/>
        <v>-1</v>
      </c>
      <c r="CS21" s="14"/>
      <c r="CT21" s="13" t="s">
        <v>6</v>
      </c>
      <c r="CV21" s="12"/>
      <c r="CW21" s="10">
        <f t="shared" si="29"/>
        <v>0</v>
      </c>
      <c r="CX21" s="12">
        <f t="shared" si="30"/>
        <v>0</v>
      </c>
      <c r="CY21" s="11" t="e">
        <f t="shared" si="31"/>
        <v>#DIV/0!</v>
      </c>
    </row>
    <row r="22" spans="1:103" s="10" customFormat="1" ht="20" customHeight="1">
      <c r="A22" s="14"/>
      <c r="B22" s="13" t="s">
        <v>5</v>
      </c>
      <c r="C22" s="10">
        <v>13</v>
      </c>
      <c r="D22" s="12">
        <v>48020</v>
      </c>
      <c r="F22" s="12"/>
      <c r="G22" s="11"/>
      <c r="I22" s="14"/>
      <c r="J22" s="13" t="s">
        <v>5</v>
      </c>
      <c r="K22" s="10">
        <v>16</v>
      </c>
      <c r="L22" s="12">
        <v>43520</v>
      </c>
      <c r="M22" s="10">
        <f t="shared" si="0"/>
        <v>3</v>
      </c>
      <c r="N22" s="12">
        <f t="shared" si="0"/>
        <v>-4500</v>
      </c>
      <c r="O22" s="11">
        <f t="shared" si="1"/>
        <v>-9.3710953769262806E-2</v>
      </c>
      <c r="Q22" s="14"/>
      <c r="R22" s="13" t="s">
        <v>5</v>
      </c>
      <c r="S22" s="10">
        <v>23</v>
      </c>
      <c r="T22" s="12">
        <v>72780</v>
      </c>
      <c r="U22" s="10">
        <f t="shared" si="2"/>
        <v>7</v>
      </c>
      <c r="V22" s="12">
        <f t="shared" si="3"/>
        <v>29260</v>
      </c>
      <c r="W22" s="11">
        <f t="shared" si="4"/>
        <v>0.67233455882352944</v>
      </c>
      <c r="Y22" s="14"/>
      <c r="Z22" s="13" t="s">
        <v>5</v>
      </c>
      <c r="AA22" s="10">
        <v>13</v>
      </c>
      <c r="AB22" s="12">
        <v>41330</v>
      </c>
      <c r="AC22" s="10">
        <f t="shared" si="5"/>
        <v>-10</v>
      </c>
      <c r="AD22" s="12">
        <f t="shared" si="5"/>
        <v>-31450</v>
      </c>
      <c r="AE22" s="11">
        <f t="shared" si="6"/>
        <v>-0.43212420994778783</v>
      </c>
      <c r="AG22" s="14"/>
      <c r="AH22" s="13" t="s">
        <v>5</v>
      </c>
      <c r="AI22" s="13">
        <v>19</v>
      </c>
      <c r="AJ22" s="45">
        <v>67390</v>
      </c>
      <c r="AK22" s="10">
        <f t="shared" si="7"/>
        <v>6</v>
      </c>
      <c r="AL22" s="12">
        <f t="shared" si="7"/>
        <v>26060</v>
      </c>
      <c r="AM22" s="11">
        <f t="shared" si="8"/>
        <v>0.63053472054197923</v>
      </c>
      <c r="AO22" s="14"/>
      <c r="AP22" s="13" t="s">
        <v>5</v>
      </c>
      <c r="AQ22" s="10">
        <v>21</v>
      </c>
      <c r="AR22" s="12">
        <v>73180</v>
      </c>
      <c r="AS22" s="10">
        <f t="shared" si="9"/>
        <v>2</v>
      </c>
      <c r="AT22" s="12">
        <f t="shared" si="9"/>
        <v>5790</v>
      </c>
      <c r="AU22" s="11">
        <f t="shared" si="10"/>
        <v>8.5917791957263692E-2</v>
      </c>
      <c r="AW22" s="14"/>
      <c r="AX22" s="13" t="s">
        <v>5</v>
      </c>
      <c r="AY22" s="10">
        <v>14</v>
      </c>
      <c r="AZ22" s="12">
        <v>48220</v>
      </c>
      <c r="BA22" s="10">
        <f t="shared" si="11"/>
        <v>-7</v>
      </c>
      <c r="BB22" s="12">
        <f t="shared" si="12"/>
        <v>-24960</v>
      </c>
      <c r="BC22" s="11">
        <f t="shared" si="13"/>
        <v>-0.34107679693905441</v>
      </c>
      <c r="BE22" s="14"/>
      <c r="BF22" s="13" t="s">
        <v>5</v>
      </c>
      <c r="BG22" s="10">
        <v>10</v>
      </c>
      <c r="BH22" s="12">
        <v>39648</v>
      </c>
      <c r="BI22" s="10">
        <f t="shared" si="14"/>
        <v>-4</v>
      </c>
      <c r="BJ22" s="12">
        <f t="shared" si="15"/>
        <v>-8572</v>
      </c>
      <c r="BK22" s="11">
        <f t="shared" si="16"/>
        <v>-0.1777685607631688</v>
      </c>
      <c r="BM22" s="14"/>
      <c r="BN22" s="13" t="s">
        <v>5</v>
      </c>
      <c r="BO22" s="10">
        <v>14</v>
      </c>
      <c r="BP22" s="12">
        <v>78308</v>
      </c>
      <c r="BQ22" s="10">
        <f t="shared" si="17"/>
        <v>4</v>
      </c>
      <c r="BR22" s="12">
        <f t="shared" si="18"/>
        <v>38660</v>
      </c>
      <c r="BS22" s="11">
        <f t="shared" si="19"/>
        <v>0.97508071025020182</v>
      </c>
      <c r="BU22" s="14"/>
      <c r="BV22" s="13" t="s">
        <v>5</v>
      </c>
      <c r="BW22" s="10">
        <v>12</v>
      </c>
      <c r="BX22" s="12">
        <v>67380</v>
      </c>
      <c r="BY22" s="10">
        <f t="shared" si="20"/>
        <v>-2</v>
      </c>
      <c r="BZ22" s="12">
        <f t="shared" si="21"/>
        <v>-10928</v>
      </c>
      <c r="CA22" s="11">
        <f t="shared" si="22"/>
        <v>-0.13955151453235939</v>
      </c>
      <c r="CC22" s="14"/>
      <c r="CD22" s="13" t="s">
        <v>5</v>
      </c>
      <c r="CE22" s="10">
        <v>18</v>
      </c>
      <c r="CF22" s="12">
        <v>90450</v>
      </c>
      <c r="CG22" s="10">
        <f t="shared" si="23"/>
        <v>6</v>
      </c>
      <c r="CH22" s="12">
        <f t="shared" si="24"/>
        <v>23070</v>
      </c>
      <c r="CI22" s="11">
        <f t="shared" si="25"/>
        <v>0.34238646482635798</v>
      </c>
      <c r="CK22" s="14"/>
      <c r="CL22" s="13" t="s">
        <v>5</v>
      </c>
      <c r="CN22" s="12"/>
      <c r="CO22" s="10">
        <f t="shared" si="26"/>
        <v>-18</v>
      </c>
      <c r="CP22" s="12">
        <f t="shared" si="27"/>
        <v>-90450</v>
      </c>
      <c r="CQ22" s="11">
        <f t="shared" si="28"/>
        <v>-1</v>
      </c>
      <c r="CS22" s="14"/>
      <c r="CT22" s="13" t="s">
        <v>5</v>
      </c>
      <c r="CV22" s="12"/>
      <c r="CW22" s="10">
        <f t="shared" si="29"/>
        <v>0</v>
      </c>
      <c r="CX22" s="12">
        <f t="shared" si="30"/>
        <v>0</v>
      </c>
      <c r="CY22" s="11" t="e">
        <f t="shared" si="31"/>
        <v>#DIV/0!</v>
      </c>
    </row>
    <row r="23" spans="1:103" s="10" customFormat="1" ht="20" customHeight="1">
      <c r="A23" s="14"/>
      <c r="B23" s="13" t="s">
        <v>4</v>
      </c>
      <c r="C23" s="10">
        <v>6</v>
      </c>
      <c r="D23" s="12">
        <v>197980.95238092</v>
      </c>
      <c r="F23" s="12"/>
      <c r="G23" s="11"/>
      <c r="I23" s="14"/>
      <c r="J23" s="13" t="s">
        <v>4</v>
      </c>
      <c r="K23" s="10">
        <v>13</v>
      </c>
      <c r="L23" s="12">
        <v>544261.90476184001</v>
      </c>
      <c r="M23" s="10">
        <f t="shared" si="0"/>
        <v>7</v>
      </c>
      <c r="N23" s="12">
        <f t="shared" si="0"/>
        <v>346280.95238092</v>
      </c>
      <c r="O23" s="11">
        <f t="shared" si="1"/>
        <v>1.74906195882252</v>
      </c>
      <c r="Q23" s="14"/>
      <c r="R23" s="13" t="s">
        <v>4</v>
      </c>
      <c r="S23" s="10">
        <v>15</v>
      </c>
      <c r="T23" s="12">
        <v>637985.71428566996</v>
      </c>
      <c r="U23" s="10">
        <f t="shared" si="2"/>
        <v>2</v>
      </c>
      <c r="V23" s="12">
        <f t="shared" si="3"/>
        <v>93723.809523829957</v>
      </c>
      <c r="W23" s="11">
        <f t="shared" si="4"/>
        <v>0.17220350846499527</v>
      </c>
      <c r="Y23" s="14"/>
      <c r="Z23" s="13" t="s">
        <v>4</v>
      </c>
      <c r="AA23" s="10">
        <v>13</v>
      </c>
      <c r="AB23" s="12">
        <v>429095.23809519003</v>
      </c>
      <c r="AC23" s="10">
        <f t="shared" si="5"/>
        <v>-2</v>
      </c>
      <c r="AD23" s="12">
        <f t="shared" si="5"/>
        <v>-208890.47619047994</v>
      </c>
      <c r="AE23" s="11">
        <f t="shared" si="6"/>
        <v>-0.32742187091817126</v>
      </c>
      <c r="AG23" s="14"/>
      <c r="AH23" s="13" t="s">
        <v>4</v>
      </c>
      <c r="AI23" s="13">
        <v>13</v>
      </c>
      <c r="AJ23" s="45">
        <v>600428.57142853003</v>
      </c>
      <c r="AK23" s="10">
        <f t="shared" si="7"/>
        <v>0</v>
      </c>
      <c r="AL23" s="12">
        <f t="shared" si="7"/>
        <v>171333.33333334001</v>
      </c>
      <c r="AM23" s="11">
        <f t="shared" si="8"/>
        <v>0.39928975696377128</v>
      </c>
      <c r="AO23" s="14"/>
      <c r="AP23" s="13" t="s">
        <v>4</v>
      </c>
      <c r="AQ23" s="10">
        <v>10</v>
      </c>
      <c r="AR23" s="12">
        <v>327357.14285708999</v>
      </c>
      <c r="AS23" s="10">
        <f t="shared" si="9"/>
        <v>-3</v>
      </c>
      <c r="AT23" s="12">
        <f t="shared" si="9"/>
        <v>-273071.42857144005</v>
      </c>
      <c r="AU23" s="11">
        <f t="shared" si="10"/>
        <v>-0.45479419462293885</v>
      </c>
      <c r="AW23" s="14"/>
      <c r="AX23" s="13" t="s">
        <v>4</v>
      </c>
      <c r="AY23" s="10">
        <v>5</v>
      </c>
      <c r="AZ23" s="12">
        <v>200395.23809520999</v>
      </c>
      <c r="BA23" s="10">
        <f t="shared" si="11"/>
        <v>-5</v>
      </c>
      <c r="BB23" s="12">
        <f t="shared" si="12"/>
        <v>-126961.90476188</v>
      </c>
      <c r="BC23" s="11">
        <f t="shared" si="13"/>
        <v>-0.3878391155720286</v>
      </c>
      <c r="BE23" s="14"/>
      <c r="BF23" s="13" t="s">
        <v>4</v>
      </c>
      <c r="BG23" s="10">
        <v>11</v>
      </c>
      <c r="BH23" s="12">
        <v>431752.38095234003</v>
      </c>
      <c r="BI23" s="10">
        <f t="shared" si="14"/>
        <v>6</v>
      </c>
      <c r="BJ23" s="12">
        <f t="shared" si="15"/>
        <v>231357.14285713003</v>
      </c>
      <c r="BK23" s="11">
        <f t="shared" si="16"/>
        <v>1.1545041940927243</v>
      </c>
      <c r="BM23" s="14"/>
      <c r="BN23" s="13" t="s">
        <v>4</v>
      </c>
      <c r="BO23" s="10">
        <v>16</v>
      </c>
      <c r="BP23" s="12">
        <v>555333.33333324001</v>
      </c>
      <c r="BQ23" s="10">
        <f t="shared" si="17"/>
        <v>5</v>
      </c>
      <c r="BR23" s="12">
        <f t="shared" si="18"/>
        <v>123580.95238089998</v>
      </c>
      <c r="BS23" s="11">
        <f t="shared" si="19"/>
        <v>0.28623108483689347</v>
      </c>
      <c r="BU23" s="14"/>
      <c r="BV23" s="13" t="s">
        <v>4</v>
      </c>
      <c r="BW23" s="10">
        <v>24</v>
      </c>
      <c r="BX23" s="12">
        <v>731464</v>
      </c>
      <c r="BY23" s="10">
        <f t="shared" si="20"/>
        <v>8</v>
      </c>
      <c r="BZ23" s="12">
        <f t="shared" si="21"/>
        <v>176130.66666675999</v>
      </c>
      <c r="CA23" s="11">
        <f t="shared" si="22"/>
        <v>0.31716206482615172</v>
      </c>
      <c r="CC23" s="14"/>
      <c r="CD23" s="13" t="s">
        <v>4</v>
      </c>
      <c r="CE23" s="10">
        <v>24</v>
      </c>
      <c r="CF23" s="12">
        <v>838090</v>
      </c>
      <c r="CG23" s="10">
        <f t="shared" si="23"/>
        <v>0</v>
      </c>
      <c r="CH23" s="12">
        <f t="shared" si="24"/>
        <v>106626</v>
      </c>
      <c r="CI23" s="11">
        <f t="shared" si="25"/>
        <v>0.14577067360799711</v>
      </c>
      <c r="CK23" s="14"/>
      <c r="CL23" s="13" t="s">
        <v>4</v>
      </c>
      <c r="CN23" s="12"/>
      <c r="CO23" s="10">
        <f t="shared" si="26"/>
        <v>-24</v>
      </c>
      <c r="CP23" s="12">
        <f t="shared" si="27"/>
        <v>-838090</v>
      </c>
      <c r="CQ23" s="11">
        <f t="shared" si="28"/>
        <v>-1</v>
      </c>
      <c r="CS23" s="14"/>
      <c r="CT23" s="13" t="s">
        <v>4</v>
      </c>
      <c r="CV23" s="12"/>
      <c r="CW23" s="10">
        <f t="shared" si="29"/>
        <v>0</v>
      </c>
      <c r="CX23" s="12">
        <f t="shared" si="30"/>
        <v>0</v>
      </c>
      <c r="CY23" s="11" t="e">
        <f t="shared" si="31"/>
        <v>#DIV/0!</v>
      </c>
    </row>
    <row r="24" spans="1:103" s="10" customFormat="1" ht="20" customHeight="1">
      <c r="A24" s="14"/>
      <c r="B24" s="13" t="s">
        <v>3</v>
      </c>
      <c r="C24" s="10">
        <v>27</v>
      </c>
      <c r="D24" s="12">
        <v>568285.71428566007</v>
      </c>
      <c r="F24" s="12"/>
      <c r="G24" s="11"/>
      <c r="I24" s="14"/>
      <c r="J24" s="13" t="s">
        <v>3</v>
      </c>
      <c r="K24" s="10">
        <v>16</v>
      </c>
      <c r="L24" s="12">
        <v>381904.76190469001</v>
      </c>
      <c r="M24" s="10">
        <f t="shared" si="0"/>
        <v>-11</v>
      </c>
      <c r="N24" s="12">
        <f t="shared" si="0"/>
        <v>-186380.95238097006</v>
      </c>
      <c r="O24" s="11">
        <f t="shared" si="1"/>
        <v>-0.32797050444115505</v>
      </c>
      <c r="Q24" s="14"/>
      <c r="R24" s="13" t="s">
        <v>3</v>
      </c>
      <c r="S24" s="10">
        <v>22</v>
      </c>
      <c r="T24" s="12">
        <v>554285.71428562002</v>
      </c>
      <c r="U24" s="10">
        <f t="shared" si="2"/>
        <v>6</v>
      </c>
      <c r="V24" s="12">
        <f t="shared" si="3"/>
        <v>172380.95238093002</v>
      </c>
      <c r="W24" s="11">
        <f t="shared" si="4"/>
        <v>0.4513715710723456</v>
      </c>
      <c r="Y24" s="14"/>
      <c r="Z24" s="13" t="s">
        <v>3</v>
      </c>
      <c r="AA24" s="10">
        <v>23</v>
      </c>
      <c r="AB24" s="12">
        <v>567047.61904751998</v>
      </c>
      <c r="AC24" s="10">
        <f t="shared" si="5"/>
        <v>1</v>
      </c>
      <c r="AD24" s="12">
        <f t="shared" si="5"/>
        <v>12761.904761899961</v>
      </c>
      <c r="AE24" s="11">
        <f t="shared" si="6"/>
        <v>2.3024054982813125E-2</v>
      </c>
      <c r="AG24" s="14"/>
      <c r="AH24" s="13" t="s">
        <v>3</v>
      </c>
      <c r="AI24" s="13">
        <v>22</v>
      </c>
      <c r="AJ24" s="45">
        <v>390952.38095231005</v>
      </c>
      <c r="AK24" s="10">
        <f t="shared" si="7"/>
        <v>-1</v>
      </c>
      <c r="AL24" s="12">
        <f t="shared" si="7"/>
        <v>-176095.23809520993</v>
      </c>
      <c r="AM24" s="11">
        <f t="shared" si="8"/>
        <v>-0.31054753107155314</v>
      </c>
      <c r="AO24" s="14"/>
      <c r="AP24" s="13" t="s">
        <v>3</v>
      </c>
      <c r="AQ24" s="10">
        <v>24</v>
      </c>
      <c r="AR24" s="12">
        <v>609904.76190465991</v>
      </c>
      <c r="AS24" s="10">
        <f t="shared" si="9"/>
        <v>2</v>
      </c>
      <c r="AT24" s="12">
        <f t="shared" si="9"/>
        <v>218952.38095234986</v>
      </c>
      <c r="AU24" s="11">
        <f t="shared" si="10"/>
        <v>0.56004872107188564</v>
      </c>
      <c r="AW24" s="14"/>
      <c r="AX24" s="13" t="s">
        <v>3</v>
      </c>
      <c r="AY24" s="10">
        <v>13</v>
      </c>
      <c r="AZ24" s="12">
        <v>258857.14285708999</v>
      </c>
      <c r="BA24" s="10">
        <f t="shared" si="11"/>
        <v>-11</v>
      </c>
      <c r="BB24" s="12">
        <f t="shared" si="12"/>
        <v>-351047.61904756993</v>
      </c>
      <c r="BC24" s="11">
        <f t="shared" si="13"/>
        <v>-0.57557776389757975</v>
      </c>
      <c r="BE24" s="14"/>
      <c r="BF24" s="13" t="s">
        <v>3</v>
      </c>
      <c r="BG24" s="10">
        <v>16</v>
      </c>
      <c r="BH24" s="12">
        <v>330571.42857133999</v>
      </c>
      <c r="BI24" s="10">
        <f t="shared" si="14"/>
        <v>3</v>
      </c>
      <c r="BJ24" s="12">
        <f t="shared" si="15"/>
        <v>71714.28571425</v>
      </c>
      <c r="BK24" s="11">
        <f t="shared" si="16"/>
        <v>0.2770419426047751</v>
      </c>
      <c r="BM24" s="14"/>
      <c r="BN24" s="13" t="s">
        <v>3</v>
      </c>
      <c r="BO24" s="10">
        <v>28</v>
      </c>
      <c r="BP24" s="12">
        <v>591904.76190464001</v>
      </c>
      <c r="BQ24" s="10">
        <f t="shared" si="17"/>
        <v>12</v>
      </c>
      <c r="BR24" s="12">
        <f t="shared" si="18"/>
        <v>261333.33333330002</v>
      </c>
      <c r="BS24" s="11">
        <f t="shared" si="19"/>
        <v>0.79055027369645214</v>
      </c>
      <c r="BU24" s="14"/>
      <c r="BV24" s="13" t="s">
        <v>3</v>
      </c>
      <c r="BW24" s="10">
        <v>28</v>
      </c>
      <c r="BX24" s="12">
        <v>737238</v>
      </c>
      <c r="BY24" s="10">
        <f t="shared" si="20"/>
        <v>0</v>
      </c>
      <c r="BZ24" s="12">
        <f t="shared" si="21"/>
        <v>145333.23809535999</v>
      </c>
      <c r="CA24" s="11">
        <f t="shared" si="22"/>
        <v>0.2455348350766845</v>
      </c>
      <c r="CC24" s="14"/>
      <c r="CD24" s="13" t="s">
        <v>3</v>
      </c>
      <c r="CE24" s="10">
        <v>61</v>
      </c>
      <c r="CF24" s="12">
        <v>1395048</v>
      </c>
      <c r="CG24" s="10">
        <f t="shared" si="23"/>
        <v>33</v>
      </c>
      <c r="CH24" s="12">
        <f t="shared" si="24"/>
        <v>657810</v>
      </c>
      <c r="CI24" s="11">
        <f t="shared" si="25"/>
        <v>0.89226274283202978</v>
      </c>
      <c r="CK24" s="14"/>
      <c r="CL24" s="13" t="s">
        <v>3</v>
      </c>
      <c r="CN24" s="12"/>
      <c r="CO24" s="10">
        <f t="shared" si="26"/>
        <v>-61</v>
      </c>
      <c r="CP24" s="12">
        <f t="shared" si="27"/>
        <v>-1395048</v>
      </c>
      <c r="CQ24" s="11">
        <f t="shared" si="28"/>
        <v>-1</v>
      </c>
      <c r="CS24" s="14"/>
      <c r="CT24" s="13" t="s">
        <v>3</v>
      </c>
      <c r="CV24" s="12"/>
      <c r="CW24" s="10">
        <f t="shared" si="29"/>
        <v>0</v>
      </c>
      <c r="CX24" s="12">
        <f t="shared" si="30"/>
        <v>0</v>
      </c>
      <c r="CY24" s="11" t="e">
        <f t="shared" si="31"/>
        <v>#DIV/0!</v>
      </c>
    </row>
    <row r="25" spans="1:103" s="10" customFormat="1" ht="20" customHeight="1">
      <c r="A25" s="14"/>
      <c r="B25" s="13" t="s">
        <v>2</v>
      </c>
      <c r="C25" s="10">
        <v>43</v>
      </c>
      <c r="D25" s="12">
        <v>1540666.66666663</v>
      </c>
      <c r="F25" s="12"/>
      <c r="G25" s="11"/>
      <c r="I25" s="14"/>
      <c r="J25" s="13" t="s">
        <v>2</v>
      </c>
      <c r="K25" s="10">
        <v>28</v>
      </c>
      <c r="L25" s="12">
        <v>979238.09523806989</v>
      </c>
      <c r="M25" s="10">
        <f t="shared" si="0"/>
        <v>-15</v>
      </c>
      <c r="N25" s="12">
        <f t="shared" si="0"/>
        <v>-561428.57142856007</v>
      </c>
      <c r="O25" s="11">
        <f t="shared" si="1"/>
        <v>-0.3644062557952662</v>
      </c>
      <c r="Q25" s="14"/>
      <c r="R25" s="13" t="s">
        <v>2</v>
      </c>
      <c r="S25" s="10">
        <v>43</v>
      </c>
      <c r="T25" s="12">
        <v>1493999.99999996</v>
      </c>
      <c r="U25" s="10">
        <f t="shared" si="2"/>
        <v>15</v>
      </c>
      <c r="V25" s="12">
        <f t="shared" si="3"/>
        <v>514761.90476189007</v>
      </c>
      <c r="W25" s="11">
        <f t="shared" si="4"/>
        <v>0.52567593853335792</v>
      </c>
      <c r="Y25" s="14"/>
      <c r="Z25" s="13" t="s">
        <v>2</v>
      </c>
      <c r="AA25" s="10">
        <v>40</v>
      </c>
      <c r="AB25" s="12">
        <v>1429523.8095237699</v>
      </c>
      <c r="AC25" s="10">
        <f t="shared" si="5"/>
        <v>-3</v>
      </c>
      <c r="AD25" s="12">
        <f t="shared" si="5"/>
        <v>-64476.190476190066</v>
      </c>
      <c r="AE25" s="11">
        <f t="shared" si="6"/>
        <v>-4.3156754000128375E-2</v>
      </c>
      <c r="AG25" s="14"/>
      <c r="AH25" s="13" t="s">
        <v>2</v>
      </c>
      <c r="AI25" s="13">
        <v>27</v>
      </c>
      <c r="AJ25" s="45">
        <v>928857.14285710989</v>
      </c>
      <c r="AK25" s="10">
        <f t="shared" si="7"/>
        <v>-13</v>
      </c>
      <c r="AL25" s="12">
        <f t="shared" si="7"/>
        <v>-500666.66666665999</v>
      </c>
      <c r="AM25" s="11">
        <f t="shared" si="8"/>
        <v>-0.35023317788141745</v>
      </c>
      <c r="AO25" s="14"/>
      <c r="AP25" s="13" t="s">
        <v>2</v>
      </c>
      <c r="AQ25" s="10">
        <v>57</v>
      </c>
      <c r="AR25" s="12">
        <v>2140285.7142856</v>
      </c>
      <c r="AS25" s="10">
        <f t="shared" si="9"/>
        <v>30</v>
      </c>
      <c r="AT25" s="12">
        <f t="shared" si="9"/>
        <v>1211428.5714284901</v>
      </c>
      <c r="AU25" s="11">
        <f t="shared" si="10"/>
        <v>1.3042140879728901</v>
      </c>
      <c r="AW25" s="14"/>
      <c r="AX25" s="13" t="s">
        <v>2</v>
      </c>
      <c r="AY25" s="10">
        <v>40</v>
      </c>
      <c r="AZ25" s="12">
        <v>1629523.80952367</v>
      </c>
      <c r="BA25" s="10">
        <f t="shared" si="11"/>
        <v>-17</v>
      </c>
      <c r="BB25" s="12">
        <f t="shared" si="12"/>
        <v>-510761.90476193</v>
      </c>
      <c r="BC25" s="11">
        <f t="shared" si="13"/>
        <v>-0.23864192586662</v>
      </c>
      <c r="BE25" s="14"/>
      <c r="BF25" s="13" t="s">
        <v>2</v>
      </c>
      <c r="BG25" s="10">
        <v>33</v>
      </c>
      <c r="BH25" s="12">
        <v>1169238.0952380199</v>
      </c>
      <c r="BI25" s="10">
        <f t="shared" si="14"/>
        <v>-7</v>
      </c>
      <c r="BJ25" s="12">
        <f t="shared" si="15"/>
        <v>-460285.71428565006</v>
      </c>
      <c r="BK25" s="11">
        <f t="shared" si="16"/>
        <v>-0.282466393921668</v>
      </c>
      <c r="BM25" s="14"/>
      <c r="BN25" s="13" t="s">
        <v>2</v>
      </c>
      <c r="BO25" s="10">
        <v>34</v>
      </c>
      <c r="BP25" s="12">
        <v>1225333.3333332599</v>
      </c>
      <c r="BQ25" s="10">
        <f t="shared" si="17"/>
        <v>1</v>
      </c>
      <c r="BR25" s="12">
        <f t="shared" si="18"/>
        <v>56095.238095239969</v>
      </c>
      <c r="BS25" s="11">
        <f t="shared" si="19"/>
        <v>4.7975889875381414E-2</v>
      </c>
      <c r="BU25" s="14"/>
      <c r="BV25" s="13" t="s">
        <v>2</v>
      </c>
      <c r="BW25" s="10">
        <v>27</v>
      </c>
      <c r="BX25" s="12">
        <v>927717</v>
      </c>
      <c r="BY25" s="10">
        <f t="shared" si="20"/>
        <v>-7</v>
      </c>
      <c r="BZ25" s="12">
        <f t="shared" si="21"/>
        <v>-297616.33333325991</v>
      </c>
      <c r="CA25" s="11">
        <f t="shared" si="22"/>
        <v>-0.24288601741018315</v>
      </c>
      <c r="CC25" s="14"/>
      <c r="CD25" s="13" t="s">
        <v>2</v>
      </c>
      <c r="CE25" s="10">
        <v>54</v>
      </c>
      <c r="CF25" s="12">
        <v>1783098</v>
      </c>
      <c r="CG25" s="10">
        <f t="shared" si="23"/>
        <v>27</v>
      </c>
      <c r="CH25" s="12">
        <f t="shared" si="24"/>
        <v>855381</v>
      </c>
      <c r="CI25" s="11">
        <f t="shared" si="25"/>
        <v>0.92202794602233229</v>
      </c>
      <c r="CK25" s="14"/>
      <c r="CL25" s="13" t="s">
        <v>2</v>
      </c>
      <c r="CN25" s="12"/>
      <c r="CO25" s="10">
        <f t="shared" si="26"/>
        <v>-54</v>
      </c>
      <c r="CP25" s="12">
        <f t="shared" si="27"/>
        <v>-1783098</v>
      </c>
      <c r="CQ25" s="11">
        <f t="shared" si="28"/>
        <v>-1</v>
      </c>
      <c r="CS25" s="14"/>
      <c r="CT25" s="13" t="s">
        <v>2</v>
      </c>
      <c r="CV25" s="12"/>
      <c r="CW25" s="10">
        <f t="shared" si="29"/>
        <v>0</v>
      </c>
      <c r="CX25" s="12">
        <f t="shared" si="30"/>
        <v>0</v>
      </c>
      <c r="CY25" s="11" t="e">
        <f t="shared" si="31"/>
        <v>#DIV/0!</v>
      </c>
    </row>
    <row r="26" spans="1:103" s="1" customFormat="1" ht="20" customHeight="1">
      <c r="A26" s="9" t="s">
        <v>12</v>
      </c>
      <c r="B26" s="9"/>
      <c r="C26" s="8">
        <v>475</v>
      </c>
      <c r="D26" s="7">
        <v>3164597.14285619</v>
      </c>
      <c r="E26" s="27"/>
      <c r="F26" s="28"/>
      <c r="G26" s="29"/>
      <c r="I26" s="9" t="s">
        <v>12</v>
      </c>
      <c r="J26" s="9"/>
      <c r="K26" s="8">
        <v>359</v>
      </c>
      <c r="L26" s="7">
        <v>2709206.6666659401</v>
      </c>
      <c r="M26" s="27">
        <f t="shared" si="0"/>
        <v>-116</v>
      </c>
      <c r="N26" s="28">
        <f t="shared" si="0"/>
        <v>-455390.4761902499</v>
      </c>
      <c r="O26" s="29">
        <f t="shared" si="1"/>
        <v>-0.14390156333745524</v>
      </c>
      <c r="Q26" s="9" t="s">
        <v>12</v>
      </c>
      <c r="R26" s="9"/>
      <c r="S26" s="8">
        <v>453</v>
      </c>
      <c r="T26" s="7">
        <v>3613636.1904753</v>
      </c>
      <c r="U26" s="27">
        <f t="shared" si="2"/>
        <v>94</v>
      </c>
      <c r="V26" s="28">
        <f t="shared" si="3"/>
        <v>904429.52380935987</v>
      </c>
      <c r="W26" s="29">
        <f t="shared" si="4"/>
        <v>0.33383555966307571</v>
      </c>
      <c r="Y26" s="9" t="s">
        <v>12</v>
      </c>
      <c r="Z26" s="9"/>
      <c r="AA26" s="8">
        <v>446</v>
      </c>
      <c r="AB26" s="7">
        <v>3152031.90476096</v>
      </c>
      <c r="AC26" s="27">
        <f t="shared" si="5"/>
        <v>-7</v>
      </c>
      <c r="AD26" s="28">
        <f t="shared" si="5"/>
        <v>-461604.28571433993</v>
      </c>
      <c r="AE26" s="29">
        <f t="shared" si="6"/>
        <v>-0.12773955688484107</v>
      </c>
      <c r="AG26" s="9" t="s">
        <v>12</v>
      </c>
      <c r="AH26" s="9"/>
      <c r="AI26" s="9">
        <v>376</v>
      </c>
      <c r="AJ26" s="46">
        <v>2625037.6190468799</v>
      </c>
      <c r="AK26" s="27">
        <f t="shared" si="7"/>
        <v>-70</v>
      </c>
      <c r="AL26" s="28">
        <f t="shared" si="7"/>
        <v>-526994.28571408009</v>
      </c>
      <c r="AM26" s="29">
        <f t="shared" si="8"/>
        <v>-0.1671919262359261</v>
      </c>
      <c r="AO26" s="9" t="s">
        <v>12</v>
      </c>
      <c r="AP26" s="9"/>
      <c r="AQ26" s="8">
        <v>462</v>
      </c>
      <c r="AR26" s="7">
        <v>3867402.8571415101</v>
      </c>
      <c r="AS26" s="27">
        <f t="shared" si="9"/>
        <v>86</v>
      </c>
      <c r="AT26" s="28">
        <f t="shared" si="9"/>
        <v>1242365.2380946302</v>
      </c>
      <c r="AU26" s="29">
        <f t="shared" si="10"/>
        <v>0.47327521292655544</v>
      </c>
      <c r="AW26" s="9" t="s">
        <v>12</v>
      </c>
      <c r="AX26" s="9"/>
      <c r="AY26" s="8">
        <v>408</v>
      </c>
      <c r="AZ26" s="7">
        <v>2839655.2380939601</v>
      </c>
      <c r="BA26" s="27">
        <f t="shared" si="11"/>
        <v>-54</v>
      </c>
      <c r="BB26" s="28">
        <f t="shared" si="12"/>
        <v>-1027747.61904755</v>
      </c>
      <c r="BC26" s="29">
        <f t="shared" si="13"/>
        <v>-0.26574620152377476</v>
      </c>
      <c r="BE26" s="9" t="s">
        <v>12</v>
      </c>
      <c r="BF26" s="9"/>
      <c r="BG26" s="8">
        <v>363</v>
      </c>
      <c r="BH26" s="7">
        <v>2564228.95237969</v>
      </c>
      <c r="BI26" s="27">
        <f t="shared" si="14"/>
        <v>-45</v>
      </c>
      <c r="BJ26" s="28">
        <f t="shared" si="15"/>
        <v>-275426.28571427008</v>
      </c>
      <c r="BK26" s="29">
        <f t="shared" si="16"/>
        <v>-9.6992860971088293E-2</v>
      </c>
      <c r="BM26" s="9" t="s">
        <v>12</v>
      </c>
      <c r="BN26" s="9"/>
      <c r="BO26" s="8">
        <v>429</v>
      </c>
      <c r="BP26" s="7">
        <v>3033555.61904631</v>
      </c>
      <c r="BQ26" s="27">
        <f t="shared" si="17"/>
        <v>66</v>
      </c>
      <c r="BR26" s="28">
        <f t="shared" si="18"/>
        <v>469326.66666661995</v>
      </c>
      <c r="BS26" s="29">
        <f t="shared" si="19"/>
        <v>0.18302837826983787</v>
      </c>
      <c r="BU26" s="9" t="s">
        <v>12</v>
      </c>
      <c r="BV26" s="9"/>
      <c r="BW26" s="8">
        <v>437</v>
      </c>
      <c r="BX26" s="7">
        <v>2932496</v>
      </c>
      <c r="BY26" s="27">
        <f t="shared" si="20"/>
        <v>8</v>
      </c>
      <c r="BZ26" s="28">
        <f t="shared" si="21"/>
        <v>-101059.61904630996</v>
      </c>
      <c r="CA26" s="29">
        <f t="shared" si="22"/>
        <v>-3.331391665008638E-2</v>
      </c>
      <c r="CC26" s="9" t="s">
        <v>12</v>
      </c>
      <c r="CD26" s="9"/>
      <c r="CE26" s="8">
        <v>575</v>
      </c>
      <c r="CF26" s="7">
        <v>4747750</v>
      </c>
      <c r="CG26" s="27">
        <f t="shared" si="23"/>
        <v>138</v>
      </c>
      <c r="CH26" s="28">
        <f t="shared" si="24"/>
        <v>1815254</v>
      </c>
      <c r="CI26" s="29">
        <f t="shared" si="25"/>
        <v>0.61901329106672265</v>
      </c>
      <c r="CK26" s="9" t="s">
        <v>12</v>
      </c>
      <c r="CL26" s="9"/>
      <c r="CM26" s="8"/>
      <c r="CN26" s="7"/>
      <c r="CO26" s="27">
        <f t="shared" si="26"/>
        <v>-575</v>
      </c>
      <c r="CP26" s="28">
        <f t="shared" si="27"/>
        <v>-4747750</v>
      </c>
      <c r="CQ26" s="29">
        <f t="shared" si="28"/>
        <v>-1</v>
      </c>
      <c r="CS26" s="9" t="s">
        <v>12</v>
      </c>
      <c r="CT26" s="9"/>
      <c r="CU26" s="8"/>
      <c r="CV26" s="7"/>
      <c r="CW26" s="27">
        <f t="shared" si="29"/>
        <v>0</v>
      </c>
      <c r="CX26" s="28">
        <f t="shared" si="30"/>
        <v>0</v>
      </c>
      <c r="CY26" s="29" t="e">
        <f t="shared" si="31"/>
        <v>#DIV/0!</v>
      </c>
    </row>
    <row r="27" spans="1:103" s="1" customFormat="1" ht="20" customHeight="1">
      <c r="A27" s="14">
        <v>77</v>
      </c>
      <c r="B27" s="32" t="s">
        <v>19</v>
      </c>
      <c r="C27" s="1">
        <v>3539</v>
      </c>
      <c r="D27" s="35"/>
      <c r="E27" s="10"/>
      <c r="F27" s="12"/>
      <c r="G27" s="36"/>
      <c r="I27" s="14">
        <v>77</v>
      </c>
      <c r="J27" s="32" t="s">
        <v>19</v>
      </c>
      <c r="K27" s="1">
        <v>2311</v>
      </c>
      <c r="L27" s="35"/>
      <c r="M27" s="10">
        <f t="shared" si="0"/>
        <v>-1228</v>
      </c>
      <c r="N27" s="12">
        <f t="shared" si="0"/>
        <v>0</v>
      </c>
      <c r="O27" s="11" t="e">
        <f t="shared" si="1"/>
        <v>#DIV/0!</v>
      </c>
      <c r="Q27" s="14">
        <v>77</v>
      </c>
      <c r="R27" s="32" t="s">
        <v>19</v>
      </c>
      <c r="S27" s="1">
        <v>3621</v>
      </c>
      <c r="T27" s="35"/>
      <c r="U27" s="10">
        <f t="shared" si="2"/>
        <v>1310</v>
      </c>
      <c r="V27" s="12">
        <f t="shared" si="3"/>
        <v>0</v>
      </c>
      <c r="W27" s="11" t="e">
        <f t="shared" si="4"/>
        <v>#DIV/0!</v>
      </c>
      <c r="Y27" s="14">
        <v>77</v>
      </c>
      <c r="Z27" s="32" t="s">
        <v>19</v>
      </c>
      <c r="AA27" s="1">
        <v>3036</v>
      </c>
      <c r="AB27" s="35"/>
      <c r="AC27" s="10">
        <f t="shared" si="5"/>
        <v>-585</v>
      </c>
      <c r="AD27" s="12">
        <f t="shared" si="5"/>
        <v>0</v>
      </c>
      <c r="AE27" s="11" t="e">
        <f t="shared" si="6"/>
        <v>#DIV/0!</v>
      </c>
      <c r="AG27" s="14">
        <v>77</v>
      </c>
      <c r="AH27" s="32" t="s">
        <v>19</v>
      </c>
      <c r="AI27" s="32">
        <v>3211</v>
      </c>
      <c r="AJ27" s="47"/>
      <c r="AK27" s="10">
        <f t="shared" si="7"/>
        <v>175</v>
      </c>
      <c r="AL27" s="12">
        <f t="shared" si="7"/>
        <v>0</v>
      </c>
      <c r="AM27" s="11" t="e">
        <f t="shared" si="8"/>
        <v>#DIV/0!</v>
      </c>
      <c r="AO27" s="14">
        <v>77</v>
      </c>
      <c r="AP27" s="32" t="s">
        <v>37</v>
      </c>
      <c r="AQ27" s="1">
        <v>3328</v>
      </c>
      <c r="AR27" s="35"/>
      <c r="AS27" s="10">
        <f t="shared" si="9"/>
        <v>117</v>
      </c>
      <c r="AT27" s="12">
        <f t="shared" si="9"/>
        <v>0</v>
      </c>
      <c r="AU27" s="11" t="e">
        <f t="shared" si="10"/>
        <v>#DIV/0!</v>
      </c>
      <c r="AW27" s="14">
        <v>77</v>
      </c>
      <c r="AX27" s="32" t="s">
        <v>37</v>
      </c>
      <c r="AY27" s="1">
        <v>3174</v>
      </c>
      <c r="AZ27" s="35"/>
      <c r="BA27" s="10">
        <f t="shared" si="11"/>
        <v>-154</v>
      </c>
      <c r="BB27" s="12">
        <f t="shared" si="12"/>
        <v>0</v>
      </c>
      <c r="BC27" s="11" t="e">
        <f t="shared" si="13"/>
        <v>#DIV/0!</v>
      </c>
      <c r="BE27" s="14">
        <v>77</v>
      </c>
      <c r="BF27" s="32" t="s">
        <v>19</v>
      </c>
      <c r="BG27" s="1">
        <v>3534</v>
      </c>
      <c r="BH27" s="35"/>
      <c r="BI27" s="10">
        <f t="shared" si="14"/>
        <v>360</v>
      </c>
      <c r="BJ27" s="12">
        <f t="shared" si="15"/>
        <v>0</v>
      </c>
      <c r="BK27" s="11" t="e">
        <f t="shared" si="16"/>
        <v>#DIV/0!</v>
      </c>
      <c r="BM27" s="14">
        <v>77</v>
      </c>
      <c r="BN27" s="32" t="s">
        <v>37</v>
      </c>
      <c r="BO27" s="1">
        <v>3175</v>
      </c>
      <c r="BP27" s="35"/>
      <c r="BQ27" s="10">
        <f t="shared" si="17"/>
        <v>-359</v>
      </c>
      <c r="BR27" s="12">
        <f t="shared" si="18"/>
        <v>0</v>
      </c>
      <c r="BS27" s="11" t="e">
        <f t="shared" si="19"/>
        <v>#DIV/0!</v>
      </c>
      <c r="BU27" s="14">
        <v>77</v>
      </c>
      <c r="BV27" s="32" t="s">
        <v>37</v>
      </c>
      <c r="BW27" s="15">
        <v>2744</v>
      </c>
      <c r="BX27" s="33"/>
      <c r="BY27" s="10">
        <f t="shared" si="20"/>
        <v>-431</v>
      </c>
      <c r="BZ27" s="12">
        <f t="shared" si="21"/>
        <v>0</v>
      </c>
      <c r="CA27" s="11" t="e">
        <f t="shared" si="22"/>
        <v>#DIV/0!</v>
      </c>
      <c r="CC27" s="14">
        <v>77</v>
      </c>
      <c r="CD27" s="32" t="s">
        <v>37</v>
      </c>
      <c r="CE27" s="15">
        <v>4471</v>
      </c>
      <c r="CF27" s="33"/>
      <c r="CG27" s="10">
        <f t="shared" si="23"/>
        <v>1727</v>
      </c>
      <c r="CH27" s="12">
        <f t="shared" si="24"/>
        <v>0</v>
      </c>
      <c r="CI27" s="11" t="e">
        <f t="shared" si="25"/>
        <v>#DIV/0!</v>
      </c>
      <c r="CK27" s="14">
        <v>77</v>
      </c>
      <c r="CL27" s="32" t="s">
        <v>19</v>
      </c>
      <c r="CM27" s="15"/>
      <c r="CN27" s="33"/>
      <c r="CO27" s="10">
        <f t="shared" si="26"/>
        <v>-4471</v>
      </c>
      <c r="CP27" s="12">
        <f t="shared" si="27"/>
        <v>0</v>
      </c>
      <c r="CQ27" s="11" t="e">
        <f t="shared" si="28"/>
        <v>#DIV/0!</v>
      </c>
      <c r="CS27" s="14">
        <v>77</v>
      </c>
      <c r="CT27" s="32" t="s">
        <v>19</v>
      </c>
      <c r="CU27" s="15"/>
      <c r="CV27" s="33"/>
      <c r="CW27" s="10">
        <f t="shared" si="29"/>
        <v>0</v>
      </c>
      <c r="CX27" s="12">
        <f t="shared" si="30"/>
        <v>0</v>
      </c>
      <c r="CY27" s="11" t="e">
        <f t="shared" si="31"/>
        <v>#DIV/0!</v>
      </c>
    </row>
    <row r="28" spans="1:103" s="1" customFormat="1" ht="20" customHeight="1">
      <c r="A28" s="14"/>
      <c r="B28" s="32" t="s">
        <v>20</v>
      </c>
      <c r="C28" s="1">
        <v>7</v>
      </c>
      <c r="D28" s="35"/>
      <c r="E28" s="10"/>
      <c r="F28" s="12"/>
      <c r="G28" s="36"/>
      <c r="I28" s="14"/>
      <c r="J28" s="32" t="s">
        <v>20</v>
      </c>
      <c r="K28" s="1">
        <v>1</v>
      </c>
      <c r="L28" s="35"/>
      <c r="M28" s="10">
        <f t="shared" si="0"/>
        <v>-6</v>
      </c>
      <c r="N28" s="12">
        <f t="shared" si="0"/>
        <v>0</v>
      </c>
      <c r="O28" s="11" t="e">
        <f t="shared" si="1"/>
        <v>#DIV/0!</v>
      </c>
      <c r="Q28" s="14"/>
      <c r="R28" s="32" t="s">
        <v>20</v>
      </c>
      <c r="S28" s="1">
        <v>1</v>
      </c>
      <c r="T28" s="35"/>
      <c r="U28" s="10">
        <f t="shared" si="2"/>
        <v>0</v>
      </c>
      <c r="V28" s="12">
        <f t="shared" si="3"/>
        <v>0</v>
      </c>
      <c r="W28" s="11" t="e">
        <f t="shared" si="4"/>
        <v>#DIV/0!</v>
      </c>
      <c r="Y28" s="14"/>
      <c r="Z28" s="32" t="s">
        <v>20</v>
      </c>
      <c r="AA28" s="1">
        <v>5</v>
      </c>
      <c r="AB28" s="35"/>
      <c r="AC28" s="10">
        <f t="shared" si="5"/>
        <v>4</v>
      </c>
      <c r="AD28" s="12">
        <f t="shared" si="5"/>
        <v>0</v>
      </c>
      <c r="AE28" s="11" t="e">
        <f t="shared" si="6"/>
        <v>#DIV/0!</v>
      </c>
      <c r="AG28" s="14"/>
      <c r="AH28" s="32" t="s">
        <v>20</v>
      </c>
      <c r="AI28" s="32">
        <v>2</v>
      </c>
      <c r="AJ28" s="47"/>
      <c r="AK28" s="10">
        <f t="shared" si="7"/>
        <v>-3</v>
      </c>
      <c r="AL28" s="12">
        <f t="shared" si="7"/>
        <v>0</v>
      </c>
      <c r="AM28" s="11" t="e">
        <f t="shared" si="8"/>
        <v>#DIV/0!</v>
      </c>
      <c r="AO28" s="14"/>
      <c r="AP28" s="32" t="s">
        <v>38</v>
      </c>
      <c r="AQ28" s="1">
        <v>3</v>
      </c>
      <c r="AR28" s="35"/>
      <c r="AS28" s="10">
        <f t="shared" si="9"/>
        <v>1</v>
      </c>
      <c r="AT28" s="12">
        <f t="shared" si="9"/>
        <v>0</v>
      </c>
      <c r="AU28" s="11" t="e">
        <f t="shared" si="10"/>
        <v>#DIV/0!</v>
      </c>
      <c r="AW28" s="14"/>
      <c r="AX28" s="32" t="s">
        <v>38</v>
      </c>
      <c r="AY28" s="1">
        <v>4</v>
      </c>
      <c r="AZ28" s="35"/>
      <c r="BA28" s="10">
        <f t="shared" si="11"/>
        <v>1</v>
      </c>
      <c r="BB28" s="12">
        <f t="shared" si="12"/>
        <v>0</v>
      </c>
      <c r="BC28" s="11" t="e">
        <f t="shared" si="13"/>
        <v>#DIV/0!</v>
      </c>
      <c r="BE28" s="14"/>
      <c r="BF28" s="32" t="s">
        <v>20</v>
      </c>
      <c r="BG28" s="1">
        <v>5</v>
      </c>
      <c r="BH28" s="35"/>
      <c r="BI28" s="10">
        <f t="shared" si="14"/>
        <v>1</v>
      </c>
      <c r="BJ28" s="12">
        <f t="shared" si="15"/>
        <v>0</v>
      </c>
      <c r="BK28" s="11" t="e">
        <f t="shared" si="16"/>
        <v>#DIV/0!</v>
      </c>
      <c r="BM28" s="14"/>
      <c r="BN28" s="32" t="s">
        <v>38</v>
      </c>
      <c r="BO28" s="1">
        <v>0</v>
      </c>
      <c r="BP28" s="35"/>
      <c r="BQ28" s="10">
        <f t="shared" si="17"/>
        <v>-5</v>
      </c>
      <c r="BR28" s="12">
        <f t="shared" si="18"/>
        <v>0</v>
      </c>
      <c r="BS28" s="11" t="e">
        <f t="shared" si="19"/>
        <v>#DIV/0!</v>
      </c>
      <c r="BU28" s="14"/>
      <c r="BV28" s="32" t="s">
        <v>38</v>
      </c>
      <c r="BW28" s="15">
        <v>4</v>
      </c>
      <c r="BX28" s="33"/>
      <c r="BY28" s="10">
        <f t="shared" si="20"/>
        <v>4</v>
      </c>
      <c r="BZ28" s="12">
        <f t="shared" si="21"/>
        <v>0</v>
      </c>
      <c r="CA28" s="11" t="e">
        <f t="shared" si="22"/>
        <v>#DIV/0!</v>
      </c>
      <c r="CC28" s="14"/>
      <c r="CD28" s="32" t="s">
        <v>38</v>
      </c>
      <c r="CE28" s="15"/>
      <c r="CF28" s="33"/>
      <c r="CG28" s="10">
        <f t="shared" si="23"/>
        <v>-4</v>
      </c>
      <c r="CH28" s="12">
        <f t="shared" si="24"/>
        <v>0</v>
      </c>
      <c r="CI28" s="11" t="e">
        <f t="shared" si="25"/>
        <v>#DIV/0!</v>
      </c>
      <c r="CK28" s="14"/>
      <c r="CL28" s="32" t="s">
        <v>20</v>
      </c>
      <c r="CM28" s="15"/>
      <c r="CN28" s="33"/>
      <c r="CO28" s="10">
        <f t="shared" si="26"/>
        <v>0</v>
      </c>
      <c r="CP28" s="12">
        <f t="shared" si="27"/>
        <v>0</v>
      </c>
      <c r="CQ28" s="11" t="e">
        <f t="shared" si="28"/>
        <v>#DIV/0!</v>
      </c>
      <c r="CS28" s="14"/>
      <c r="CT28" s="32" t="s">
        <v>20</v>
      </c>
      <c r="CU28" s="15"/>
      <c r="CV28" s="33"/>
      <c r="CW28" s="10">
        <f t="shared" si="29"/>
        <v>0</v>
      </c>
      <c r="CX28" s="12">
        <f t="shared" si="30"/>
        <v>0</v>
      </c>
      <c r="CY28" s="11" t="e">
        <f t="shared" si="31"/>
        <v>#DIV/0!</v>
      </c>
    </row>
    <row r="29" spans="1:103" s="10" customFormat="1" ht="20" customHeight="1">
      <c r="A29" s="14"/>
      <c r="B29" s="13" t="s">
        <v>9</v>
      </c>
      <c r="C29" s="10">
        <v>77</v>
      </c>
      <c r="D29" s="12">
        <v>84747.619047319968</v>
      </c>
      <c r="F29" s="12"/>
      <c r="G29" s="11"/>
      <c r="I29" s="14"/>
      <c r="J29" s="13" t="s">
        <v>9</v>
      </c>
      <c r="K29" s="10">
        <v>63</v>
      </c>
      <c r="L29" s="12">
        <v>74600.952380670016</v>
      </c>
      <c r="M29" s="10">
        <f t="shared" si="0"/>
        <v>-14</v>
      </c>
      <c r="N29" s="12">
        <f t="shared" si="0"/>
        <v>-10146.666666649951</v>
      </c>
      <c r="O29" s="11">
        <f t="shared" si="1"/>
        <v>-0.11972804405259367</v>
      </c>
      <c r="Q29" s="14"/>
      <c r="R29" s="13" t="s">
        <v>9</v>
      </c>
      <c r="S29" s="10">
        <v>103</v>
      </c>
      <c r="T29" s="12">
        <v>95442.857142479974</v>
      </c>
      <c r="U29" s="10">
        <f t="shared" si="2"/>
        <v>40</v>
      </c>
      <c r="V29" s="12">
        <f t="shared" si="3"/>
        <v>20841.904761809958</v>
      </c>
      <c r="W29" s="11">
        <f t="shared" si="4"/>
        <v>0.27937853467954304</v>
      </c>
      <c r="Y29" s="14"/>
      <c r="Z29" s="13" t="s">
        <v>9</v>
      </c>
      <c r="AA29" s="10">
        <v>68</v>
      </c>
      <c r="AB29" s="12">
        <v>64845.71428546001</v>
      </c>
      <c r="AC29" s="10">
        <f t="shared" si="5"/>
        <v>-35</v>
      </c>
      <c r="AD29" s="12">
        <f t="shared" si="5"/>
        <v>-30597.142857019964</v>
      </c>
      <c r="AE29" s="11">
        <f t="shared" si="6"/>
        <v>-0.32058075138450254</v>
      </c>
      <c r="AG29" s="14"/>
      <c r="AH29" s="13" t="s">
        <v>9</v>
      </c>
      <c r="AI29" s="13">
        <v>95</v>
      </c>
      <c r="AJ29" s="45">
        <v>88453.333332949987</v>
      </c>
      <c r="AK29" s="10">
        <f t="shared" si="7"/>
        <v>27</v>
      </c>
      <c r="AL29" s="12">
        <f t="shared" si="7"/>
        <v>23607.619047489978</v>
      </c>
      <c r="AM29" s="11">
        <f t="shared" si="8"/>
        <v>0.36405827752264242</v>
      </c>
      <c r="AO29" s="14"/>
      <c r="AP29" s="13" t="s">
        <v>9</v>
      </c>
      <c r="AQ29" s="10">
        <v>96</v>
      </c>
      <c r="AR29" s="12">
        <v>86227.619047240034</v>
      </c>
      <c r="AS29" s="10">
        <f t="shared" si="9"/>
        <v>1</v>
      </c>
      <c r="AT29" s="12">
        <f t="shared" si="9"/>
        <v>-2225.7142857099534</v>
      </c>
      <c r="AU29" s="11">
        <f t="shared" si="10"/>
        <v>-2.5162582367948442E-2</v>
      </c>
      <c r="AW29" s="14"/>
      <c r="AX29" s="13" t="s">
        <v>9</v>
      </c>
      <c r="AY29" s="10">
        <v>92</v>
      </c>
      <c r="AZ29" s="12">
        <v>82476.19047580006</v>
      </c>
      <c r="BA29" s="10">
        <f t="shared" si="11"/>
        <v>-4</v>
      </c>
      <c r="BB29" s="12">
        <f t="shared" si="12"/>
        <v>-3751.4285714399739</v>
      </c>
      <c r="BC29" s="11">
        <f t="shared" si="13"/>
        <v>-4.3506113387924393E-2</v>
      </c>
      <c r="BE29" s="14"/>
      <c r="BF29" s="13" t="s">
        <v>9</v>
      </c>
      <c r="BG29" s="10">
        <v>99</v>
      </c>
      <c r="BH29" s="12">
        <v>102610.47619004</v>
      </c>
      <c r="BI29" s="10">
        <f t="shared" si="14"/>
        <v>7</v>
      </c>
      <c r="BJ29" s="12">
        <f t="shared" si="15"/>
        <v>20134.285714239944</v>
      </c>
      <c r="BK29" s="11">
        <f t="shared" si="16"/>
        <v>0.24412240184817571</v>
      </c>
      <c r="BM29" s="14"/>
      <c r="BN29" s="13" t="s">
        <v>9</v>
      </c>
      <c r="BO29" s="10">
        <v>66</v>
      </c>
      <c r="BP29" s="12">
        <v>56596.190475900003</v>
      </c>
      <c r="BQ29" s="10">
        <f t="shared" si="17"/>
        <v>-33</v>
      </c>
      <c r="BR29" s="12">
        <f t="shared" si="18"/>
        <v>-46014.285714140002</v>
      </c>
      <c r="BS29" s="11">
        <f t="shared" si="19"/>
        <v>-0.44843652834160053</v>
      </c>
      <c r="BU29" s="14"/>
      <c r="BV29" s="13" t="s">
        <v>9</v>
      </c>
      <c r="BW29" s="10">
        <v>86</v>
      </c>
      <c r="BX29" s="12">
        <v>95122</v>
      </c>
      <c r="BY29" s="10">
        <f t="shared" si="20"/>
        <v>20</v>
      </c>
      <c r="BZ29" s="12">
        <f t="shared" si="21"/>
        <v>38525.809524099997</v>
      </c>
      <c r="CA29" s="11">
        <f t="shared" si="22"/>
        <v>0.68071382897237931</v>
      </c>
      <c r="CC29" s="14"/>
      <c r="CD29" s="13" t="s">
        <v>9</v>
      </c>
      <c r="CE29" s="10">
        <v>56</v>
      </c>
      <c r="CF29" s="12">
        <v>55918</v>
      </c>
      <c r="CG29" s="10">
        <f t="shared" si="23"/>
        <v>-30</v>
      </c>
      <c r="CH29" s="12">
        <f t="shared" si="24"/>
        <v>-39204</v>
      </c>
      <c r="CI29" s="11">
        <f t="shared" si="25"/>
        <v>-0.41214440402851077</v>
      </c>
      <c r="CK29" s="14"/>
      <c r="CL29" s="13" t="s">
        <v>9</v>
      </c>
      <c r="CN29" s="12"/>
      <c r="CO29" s="10">
        <f t="shared" si="26"/>
        <v>-56</v>
      </c>
      <c r="CP29" s="12">
        <f t="shared" si="27"/>
        <v>-55918</v>
      </c>
      <c r="CQ29" s="11">
        <f t="shared" si="28"/>
        <v>-1</v>
      </c>
      <c r="CS29" s="14"/>
      <c r="CT29" s="13" t="s">
        <v>9</v>
      </c>
      <c r="CV29" s="12"/>
      <c r="CW29" s="10">
        <f t="shared" si="29"/>
        <v>0</v>
      </c>
      <c r="CX29" s="12">
        <f t="shared" si="30"/>
        <v>0</v>
      </c>
      <c r="CY29" s="11" t="e">
        <f t="shared" si="31"/>
        <v>#DIV/0!</v>
      </c>
    </row>
    <row r="30" spans="1:103" s="10" customFormat="1" ht="20" customHeight="1">
      <c r="A30" s="14"/>
      <c r="B30" s="13" t="s">
        <v>8</v>
      </c>
      <c r="C30" s="10">
        <v>47</v>
      </c>
      <c r="D30" s="12">
        <v>48895.238095150009</v>
      </c>
      <c r="F30" s="12"/>
      <c r="G30" s="11"/>
      <c r="I30" s="14"/>
      <c r="J30" s="13" t="s">
        <v>8</v>
      </c>
      <c r="K30" s="10">
        <v>44</v>
      </c>
      <c r="L30" s="12">
        <v>39866.666666610006</v>
      </c>
      <c r="M30" s="10">
        <f t="shared" si="0"/>
        <v>-3</v>
      </c>
      <c r="N30" s="12">
        <f t="shared" si="0"/>
        <v>-9028.5714285400027</v>
      </c>
      <c r="O30" s="11">
        <f t="shared" si="1"/>
        <v>-0.18465134398099106</v>
      </c>
      <c r="Q30" s="14"/>
      <c r="R30" s="13" t="s">
        <v>8</v>
      </c>
      <c r="S30" s="10">
        <v>76</v>
      </c>
      <c r="T30" s="12">
        <v>58361.904761790014</v>
      </c>
      <c r="U30" s="10">
        <f t="shared" si="2"/>
        <v>32</v>
      </c>
      <c r="V30" s="12">
        <f t="shared" si="3"/>
        <v>18495.238095180008</v>
      </c>
      <c r="W30" s="11">
        <f t="shared" si="4"/>
        <v>0.46392737697005754</v>
      </c>
      <c r="Y30" s="14"/>
      <c r="Z30" s="13" t="s">
        <v>8</v>
      </c>
      <c r="AA30" s="10">
        <v>56</v>
      </c>
      <c r="AB30" s="12">
        <v>70249.523809409991</v>
      </c>
      <c r="AC30" s="10">
        <f t="shared" si="5"/>
        <v>-20</v>
      </c>
      <c r="AD30" s="12">
        <f t="shared" si="5"/>
        <v>11887.619047619977</v>
      </c>
      <c r="AE30" s="11">
        <f t="shared" si="6"/>
        <v>0.20368798955655218</v>
      </c>
      <c r="AG30" s="14"/>
      <c r="AH30" s="13" t="s">
        <v>8</v>
      </c>
      <c r="AI30" s="13">
        <v>65</v>
      </c>
      <c r="AJ30" s="45">
        <v>60828.571428500007</v>
      </c>
      <c r="AK30" s="10">
        <f t="shared" si="7"/>
        <v>9</v>
      </c>
      <c r="AL30" s="12">
        <f t="shared" si="7"/>
        <v>-9420.9523809099846</v>
      </c>
      <c r="AM30" s="11">
        <f t="shared" si="8"/>
        <v>-0.13410699276011376</v>
      </c>
      <c r="AO30" s="14"/>
      <c r="AP30" s="13" t="s">
        <v>8</v>
      </c>
      <c r="AQ30" s="10">
        <v>88</v>
      </c>
      <c r="AR30" s="12">
        <v>72116.190475950003</v>
      </c>
      <c r="AS30" s="10">
        <f t="shared" si="9"/>
        <v>23</v>
      </c>
      <c r="AT30" s="12">
        <f t="shared" si="9"/>
        <v>11287.619047449996</v>
      </c>
      <c r="AU30" s="11">
        <f t="shared" si="10"/>
        <v>0.18556442774129345</v>
      </c>
      <c r="AW30" s="14"/>
      <c r="AX30" s="13" t="s">
        <v>8</v>
      </c>
      <c r="AY30" s="10">
        <v>54</v>
      </c>
      <c r="AZ30" s="12">
        <v>51580.952380770002</v>
      </c>
      <c r="BA30" s="10">
        <f t="shared" si="11"/>
        <v>-34</v>
      </c>
      <c r="BB30" s="12">
        <f t="shared" si="12"/>
        <v>-20535.238095180001</v>
      </c>
      <c r="BC30" s="11">
        <f t="shared" si="13"/>
        <v>-0.28475211959550595</v>
      </c>
      <c r="BE30" s="14"/>
      <c r="BF30" s="13" t="s">
        <v>8</v>
      </c>
      <c r="BG30" s="10">
        <v>90</v>
      </c>
      <c r="BH30" s="12">
        <v>91561.904761619997</v>
      </c>
      <c r="BI30" s="10">
        <f t="shared" si="14"/>
        <v>36</v>
      </c>
      <c r="BJ30" s="12">
        <f t="shared" si="15"/>
        <v>39980.952380849994</v>
      </c>
      <c r="BK30" s="11">
        <f t="shared" si="16"/>
        <v>0.77511078286633905</v>
      </c>
      <c r="BM30" s="14"/>
      <c r="BN30" s="13" t="s">
        <v>8</v>
      </c>
      <c r="BO30" s="10">
        <v>66</v>
      </c>
      <c r="BP30" s="12">
        <v>72428.571428359995</v>
      </c>
      <c r="BQ30" s="10">
        <f t="shared" si="17"/>
        <v>-24</v>
      </c>
      <c r="BR30" s="12">
        <f t="shared" si="18"/>
        <v>-19133.333333260001</v>
      </c>
      <c r="BS30" s="11">
        <f t="shared" si="19"/>
        <v>-0.20896609111696987</v>
      </c>
      <c r="BU30" s="14"/>
      <c r="BV30" s="13" t="s">
        <v>8</v>
      </c>
      <c r="BW30" s="10">
        <v>61</v>
      </c>
      <c r="BX30" s="12">
        <v>52987</v>
      </c>
      <c r="BY30" s="10">
        <f t="shared" si="20"/>
        <v>-5</v>
      </c>
      <c r="BZ30" s="12">
        <f t="shared" si="21"/>
        <v>-19441.571428359995</v>
      </c>
      <c r="CA30" s="11">
        <f t="shared" si="22"/>
        <v>-0.26842406311423522</v>
      </c>
      <c r="CC30" s="14"/>
      <c r="CD30" s="13" t="s">
        <v>8</v>
      </c>
      <c r="CE30" s="10">
        <v>77</v>
      </c>
      <c r="CF30" s="12">
        <v>71239</v>
      </c>
      <c r="CG30" s="10">
        <f t="shared" si="23"/>
        <v>16</v>
      </c>
      <c r="CH30" s="12">
        <f t="shared" si="24"/>
        <v>18252</v>
      </c>
      <c r="CI30" s="11">
        <f t="shared" si="25"/>
        <v>0.34446184913280614</v>
      </c>
      <c r="CK30" s="14"/>
      <c r="CL30" s="13" t="s">
        <v>8</v>
      </c>
      <c r="CN30" s="12"/>
      <c r="CO30" s="10">
        <f t="shared" si="26"/>
        <v>-77</v>
      </c>
      <c r="CP30" s="12">
        <f t="shared" si="27"/>
        <v>-71239</v>
      </c>
      <c r="CQ30" s="11">
        <f t="shared" si="28"/>
        <v>-1</v>
      </c>
      <c r="CS30" s="14"/>
      <c r="CT30" s="13" t="s">
        <v>8</v>
      </c>
      <c r="CV30" s="12"/>
      <c r="CW30" s="10">
        <f t="shared" si="29"/>
        <v>0</v>
      </c>
      <c r="CX30" s="12">
        <f t="shared" si="30"/>
        <v>0</v>
      </c>
      <c r="CY30" s="11" t="e">
        <f t="shared" si="31"/>
        <v>#DIV/0!</v>
      </c>
    </row>
    <row r="31" spans="1:103" s="10" customFormat="1" ht="20" customHeight="1">
      <c r="A31" s="14"/>
      <c r="B31" s="13" t="s">
        <v>7</v>
      </c>
      <c r="C31" s="10">
        <v>13</v>
      </c>
      <c r="D31" s="12">
        <v>101304.76190474999</v>
      </c>
      <c r="F31" s="12"/>
      <c r="G31" s="11"/>
      <c r="I31" s="14"/>
      <c r="J31" s="13" t="s">
        <v>7</v>
      </c>
      <c r="K31" s="10">
        <v>15</v>
      </c>
      <c r="L31" s="12">
        <v>96999.999999989988</v>
      </c>
      <c r="M31" s="10">
        <f t="shared" si="0"/>
        <v>2</v>
      </c>
      <c r="N31" s="12">
        <f t="shared" si="0"/>
        <v>-4304.7619047600019</v>
      </c>
      <c r="O31" s="11">
        <f t="shared" si="1"/>
        <v>-4.2493184168454767E-2</v>
      </c>
      <c r="Q31" s="14"/>
      <c r="R31" s="13" t="s">
        <v>7</v>
      </c>
      <c r="S31" s="10">
        <v>9</v>
      </c>
      <c r="T31" s="12">
        <v>67773.333333319999</v>
      </c>
      <c r="U31" s="10">
        <f t="shared" si="2"/>
        <v>-6</v>
      </c>
      <c r="V31" s="12">
        <f t="shared" si="3"/>
        <v>-29226.666666669989</v>
      </c>
      <c r="W31" s="11">
        <f t="shared" si="4"/>
        <v>-0.30130584192446397</v>
      </c>
      <c r="Y31" s="14"/>
      <c r="Z31" s="13" t="s">
        <v>7</v>
      </c>
      <c r="AA31" s="10">
        <v>10</v>
      </c>
      <c r="AB31" s="12">
        <v>72761.904761889993</v>
      </c>
      <c r="AC31" s="10">
        <f t="shared" si="5"/>
        <v>1</v>
      </c>
      <c r="AD31" s="12">
        <f t="shared" si="5"/>
        <v>4988.5714285699942</v>
      </c>
      <c r="AE31" s="11">
        <f t="shared" si="6"/>
        <v>7.3606700205158998E-2</v>
      </c>
      <c r="AG31" s="14"/>
      <c r="AH31" s="13" t="s">
        <v>7</v>
      </c>
      <c r="AI31" s="13">
        <v>11</v>
      </c>
      <c r="AJ31" s="45">
        <v>62752.380952370004</v>
      </c>
      <c r="AK31" s="10">
        <f t="shared" si="7"/>
        <v>1</v>
      </c>
      <c r="AL31" s="12">
        <f t="shared" si="7"/>
        <v>-10009.523809519989</v>
      </c>
      <c r="AM31" s="11">
        <f t="shared" si="8"/>
        <v>-0.13756544502615342</v>
      </c>
      <c r="AO31" s="14"/>
      <c r="AP31" s="13" t="s">
        <v>7</v>
      </c>
      <c r="AQ31" s="10">
        <v>24</v>
      </c>
      <c r="AR31" s="12">
        <v>156914.28571423999</v>
      </c>
      <c r="AS31" s="10">
        <f t="shared" si="9"/>
        <v>13</v>
      </c>
      <c r="AT31" s="12">
        <f t="shared" si="9"/>
        <v>94161.904761869984</v>
      </c>
      <c r="AU31" s="11">
        <f t="shared" si="10"/>
        <v>1.5005311883439176</v>
      </c>
      <c r="AW31" s="14"/>
      <c r="AX31" s="13" t="s">
        <v>7</v>
      </c>
      <c r="AY31" s="10">
        <v>15</v>
      </c>
      <c r="AZ31" s="12">
        <v>99024.761904739993</v>
      </c>
      <c r="BA31" s="10">
        <f t="shared" si="11"/>
        <v>-9</v>
      </c>
      <c r="BB31" s="12">
        <f t="shared" si="12"/>
        <v>-57889.523809499995</v>
      </c>
      <c r="BC31" s="11">
        <f t="shared" si="13"/>
        <v>-0.36892449623690643</v>
      </c>
      <c r="BE31" s="14"/>
      <c r="BF31" s="13" t="s">
        <v>7</v>
      </c>
      <c r="BG31" s="10">
        <v>28</v>
      </c>
      <c r="BH31" s="12">
        <v>235447.61904753</v>
      </c>
      <c r="BI31" s="10">
        <f t="shared" si="14"/>
        <v>13</v>
      </c>
      <c r="BJ31" s="12">
        <f t="shared" si="15"/>
        <v>136422.85714278999</v>
      </c>
      <c r="BK31" s="11">
        <f t="shared" si="16"/>
        <v>1.3776640763249326</v>
      </c>
      <c r="BM31" s="14"/>
      <c r="BN31" s="13" t="s">
        <v>7</v>
      </c>
      <c r="BO31" s="10">
        <v>17</v>
      </c>
      <c r="BP31" s="12">
        <v>130314.28571421999</v>
      </c>
      <c r="BQ31" s="10">
        <f t="shared" si="17"/>
        <v>-11</v>
      </c>
      <c r="BR31" s="12">
        <f t="shared" si="18"/>
        <v>-105133.33333331</v>
      </c>
      <c r="BS31" s="11">
        <f t="shared" si="19"/>
        <v>-0.44652536202579585</v>
      </c>
      <c r="BU31" s="14"/>
      <c r="BV31" s="13" t="s">
        <v>7</v>
      </c>
      <c r="BW31" s="10">
        <v>16</v>
      </c>
      <c r="BX31" s="12">
        <v>102048</v>
      </c>
      <c r="BY31" s="10">
        <f t="shared" si="20"/>
        <v>-1</v>
      </c>
      <c r="BZ31" s="12">
        <f t="shared" si="21"/>
        <v>-28266.285714219994</v>
      </c>
      <c r="CA31" s="11">
        <f t="shared" si="22"/>
        <v>-0.21690857268103458</v>
      </c>
      <c r="CC31" s="14"/>
      <c r="CD31" s="13" t="s">
        <v>7</v>
      </c>
      <c r="CE31" s="10">
        <v>13</v>
      </c>
      <c r="CF31" s="12">
        <v>84733</v>
      </c>
      <c r="CG31" s="10">
        <f t="shared" si="23"/>
        <v>-3</v>
      </c>
      <c r="CH31" s="12">
        <f t="shared" si="24"/>
        <v>-17315</v>
      </c>
      <c r="CI31" s="11">
        <f t="shared" si="25"/>
        <v>-0.16967505487613671</v>
      </c>
      <c r="CK31" s="14"/>
      <c r="CL31" s="13" t="s">
        <v>7</v>
      </c>
      <c r="CN31" s="12"/>
      <c r="CO31" s="10">
        <f t="shared" si="26"/>
        <v>-13</v>
      </c>
      <c r="CP31" s="12">
        <f t="shared" si="27"/>
        <v>-84733</v>
      </c>
      <c r="CQ31" s="11">
        <f t="shared" si="28"/>
        <v>-1</v>
      </c>
      <c r="CS31" s="14"/>
      <c r="CT31" s="13" t="s">
        <v>7</v>
      </c>
      <c r="CV31" s="12"/>
      <c r="CW31" s="10">
        <f t="shared" si="29"/>
        <v>0</v>
      </c>
      <c r="CX31" s="12">
        <f t="shared" si="30"/>
        <v>0</v>
      </c>
      <c r="CY31" s="11" t="e">
        <f t="shared" si="31"/>
        <v>#DIV/0!</v>
      </c>
    </row>
    <row r="32" spans="1:103" s="10" customFormat="1" ht="20" customHeight="1">
      <c r="A32" s="14"/>
      <c r="B32" s="13" t="s">
        <v>6</v>
      </c>
      <c r="C32" s="10">
        <v>13</v>
      </c>
      <c r="D32" s="12">
        <v>164190.47619043002</v>
      </c>
      <c r="F32" s="12"/>
      <c r="G32" s="11"/>
      <c r="I32" s="14"/>
      <c r="J32" s="13" t="s">
        <v>6</v>
      </c>
      <c r="K32" s="10">
        <v>9</v>
      </c>
      <c r="L32" s="12">
        <v>110571.4285714</v>
      </c>
      <c r="M32" s="10">
        <f t="shared" si="0"/>
        <v>-4</v>
      </c>
      <c r="N32" s="12">
        <f t="shared" si="0"/>
        <v>-53619.047619030025</v>
      </c>
      <c r="O32" s="11">
        <f t="shared" si="1"/>
        <v>-0.32656612529000789</v>
      </c>
      <c r="Q32" s="14"/>
      <c r="R32" s="13" t="s">
        <v>6</v>
      </c>
      <c r="S32" s="10">
        <v>8</v>
      </c>
      <c r="T32" s="12">
        <v>82761.904761879996</v>
      </c>
      <c r="U32" s="10">
        <f t="shared" si="2"/>
        <v>-1</v>
      </c>
      <c r="V32" s="12">
        <f t="shared" si="3"/>
        <v>-27809.523809520004</v>
      </c>
      <c r="W32" s="11">
        <f t="shared" si="4"/>
        <v>-0.25150732127479369</v>
      </c>
      <c r="Y32" s="14"/>
      <c r="Z32" s="13" t="s">
        <v>6</v>
      </c>
      <c r="AA32" s="10">
        <v>13</v>
      </c>
      <c r="AB32" s="12">
        <v>151142.85714281999</v>
      </c>
      <c r="AC32" s="10">
        <f t="shared" si="5"/>
        <v>5</v>
      </c>
      <c r="AD32" s="12">
        <f t="shared" si="5"/>
        <v>68380.952380939998</v>
      </c>
      <c r="AE32" s="11">
        <f t="shared" si="6"/>
        <v>0.82623705408525294</v>
      </c>
      <c r="AG32" s="14"/>
      <c r="AH32" s="13" t="s">
        <v>6</v>
      </c>
      <c r="AI32" s="13">
        <v>12</v>
      </c>
      <c r="AJ32" s="45">
        <v>159809.52380948002</v>
      </c>
      <c r="AK32" s="10">
        <f t="shared" si="7"/>
        <v>-1</v>
      </c>
      <c r="AL32" s="12">
        <f t="shared" si="7"/>
        <v>8666.6666666600213</v>
      </c>
      <c r="AM32" s="11">
        <f t="shared" si="8"/>
        <v>5.7340894769976426E-2</v>
      </c>
      <c r="AO32" s="14"/>
      <c r="AP32" s="13" t="s">
        <v>6</v>
      </c>
      <c r="AQ32" s="10">
        <v>8</v>
      </c>
      <c r="AR32" s="12">
        <v>99904.761904709987</v>
      </c>
      <c r="AS32" s="10">
        <f t="shared" si="9"/>
        <v>-4</v>
      </c>
      <c r="AT32" s="12">
        <f t="shared" si="9"/>
        <v>-59904.761904770028</v>
      </c>
      <c r="AU32" s="11">
        <f t="shared" si="10"/>
        <v>-0.37485101311099978</v>
      </c>
      <c r="AW32" s="14"/>
      <c r="AX32" s="13" t="s">
        <v>6</v>
      </c>
      <c r="AY32" s="10">
        <v>14</v>
      </c>
      <c r="AZ32" s="12">
        <v>174285.71428565</v>
      </c>
      <c r="BA32" s="10">
        <f t="shared" si="11"/>
        <v>6</v>
      </c>
      <c r="BB32" s="12">
        <f t="shared" si="12"/>
        <v>74380.952380940013</v>
      </c>
      <c r="BC32" s="11">
        <f t="shared" si="13"/>
        <v>0.74451858913277025</v>
      </c>
      <c r="BE32" s="14"/>
      <c r="BF32" s="13" t="s">
        <v>6</v>
      </c>
      <c r="BG32" s="10">
        <v>8</v>
      </c>
      <c r="BH32" s="12">
        <v>91619.047619010002</v>
      </c>
      <c r="BI32" s="10">
        <f t="shared" si="14"/>
        <v>-6</v>
      </c>
      <c r="BJ32" s="12">
        <f t="shared" si="15"/>
        <v>-82666.666666639998</v>
      </c>
      <c r="BK32" s="11">
        <f t="shared" si="16"/>
        <v>-0.47431693989073231</v>
      </c>
      <c r="BM32" s="14"/>
      <c r="BN32" s="13" t="s">
        <v>6</v>
      </c>
      <c r="BO32" s="10">
        <v>8</v>
      </c>
      <c r="BP32" s="12">
        <v>83999.999999959997</v>
      </c>
      <c r="BQ32" s="10">
        <f t="shared" si="17"/>
        <v>0</v>
      </c>
      <c r="BR32" s="12">
        <f t="shared" si="18"/>
        <v>-7619.0476190500049</v>
      </c>
      <c r="BS32" s="11">
        <f t="shared" si="19"/>
        <v>-8.3160083160143339E-2</v>
      </c>
      <c r="BU32" s="14"/>
      <c r="BV32" s="13" t="s">
        <v>6</v>
      </c>
      <c r="BW32" s="10">
        <v>3</v>
      </c>
      <c r="BX32" s="12">
        <v>27333</v>
      </c>
      <c r="BY32" s="10">
        <f t="shared" si="20"/>
        <v>-5</v>
      </c>
      <c r="BZ32" s="12">
        <f t="shared" si="21"/>
        <v>-56666.999999959997</v>
      </c>
      <c r="CA32" s="11">
        <f t="shared" si="22"/>
        <v>-0.67460714285698786</v>
      </c>
      <c r="CC32" s="14"/>
      <c r="CD32" s="13" t="s">
        <v>6</v>
      </c>
      <c r="CE32" s="10">
        <v>1</v>
      </c>
      <c r="CF32" s="12">
        <v>7524</v>
      </c>
      <c r="CG32" s="10">
        <f t="shared" si="23"/>
        <v>-2</v>
      </c>
      <c r="CH32" s="12">
        <f t="shared" si="24"/>
        <v>-19809</v>
      </c>
      <c r="CI32" s="11">
        <f t="shared" si="25"/>
        <v>-0.72472835034573591</v>
      </c>
      <c r="CK32" s="14"/>
      <c r="CL32" s="13" t="s">
        <v>6</v>
      </c>
      <c r="CN32" s="12"/>
      <c r="CO32" s="10">
        <f t="shared" si="26"/>
        <v>-1</v>
      </c>
      <c r="CP32" s="12">
        <f t="shared" si="27"/>
        <v>-7524</v>
      </c>
      <c r="CQ32" s="11">
        <f t="shared" si="28"/>
        <v>-1</v>
      </c>
      <c r="CS32" s="14"/>
      <c r="CT32" s="13" t="s">
        <v>6</v>
      </c>
      <c r="CV32" s="12"/>
      <c r="CW32" s="10">
        <f t="shared" si="29"/>
        <v>0</v>
      </c>
      <c r="CX32" s="12">
        <f t="shared" si="30"/>
        <v>0</v>
      </c>
      <c r="CY32" s="11" t="e">
        <f t="shared" si="31"/>
        <v>#DIV/0!</v>
      </c>
    </row>
    <row r="33" spans="1:103" s="10" customFormat="1" ht="20" customHeight="1">
      <c r="A33" s="14"/>
      <c r="B33" s="13" t="s">
        <v>5</v>
      </c>
      <c r="C33" s="10">
        <v>4</v>
      </c>
      <c r="D33" s="12">
        <v>14760</v>
      </c>
      <c r="F33" s="12"/>
      <c r="G33" s="11"/>
      <c r="I33" s="14"/>
      <c r="J33" s="13" t="s">
        <v>5</v>
      </c>
      <c r="K33" s="10">
        <v>2</v>
      </c>
      <c r="L33" s="12">
        <v>3880</v>
      </c>
      <c r="M33" s="10">
        <f t="shared" si="0"/>
        <v>-2</v>
      </c>
      <c r="N33" s="12">
        <f t="shared" si="0"/>
        <v>-10880</v>
      </c>
      <c r="O33" s="11">
        <f t="shared" si="1"/>
        <v>-0.73712737127371275</v>
      </c>
      <c r="Q33" s="14"/>
      <c r="R33" s="13" t="s">
        <v>5</v>
      </c>
      <c r="S33" s="10">
        <v>3</v>
      </c>
      <c r="T33" s="12">
        <v>13970</v>
      </c>
      <c r="U33" s="10">
        <f t="shared" si="2"/>
        <v>1</v>
      </c>
      <c r="V33" s="12">
        <f t="shared" si="3"/>
        <v>10090</v>
      </c>
      <c r="W33" s="11">
        <f t="shared" si="4"/>
        <v>2.6005154639175259</v>
      </c>
      <c r="Y33" s="14"/>
      <c r="Z33" s="13" t="s">
        <v>5</v>
      </c>
      <c r="AA33" s="10">
        <v>1</v>
      </c>
      <c r="AB33" s="12">
        <v>4890</v>
      </c>
      <c r="AC33" s="10">
        <f t="shared" si="5"/>
        <v>-2</v>
      </c>
      <c r="AD33" s="12">
        <f t="shared" si="5"/>
        <v>-9080</v>
      </c>
      <c r="AE33" s="11">
        <f t="shared" si="6"/>
        <v>-0.64996420901932717</v>
      </c>
      <c r="AG33" s="14"/>
      <c r="AH33" s="13" t="s">
        <v>5</v>
      </c>
      <c r="AI33" s="52">
        <v>0</v>
      </c>
      <c r="AJ33" s="45">
        <v>0</v>
      </c>
      <c r="AK33" s="10">
        <f t="shared" si="7"/>
        <v>-1</v>
      </c>
      <c r="AL33" s="12">
        <f t="shared" si="7"/>
        <v>-4890</v>
      </c>
      <c r="AM33" s="11">
        <f t="shared" si="8"/>
        <v>-1</v>
      </c>
      <c r="AO33" s="14"/>
      <c r="AP33" s="13" t="s">
        <v>5</v>
      </c>
      <c r="AQ33" s="10">
        <v>0</v>
      </c>
      <c r="AR33" s="12">
        <v>0</v>
      </c>
      <c r="AS33" s="10">
        <f t="shared" si="9"/>
        <v>0</v>
      </c>
      <c r="AT33" s="12">
        <f t="shared" si="9"/>
        <v>0</v>
      </c>
      <c r="AU33" s="11" t="e">
        <f t="shared" si="10"/>
        <v>#DIV/0!</v>
      </c>
      <c r="AW33" s="14"/>
      <c r="AX33" s="13" t="s">
        <v>5</v>
      </c>
      <c r="AY33" s="10">
        <v>2</v>
      </c>
      <c r="AZ33" s="12">
        <v>18980</v>
      </c>
      <c r="BA33" s="10">
        <f t="shared" si="11"/>
        <v>2</v>
      </c>
      <c r="BB33" s="12">
        <f t="shared" si="12"/>
        <v>18980</v>
      </c>
      <c r="BC33" s="11" t="e">
        <f t="shared" si="13"/>
        <v>#DIV/0!</v>
      </c>
      <c r="BE33" s="14"/>
      <c r="BF33" s="13" t="s">
        <v>5</v>
      </c>
      <c r="BG33" s="10">
        <v>2</v>
      </c>
      <c r="BH33" s="12">
        <v>11280</v>
      </c>
      <c r="BI33" s="10">
        <f t="shared" si="14"/>
        <v>0</v>
      </c>
      <c r="BJ33" s="12">
        <f t="shared" si="15"/>
        <v>-7700</v>
      </c>
      <c r="BK33" s="11">
        <f t="shared" si="16"/>
        <v>-0.40569020021074814</v>
      </c>
      <c r="BM33" s="14"/>
      <c r="BN33" s="13" t="s">
        <v>5</v>
      </c>
      <c r="BO33" s="10">
        <v>1</v>
      </c>
      <c r="BP33" s="12">
        <v>990</v>
      </c>
      <c r="BQ33" s="10">
        <f t="shared" si="17"/>
        <v>-1</v>
      </c>
      <c r="BR33" s="12">
        <f t="shared" si="18"/>
        <v>-10290</v>
      </c>
      <c r="BS33" s="11">
        <f t="shared" si="19"/>
        <v>-0.91223404255319152</v>
      </c>
      <c r="BU33" s="14"/>
      <c r="BV33" s="13" t="s">
        <v>5</v>
      </c>
      <c r="BW33" s="10">
        <v>0</v>
      </c>
      <c r="BX33" s="12">
        <v>0</v>
      </c>
      <c r="BY33" s="10">
        <f t="shared" si="20"/>
        <v>-1</v>
      </c>
      <c r="BZ33" s="12">
        <f t="shared" si="21"/>
        <v>-990</v>
      </c>
      <c r="CA33" s="11">
        <f t="shared" si="22"/>
        <v>-1</v>
      </c>
      <c r="CC33" s="14"/>
      <c r="CD33" s="13" t="s">
        <v>5</v>
      </c>
      <c r="CE33" s="10">
        <v>5</v>
      </c>
      <c r="CF33" s="12">
        <v>20650</v>
      </c>
      <c r="CG33" s="10">
        <f t="shared" si="23"/>
        <v>5</v>
      </c>
      <c r="CH33" s="12">
        <f t="shared" si="24"/>
        <v>20650</v>
      </c>
      <c r="CI33" s="11" t="e">
        <f t="shared" si="25"/>
        <v>#DIV/0!</v>
      </c>
      <c r="CK33" s="14"/>
      <c r="CL33" s="13" t="s">
        <v>5</v>
      </c>
      <c r="CN33" s="12"/>
      <c r="CO33" s="10">
        <f t="shared" si="26"/>
        <v>-5</v>
      </c>
      <c r="CP33" s="12">
        <f t="shared" si="27"/>
        <v>-20650</v>
      </c>
      <c r="CQ33" s="11">
        <f t="shared" si="28"/>
        <v>-1</v>
      </c>
      <c r="CS33" s="14"/>
      <c r="CT33" s="13" t="s">
        <v>5</v>
      </c>
      <c r="CV33" s="12"/>
      <c r="CW33" s="10">
        <f t="shared" si="29"/>
        <v>0</v>
      </c>
      <c r="CX33" s="12">
        <f t="shared" si="30"/>
        <v>0</v>
      </c>
      <c r="CY33" s="11" t="e">
        <f t="shared" si="31"/>
        <v>#DIV/0!</v>
      </c>
    </row>
    <row r="34" spans="1:103" s="10" customFormat="1" ht="20" customHeight="1">
      <c r="A34" s="14"/>
      <c r="B34" s="13" t="s">
        <v>4</v>
      </c>
      <c r="C34" s="10">
        <v>3</v>
      </c>
      <c r="D34" s="12">
        <v>124759.04761904001</v>
      </c>
      <c r="F34" s="12"/>
      <c r="G34" s="11"/>
      <c r="I34" s="14"/>
      <c r="J34" s="13" t="s">
        <v>4</v>
      </c>
      <c r="K34" s="10">
        <v>7</v>
      </c>
      <c r="L34" s="12">
        <v>198380.95238093002</v>
      </c>
      <c r="M34" s="10">
        <f t="shared" si="0"/>
        <v>4</v>
      </c>
      <c r="N34" s="12">
        <f t="shared" si="0"/>
        <v>73621.904761890008</v>
      </c>
      <c r="O34" s="11">
        <f t="shared" si="1"/>
        <v>0.59011275067359725</v>
      </c>
      <c r="Q34" s="14"/>
      <c r="R34" s="13" t="s">
        <v>4</v>
      </c>
      <c r="S34" s="10">
        <v>6</v>
      </c>
      <c r="T34" s="12">
        <v>195185.71428568999</v>
      </c>
      <c r="U34" s="10">
        <f t="shared" si="2"/>
        <v>-1</v>
      </c>
      <c r="V34" s="12">
        <f t="shared" si="3"/>
        <v>-3195.2380952400272</v>
      </c>
      <c r="W34" s="11">
        <f t="shared" si="4"/>
        <v>-1.6106577052339928E-2</v>
      </c>
      <c r="Y34" s="14"/>
      <c r="Z34" s="13" t="s">
        <v>4</v>
      </c>
      <c r="AA34" s="10">
        <v>2</v>
      </c>
      <c r="AB34" s="12">
        <v>122190.47619046</v>
      </c>
      <c r="AC34" s="10">
        <f t="shared" si="5"/>
        <v>-4</v>
      </c>
      <c r="AD34" s="12">
        <f t="shared" si="5"/>
        <v>-72995.238095229986</v>
      </c>
      <c r="AE34" s="11">
        <f t="shared" si="6"/>
        <v>-0.37397838444461212</v>
      </c>
      <c r="AG34" s="14"/>
      <c r="AH34" s="13" t="s">
        <v>4</v>
      </c>
      <c r="AI34" s="13">
        <v>2</v>
      </c>
      <c r="AJ34" s="45">
        <v>56952.380952370004</v>
      </c>
      <c r="AK34" s="10">
        <f t="shared" si="7"/>
        <v>0</v>
      </c>
      <c r="AL34" s="12">
        <f t="shared" si="7"/>
        <v>-65238.095238089998</v>
      </c>
      <c r="AM34" s="11">
        <f t="shared" si="8"/>
        <v>-0.53390491036635679</v>
      </c>
      <c r="AO34" s="14"/>
      <c r="AP34" s="13" t="s">
        <v>4</v>
      </c>
      <c r="AQ34" s="10">
        <v>2</v>
      </c>
      <c r="AR34" s="12">
        <v>49333.333333319999</v>
      </c>
      <c r="AS34" s="10">
        <f t="shared" si="9"/>
        <v>0</v>
      </c>
      <c r="AT34" s="12">
        <f t="shared" si="9"/>
        <v>-7619.0476190500049</v>
      </c>
      <c r="AU34" s="11">
        <f t="shared" si="10"/>
        <v>-0.13377926421411443</v>
      </c>
      <c r="AW34" s="14"/>
      <c r="AX34" s="13" t="s">
        <v>4</v>
      </c>
      <c r="AY34" s="10">
        <v>2</v>
      </c>
      <c r="AZ34" s="12">
        <v>128735.23809523</v>
      </c>
      <c r="BA34" s="10">
        <f t="shared" si="11"/>
        <v>0</v>
      </c>
      <c r="BB34" s="12">
        <f t="shared" si="12"/>
        <v>79401.904761910002</v>
      </c>
      <c r="BC34" s="11">
        <f t="shared" si="13"/>
        <v>1.6094980694986107</v>
      </c>
      <c r="BE34" s="14"/>
      <c r="BF34" s="13" t="s">
        <v>4</v>
      </c>
      <c r="BG34" s="10">
        <v>5</v>
      </c>
      <c r="BH34" s="12">
        <v>210856.19047617001</v>
      </c>
      <c r="BI34" s="10">
        <f t="shared" si="14"/>
        <v>3</v>
      </c>
      <c r="BJ34" s="12">
        <f t="shared" si="15"/>
        <v>82120.952380940013</v>
      </c>
      <c r="BK34" s="11">
        <f t="shared" si="16"/>
        <v>0.63790577930335002</v>
      </c>
      <c r="BM34" s="14"/>
      <c r="BN34" s="13" t="s">
        <v>4</v>
      </c>
      <c r="BO34" s="10">
        <v>3</v>
      </c>
      <c r="BP34" s="12">
        <v>70190.476190460002</v>
      </c>
      <c r="BQ34" s="10">
        <f t="shared" si="17"/>
        <v>-2</v>
      </c>
      <c r="BR34" s="12">
        <f t="shared" si="18"/>
        <v>-140665.71428571001</v>
      </c>
      <c r="BS34" s="11">
        <f t="shared" si="19"/>
        <v>-0.66711683431275592</v>
      </c>
      <c r="BU34" s="14"/>
      <c r="BV34" s="13" t="s">
        <v>4</v>
      </c>
      <c r="BW34" s="10">
        <v>6</v>
      </c>
      <c r="BX34" s="12">
        <v>173517</v>
      </c>
      <c r="BY34" s="10">
        <f t="shared" ref="BY34:BY60" si="32">BW34-BO34</f>
        <v>3</v>
      </c>
      <c r="BZ34" s="12">
        <f t="shared" si="21"/>
        <v>103326.52380954</v>
      </c>
      <c r="CA34" s="11">
        <f t="shared" si="22"/>
        <v>1.4720875169612215</v>
      </c>
      <c r="CC34" s="14"/>
      <c r="CD34" s="13" t="s">
        <v>4</v>
      </c>
      <c r="CE34" s="10">
        <v>4</v>
      </c>
      <c r="CF34" s="12">
        <v>116713</v>
      </c>
      <c r="CG34" s="10">
        <f t="shared" si="23"/>
        <v>-2</v>
      </c>
      <c r="CH34" s="12">
        <f t="shared" si="24"/>
        <v>-56804</v>
      </c>
      <c r="CI34" s="11">
        <f t="shared" si="25"/>
        <v>-0.32736849991643469</v>
      </c>
      <c r="CK34" s="14"/>
      <c r="CL34" s="13" t="s">
        <v>4</v>
      </c>
      <c r="CN34" s="12"/>
      <c r="CO34" s="10">
        <f t="shared" si="26"/>
        <v>-4</v>
      </c>
      <c r="CP34" s="12">
        <f t="shared" si="27"/>
        <v>-116713</v>
      </c>
      <c r="CQ34" s="11">
        <f t="shared" si="28"/>
        <v>-1</v>
      </c>
      <c r="CS34" s="14"/>
      <c r="CT34" s="13" t="s">
        <v>4</v>
      </c>
      <c r="CV34" s="12"/>
      <c r="CW34" s="10">
        <f t="shared" si="29"/>
        <v>0</v>
      </c>
      <c r="CX34" s="12">
        <f t="shared" si="30"/>
        <v>0</v>
      </c>
      <c r="CY34" s="11" t="e">
        <f t="shared" si="31"/>
        <v>#DIV/0!</v>
      </c>
    </row>
    <row r="35" spans="1:103" s="10" customFormat="1" ht="20" customHeight="1">
      <c r="A35" s="14"/>
      <c r="B35" s="13" t="s">
        <v>3</v>
      </c>
      <c r="C35" s="10">
        <v>8</v>
      </c>
      <c r="D35" s="12">
        <v>145714.28571425998</v>
      </c>
      <c r="F35" s="12"/>
      <c r="G35" s="11"/>
      <c r="I35" s="14"/>
      <c r="J35" s="13" t="s">
        <v>3</v>
      </c>
      <c r="K35" s="10">
        <v>5</v>
      </c>
      <c r="L35" s="12">
        <v>116190.47619044999</v>
      </c>
      <c r="M35" s="10">
        <f t="shared" si="0"/>
        <v>-3</v>
      </c>
      <c r="N35" s="12">
        <f t="shared" si="0"/>
        <v>-29523.809523809992</v>
      </c>
      <c r="O35" s="11">
        <f t="shared" si="1"/>
        <v>-0.20261437908500632</v>
      </c>
      <c r="Q35" s="14"/>
      <c r="R35" s="13" t="s">
        <v>3</v>
      </c>
      <c r="S35" s="10">
        <v>3</v>
      </c>
      <c r="T35" s="12">
        <v>64952.380952359992</v>
      </c>
      <c r="U35" s="10">
        <f t="shared" si="2"/>
        <v>-2</v>
      </c>
      <c r="V35" s="12">
        <f t="shared" si="3"/>
        <v>-51238.095238089998</v>
      </c>
      <c r="W35" s="11">
        <f t="shared" si="4"/>
        <v>-0.44098360655743141</v>
      </c>
      <c r="Y35" s="14"/>
      <c r="Z35" s="13" t="s">
        <v>3</v>
      </c>
      <c r="AA35" s="10">
        <v>6</v>
      </c>
      <c r="AB35" s="12">
        <v>134666.66666663002</v>
      </c>
      <c r="AC35" s="10">
        <f t="shared" si="5"/>
        <v>3</v>
      </c>
      <c r="AD35" s="12">
        <f t="shared" si="5"/>
        <v>69714.285714270023</v>
      </c>
      <c r="AE35" s="11">
        <f t="shared" si="6"/>
        <v>1.0733137829913071</v>
      </c>
      <c r="AG35" s="14"/>
      <c r="AH35" s="13" t="s">
        <v>3</v>
      </c>
      <c r="AI35" s="13">
        <v>7</v>
      </c>
      <c r="AJ35" s="45">
        <v>134571.4285714</v>
      </c>
      <c r="AK35" s="10">
        <f t="shared" si="7"/>
        <v>1</v>
      </c>
      <c r="AL35" s="12">
        <f t="shared" si="7"/>
        <v>-95.23809523001546</v>
      </c>
      <c r="AM35" s="11">
        <f t="shared" si="8"/>
        <v>-7.0721357844090134E-4</v>
      </c>
      <c r="AO35" s="14"/>
      <c r="AP35" s="13" t="s">
        <v>3</v>
      </c>
      <c r="AQ35" s="10">
        <v>13</v>
      </c>
      <c r="AR35" s="12">
        <v>359714.28571423999</v>
      </c>
      <c r="AS35" s="10">
        <f t="shared" si="9"/>
        <v>6</v>
      </c>
      <c r="AT35" s="12">
        <f t="shared" si="9"/>
        <v>225142.85714283999</v>
      </c>
      <c r="AU35" s="11">
        <f t="shared" si="10"/>
        <v>1.6730360934184867</v>
      </c>
      <c r="AW35" s="14"/>
      <c r="AX35" s="13" t="s">
        <v>3</v>
      </c>
      <c r="AY35" s="10">
        <v>3</v>
      </c>
      <c r="AZ35" s="12">
        <v>52095.238095219996</v>
      </c>
      <c r="BA35" s="10">
        <f t="shared" si="11"/>
        <v>-10</v>
      </c>
      <c r="BB35" s="12">
        <f t="shared" si="12"/>
        <v>-307619.04761901998</v>
      </c>
      <c r="BC35" s="11">
        <f t="shared" si="13"/>
        <v>-0.85517606566060911</v>
      </c>
      <c r="BE35" s="14"/>
      <c r="BF35" s="13" t="s">
        <v>3</v>
      </c>
      <c r="BG35" s="10">
        <v>9</v>
      </c>
      <c r="BH35" s="12">
        <v>225619.04761899999</v>
      </c>
      <c r="BI35" s="10">
        <f t="shared" si="14"/>
        <v>6</v>
      </c>
      <c r="BJ35" s="12">
        <f t="shared" si="15"/>
        <v>173523.80952377999</v>
      </c>
      <c r="BK35" s="11">
        <f t="shared" si="16"/>
        <v>3.330895795247391</v>
      </c>
      <c r="BM35" s="14"/>
      <c r="BN35" s="13" t="s">
        <v>3</v>
      </c>
      <c r="BO35" s="10">
        <v>5</v>
      </c>
      <c r="BP35" s="12">
        <v>160476.19047617001</v>
      </c>
      <c r="BQ35" s="10">
        <f t="shared" si="17"/>
        <v>-4</v>
      </c>
      <c r="BR35" s="12">
        <f t="shared" si="18"/>
        <v>-65142.857142829977</v>
      </c>
      <c r="BS35" s="11">
        <f t="shared" si="19"/>
        <v>-0.28872942169685906</v>
      </c>
      <c r="BU35" s="14"/>
      <c r="BV35" s="13" t="s">
        <v>3</v>
      </c>
      <c r="BW35" s="10">
        <v>6</v>
      </c>
      <c r="BX35" s="12">
        <v>121143</v>
      </c>
      <c r="BY35" s="10">
        <f t="shared" si="32"/>
        <v>1</v>
      </c>
      <c r="BZ35" s="12">
        <f t="shared" si="21"/>
        <v>-39333.190476170013</v>
      </c>
      <c r="CA35" s="11">
        <f t="shared" si="22"/>
        <v>-0.24510296735895418</v>
      </c>
      <c r="CC35" s="14"/>
      <c r="CD35" s="13" t="s">
        <v>3</v>
      </c>
      <c r="CE35" s="10">
        <v>9</v>
      </c>
      <c r="CF35" s="12">
        <v>247714</v>
      </c>
      <c r="CG35" s="10">
        <f t="shared" si="23"/>
        <v>3</v>
      </c>
      <c r="CH35" s="12">
        <f t="shared" si="24"/>
        <v>126571</v>
      </c>
      <c r="CI35" s="11">
        <f t="shared" si="25"/>
        <v>1.044806550935671</v>
      </c>
      <c r="CK35" s="14"/>
      <c r="CL35" s="13" t="s">
        <v>3</v>
      </c>
      <c r="CN35" s="12"/>
      <c r="CO35" s="10">
        <f t="shared" si="26"/>
        <v>-9</v>
      </c>
      <c r="CP35" s="12">
        <f t="shared" si="27"/>
        <v>-247714</v>
      </c>
      <c r="CQ35" s="11">
        <f t="shared" si="28"/>
        <v>-1</v>
      </c>
      <c r="CS35" s="14"/>
      <c r="CT35" s="13" t="s">
        <v>3</v>
      </c>
      <c r="CV35" s="12"/>
      <c r="CW35" s="10">
        <f t="shared" si="29"/>
        <v>0</v>
      </c>
      <c r="CX35" s="12">
        <f t="shared" si="30"/>
        <v>0</v>
      </c>
      <c r="CY35" s="11" t="e">
        <f t="shared" si="31"/>
        <v>#DIV/0!</v>
      </c>
    </row>
    <row r="36" spans="1:103" s="10" customFormat="1" ht="20" customHeight="1">
      <c r="A36" s="14"/>
      <c r="B36" s="13" t="s">
        <v>2</v>
      </c>
      <c r="C36" s="10">
        <v>14</v>
      </c>
      <c r="D36" s="12">
        <v>506285.71428568999</v>
      </c>
      <c r="F36" s="12"/>
      <c r="G36" s="11"/>
      <c r="I36" s="14"/>
      <c r="J36" s="13" t="s">
        <v>2</v>
      </c>
      <c r="K36" s="10">
        <v>13</v>
      </c>
      <c r="L36" s="12">
        <v>416857.14285712998</v>
      </c>
      <c r="M36" s="10">
        <f t="shared" si="0"/>
        <v>-1</v>
      </c>
      <c r="N36" s="12">
        <f t="shared" si="0"/>
        <v>-89428.571428560012</v>
      </c>
      <c r="O36" s="11">
        <f t="shared" si="1"/>
        <v>-0.1766365688487444</v>
      </c>
      <c r="Q36" s="14"/>
      <c r="R36" s="13" t="s">
        <v>2</v>
      </c>
      <c r="S36" s="10">
        <v>20</v>
      </c>
      <c r="T36" s="12">
        <v>598095.23809520993</v>
      </c>
      <c r="U36" s="10">
        <f t="shared" si="2"/>
        <v>7</v>
      </c>
      <c r="V36" s="12">
        <f t="shared" si="3"/>
        <v>181238.09523807996</v>
      </c>
      <c r="W36" s="11">
        <f t="shared" si="4"/>
        <v>0.43477267534838893</v>
      </c>
      <c r="Y36" s="14"/>
      <c r="Z36" s="13" t="s">
        <v>2</v>
      </c>
      <c r="AA36" s="10">
        <v>13</v>
      </c>
      <c r="AB36" s="12">
        <v>440666.66666664998</v>
      </c>
      <c r="AC36" s="10">
        <f t="shared" si="5"/>
        <v>-7</v>
      </c>
      <c r="AD36" s="12">
        <f t="shared" si="5"/>
        <v>-157428.57142855995</v>
      </c>
      <c r="AE36" s="11">
        <f t="shared" si="6"/>
        <v>-0.26321656050954734</v>
      </c>
      <c r="AG36" s="14"/>
      <c r="AH36" s="13" t="s">
        <v>2</v>
      </c>
      <c r="AI36" s="13">
        <v>19</v>
      </c>
      <c r="AJ36" s="45">
        <v>767812.38095233997</v>
      </c>
      <c r="AK36" s="10">
        <f t="shared" si="7"/>
        <v>6</v>
      </c>
      <c r="AL36" s="12">
        <f t="shared" si="7"/>
        <v>327145.71428568999</v>
      </c>
      <c r="AM36" s="11">
        <f t="shared" si="8"/>
        <v>0.74238815647284961</v>
      </c>
      <c r="AO36" s="14"/>
      <c r="AP36" s="13" t="s">
        <v>2</v>
      </c>
      <c r="AQ36" s="10">
        <v>10</v>
      </c>
      <c r="AR36" s="12">
        <v>352479.04761903</v>
      </c>
      <c r="AS36" s="10">
        <f t="shared" si="9"/>
        <v>-9</v>
      </c>
      <c r="AT36" s="12">
        <f t="shared" si="9"/>
        <v>-415333.33333330997</v>
      </c>
      <c r="AU36" s="11">
        <f t="shared" si="10"/>
        <v>-0.54093075813411606</v>
      </c>
      <c r="AW36" s="14"/>
      <c r="AX36" s="13" t="s">
        <v>2</v>
      </c>
      <c r="AY36" s="10">
        <v>16</v>
      </c>
      <c r="AZ36" s="12">
        <v>648098.09523805999</v>
      </c>
      <c r="BA36" s="10">
        <f t="shared" si="11"/>
        <v>6</v>
      </c>
      <c r="BB36" s="12">
        <f t="shared" si="12"/>
        <v>295619.04761903</v>
      </c>
      <c r="BC36" s="11">
        <f t="shared" si="13"/>
        <v>0.83868544702419867</v>
      </c>
      <c r="BE36" s="14"/>
      <c r="BF36" s="13" t="s">
        <v>2</v>
      </c>
      <c r="BG36" s="10">
        <v>8</v>
      </c>
      <c r="BH36" s="12">
        <v>314476.19047615997</v>
      </c>
      <c r="BI36" s="10">
        <f t="shared" si="14"/>
        <v>-8</v>
      </c>
      <c r="BJ36" s="12">
        <f t="shared" si="15"/>
        <v>-333621.90476190002</v>
      </c>
      <c r="BK36" s="11">
        <f t="shared" si="16"/>
        <v>-0.51477069167955769</v>
      </c>
      <c r="BM36" s="14"/>
      <c r="BN36" s="13" t="s">
        <v>2</v>
      </c>
      <c r="BO36" s="10">
        <v>8</v>
      </c>
      <c r="BP36" s="12">
        <v>280190.47619045997</v>
      </c>
      <c r="BQ36" s="10">
        <f t="shared" si="17"/>
        <v>0</v>
      </c>
      <c r="BR36" s="12">
        <f t="shared" si="18"/>
        <v>-34285.7142857</v>
      </c>
      <c r="BS36" s="11">
        <f t="shared" si="19"/>
        <v>-0.1090248334342474</v>
      </c>
      <c r="BU36" s="14"/>
      <c r="BV36" s="13" t="s">
        <v>2</v>
      </c>
      <c r="BW36" s="10">
        <v>9</v>
      </c>
      <c r="BX36" s="12">
        <v>324290</v>
      </c>
      <c r="BY36" s="10">
        <f t="shared" si="32"/>
        <v>1</v>
      </c>
      <c r="BZ36" s="12">
        <f t="shared" si="21"/>
        <v>44099.523809540027</v>
      </c>
      <c r="CA36" s="11">
        <f t="shared" si="22"/>
        <v>0.15739123045553946</v>
      </c>
      <c r="CC36" s="14"/>
      <c r="CD36" s="13" t="s">
        <v>2</v>
      </c>
      <c r="CE36" s="10">
        <v>4</v>
      </c>
      <c r="CF36" s="12">
        <v>142476</v>
      </c>
      <c r="CG36" s="10">
        <f t="shared" si="23"/>
        <v>-5</v>
      </c>
      <c r="CH36" s="12">
        <f t="shared" si="24"/>
        <v>-181814</v>
      </c>
      <c r="CI36" s="11">
        <f t="shared" si="25"/>
        <v>-0.56065250238983622</v>
      </c>
      <c r="CK36" s="14"/>
      <c r="CL36" s="13" t="s">
        <v>2</v>
      </c>
      <c r="CN36" s="12"/>
      <c r="CO36" s="10">
        <f t="shared" si="26"/>
        <v>-4</v>
      </c>
      <c r="CP36" s="12">
        <f t="shared" si="27"/>
        <v>-142476</v>
      </c>
      <c r="CQ36" s="11">
        <f t="shared" si="28"/>
        <v>-1</v>
      </c>
      <c r="CS36" s="14"/>
      <c r="CT36" s="13" t="s">
        <v>2</v>
      </c>
      <c r="CV36" s="12"/>
      <c r="CW36" s="10">
        <f t="shared" si="29"/>
        <v>0</v>
      </c>
      <c r="CX36" s="12">
        <f t="shared" si="30"/>
        <v>0</v>
      </c>
      <c r="CY36" s="11" t="e">
        <f t="shared" si="31"/>
        <v>#DIV/0!</v>
      </c>
    </row>
    <row r="37" spans="1:103" s="1" customFormat="1" ht="20" customHeight="1">
      <c r="A37" s="9" t="s">
        <v>11</v>
      </c>
      <c r="B37" s="9"/>
      <c r="C37" s="8">
        <v>179</v>
      </c>
      <c r="D37" s="7">
        <v>1190657.1428566398</v>
      </c>
      <c r="E37" s="27"/>
      <c r="F37" s="28"/>
      <c r="G37" s="29"/>
      <c r="I37" s="9" t="s">
        <v>11</v>
      </c>
      <c r="J37" s="9"/>
      <c r="K37" s="8">
        <v>158</v>
      </c>
      <c r="L37" s="7">
        <v>1057347.6190471801</v>
      </c>
      <c r="M37" s="27">
        <f t="shared" si="0"/>
        <v>-21</v>
      </c>
      <c r="N37" s="28">
        <f t="shared" si="0"/>
        <v>-133309.52380945976</v>
      </c>
      <c r="O37" s="29">
        <f t="shared" si="1"/>
        <v>-0.11196298162678624</v>
      </c>
      <c r="Q37" s="9" t="s">
        <v>11</v>
      </c>
      <c r="R37" s="9"/>
      <c r="S37" s="8">
        <v>228</v>
      </c>
      <c r="T37" s="7">
        <v>1176543.33333273</v>
      </c>
      <c r="U37" s="27">
        <f t="shared" si="2"/>
        <v>70</v>
      </c>
      <c r="V37" s="28">
        <f t="shared" si="3"/>
        <v>119195.71428554994</v>
      </c>
      <c r="W37" s="29">
        <f t="shared" si="4"/>
        <v>0.11273086744448543</v>
      </c>
      <c r="Y37" s="9" t="s">
        <v>11</v>
      </c>
      <c r="Z37" s="9"/>
      <c r="AA37" s="8">
        <v>169</v>
      </c>
      <c r="AB37" s="7">
        <v>1061413.8095233201</v>
      </c>
      <c r="AC37" s="27">
        <f t="shared" si="5"/>
        <v>-59</v>
      </c>
      <c r="AD37" s="28">
        <f t="shared" si="5"/>
        <v>-115129.52380940993</v>
      </c>
      <c r="AE37" s="29">
        <f t="shared" si="6"/>
        <v>-9.7854044596291087E-2</v>
      </c>
      <c r="AG37" s="9" t="s">
        <v>11</v>
      </c>
      <c r="AH37" s="9"/>
      <c r="AI37" s="9">
        <v>211</v>
      </c>
      <c r="AJ37" s="46">
        <v>1331179.99999941</v>
      </c>
      <c r="AK37" s="27">
        <f t="shared" si="7"/>
        <v>42</v>
      </c>
      <c r="AL37" s="28">
        <f t="shared" si="7"/>
        <v>269766.19047608995</v>
      </c>
      <c r="AM37" s="29">
        <f t="shared" si="8"/>
        <v>0.25415741537906095</v>
      </c>
      <c r="AO37" s="9" t="s">
        <v>11</v>
      </c>
      <c r="AP37" s="9"/>
      <c r="AQ37" s="8">
        <v>241</v>
      </c>
      <c r="AR37" s="7">
        <v>1176689.5238087301</v>
      </c>
      <c r="AS37" s="27">
        <f t="shared" si="9"/>
        <v>30</v>
      </c>
      <c r="AT37" s="28">
        <f t="shared" si="9"/>
        <v>-154490.47619067994</v>
      </c>
      <c r="AU37" s="29">
        <f t="shared" si="10"/>
        <v>-0.1160552864306468</v>
      </c>
      <c r="AW37" s="9" t="s">
        <v>11</v>
      </c>
      <c r="AX37" s="9"/>
      <c r="AY37" s="8">
        <v>198</v>
      </c>
      <c r="AZ37" s="7">
        <v>1255276.1904754699</v>
      </c>
      <c r="BA37" s="27">
        <f t="shared" si="11"/>
        <v>-43</v>
      </c>
      <c r="BB37" s="28">
        <f t="shared" si="12"/>
        <v>78586.666666739853</v>
      </c>
      <c r="BC37" s="29">
        <f t="shared" si="13"/>
        <v>6.6786238065899575E-2</v>
      </c>
      <c r="BE37" s="9" t="s">
        <v>11</v>
      </c>
      <c r="BF37" s="9"/>
      <c r="BG37" s="8">
        <v>249</v>
      </c>
      <c r="BH37" s="7">
        <v>1283470.47618953</v>
      </c>
      <c r="BI37" s="27">
        <f t="shared" si="14"/>
        <v>51</v>
      </c>
      <c r="BJ37" s="28">
        <f t="shared" si="15"/>
        <v>28194.285714060068</v>
      </c>
      <c r="BK37" s="29">
        <f t="shared" si="16"/>
        <v>2.2460623349655599E-2</v>
      </c>
      <c r="BM37" s="9" t="s">
        <v>11</v>
      </c>
      <c r="BN37" s="9"/>
      <c r="BO37" s="8">
        <v>174</v>
      </c>
      <c r="BP37" s="7">
        <v>855186.19047552999</v>
      </c>
      <c r="BQ37" s="27">
        <f t="shared" si="17"/>
        <v>-75</v>
      </c>
      <c r="BR37" s="28">
        <f t="shared" si="18"/>
        <v>-428284.285714</v>
      </c>
      <c r="BS37" s="29">
        <f t="shared" si="19"/>
        <v>-0.33369235495429916</v>
      </c>
      <c r="BU37" s="9" t="s">
        <v>11</v>
      </c>
      <c r="BV37" s="9"/>
      <c r="BW37" s="8">
        <v>187</v>
      </c>
      <c r="BX37" s="7">
        <v>896440</v>
      </c>
      <c r="BY37" s="27">
        <f t="shared" si="32"/>
        <v>13</v>
      </c>
      <c r="BZ37" s="28">
        <f t="shared" si="21"/>
        <v>41253.809524470009</v>
      </c>
      <c r="CA37" s="29">
        <f t="shared" si="22"/>
        <v>4.8239564651448186E-2</v>
      </c>
      <c r="CC37" s="9" t="s">
        <v>11</v>
      </c>
      <c r="CD37" s="9"/>
      <c r="CE37" s="8">
        <v>169</v>
      </c>
      <c r="CF37" s="7">
        <v>746967</v>
      </c>
      <c r="CG37" s="27">
        <f t="shared" si="23"/>
        <v>-18</v>
      </c>
      <c r="CH37" s="28">
        <f t="shared" si="24"/>
        <v>-149473</v>
      </c>
      <c r="CI37" s="29">
        <f t="shared" si="25"/>
        <v>-0.16674066306724378</v>
      </c>
      <c r="CK37" s="9" t="s">
        <v>11</v>
      </c>
      <c r="CL37" s="9"/>
      <c r="CM37" s="8"/>
      <c r="CN37" s="7"/>
      <c r="CO37" s="27">
        <f t="shared" si="26"/>
        <v>-169</v>
      </c>
      <c r="CP37" s="28">
        <f t="shared" si="27"/>
        <v>-746967</v>
      </c>
      <c r="CQ37" s="29">
        <f t="shared" si="28"/>
        <v>-1</v>
      </c>
      <c r="CS37" s="9" t="s">
        <v>11</v>
      </c>
      <c r="CT37" s="9"/>
      <c r="CU37" s="8"/>
      <c r="CV37" s="7"/>
      <c r="CW37" s="27">
        <f t="shared" si="29"/>
        <v>0</v>
      </c>
      <c r="CX37" s="28">
        <f t="shared" si="30"/>
        <v>0</v>
      </c>
      <c r="CY37" s="29" t="e">
        <f t="shared" si="31"/>
        <v>#DIV/0!</v>
      </c>
    </row>
    <row r="38" spans="1:103" s="1" customFormat="1" ht="20" customHeight="1">
      <c r="A38" s="14">
        <v>81</v>
      </c>
      <c r="B38" s="32" t="s">
        <v>19</v>
      </c>
      <c r="C38" s="1">
        <v>1818</v>
      </c>
      <c r="D38" s="35"/>
      <c r="E38" s="10"/>
      <c r="F38" s="12"/>
      <c r="G38" s="36"/>
      <c r="I38" s="14">
        <v>81</v>
      </c>
      <c r="J38" s="32" t="s">
        <v>19</v>
      </c>
      <c r="K38" s="1">
        <v>1271</v>
      </c>
      <c r="L38" s="35"/>
      <c r="M38" s="10">
        <f t="shared" si="0"/>
        <v>-547</v>
      </c>
      <c r="N38" s="12">
        <f t="shared" si="0"/>
        <v>0</v>
      </c>
      <c r="O38" s="11" t="e">
        <f t="shared" si="1"/>
        <v>#DIV/0!</v>
      </c>
      <c r="Q38" s="14">
        <v>81</v>
      </c>
      <c r="R38" s="32" t="s">
        <v>19</v>
      </c>
      <c r="S38" s="1">
        <v>1836</v>
      </c>
      <c r="T38" s="35"/>
      <c r="U38" s="10">
        <f t="shared" si="2"/>
        <v>565</v>
      </c>
      <c r="V38" s="12">
        <f t="shared" si="3"/>
        <v>0</v>
      </c>
      <c r="W38" s="11" t="e">
        <f t="shared" si="4"/>
        <v>#DIV/0!</v>
      </c>
      <c r="Y38" s="14">
        <v>81</v>
      </c>
      <c r="Z38" s="32" t="s">
        <v>19</v>
      </c>
      <c r="AA38" s="1">
        <v>1431</v>
      </c>
      <c r="AB38" s="35"/>
      <c r="AC38" s="10">
        <f t="shared" si="5"/>
        <v>-405</v>
      </c>
      <c r="AD38" s="12">
        <f t="shared" si="5"/>
        <v>0</v>
      </c>
      <c r="AE38" s="11" t="e">
        <f t="shared" si="6"/>
        <v>#DIV/0!</v>
      </c>
      <c r="AG38" s="14">
        <v>81</v>
      </c>
      <c r="AH38" s="32" t="s">
        <v>19</v>
      </c>
      <c r="AI38" s="32">
        <v>1633</v>
      </c>
      <c r="AJ38" s="47"/>
      <c r="AK38" s="10">
        <f t="shared" si="7"/>
        <v>202</v>
      </c>
      <c r="AL38" s="12">
        <f t="shared" si="7"/>
        <v>0</v>
      </c>
      <c r="AM38" s="11" t="e">
        <f t="shared" si="8"/>
        <v>#DIV/0!</v>
      </c>
      <c r="AO38" s="14">
        <v>81</v>
      </c>
      <c r="AP38" s="32" t="s">
        <v>37</v>
      </c>
      <c r="AQ38" s="1">
        <v>2066</v>
      </c>
      <c r="AR38" s="35"/>
      <c r="AS38" s="10">
        <f t="shared" si="9"/>
        <v>433</v>
      </c>
      <c r="AT38" s="12">
        <f t="shared" si="9"/>
        <v>0</v>
      </c>
      <c r="AU38" s="11" t="e">
        <f t="shared" si="10"/>
        <v>#DIV/0!</v>
      </c>
      <c r="AW38" s="14">
        <v>81</v>
      </c>
      <c r="AX38" s="32" t="s">
        <v>37</v>
      </c>
      <c r="AY38" s="1">
        <v>1711</v>
      </c>
      <c r="AZ38" s="35"/>
      <c r="BA38" s="10">
        <f t="shared" si="11"/>
        <v>-355</v>
      </c>
      <c r="BB38" s="12">
        <f t="shared" si="12"/>
        <v>0</v>
      </c>
      <c r="BC38" s="11" t="e">
        <f t="shared" si="13"/>
        <v>#DIV/0!</v>
      </c>
      <c r="BE38" s="14">
        <v>81</v>
      </c>
      <c r="BF38" s="32" t="s">
        <v>19</v>
      </c>
      <c r="BG38" s="1">
        <v>1804</v>
      </c>
      <c r="BH38" s="35"/>
      <c r="BI38" s="10">
        <f t="shared" si="14"/>
        <v>93</v>
      </c>
      <c r="BJ38" s="12">
        <f t="shared" si="15"/>
        <v>0</v>
      </c>
      <c r="BK38" s="11" t="e">
        <f t="shared" si="16"/>
        <v>#DIV/0!</v>
      </c>
      <c r="BM38" s="14">
        <v>81</v>
      </c>
      <c r="BN38" s="32" t="s">
        <v>37</v>
      </c>
      <c r="BO38" s="1">
        <v>1672</v>
      </c>
      <c r="BP38" s="35"/>
      <c r="BQ38" s="10">
        <f t="shared" si="17"/>
        <v>-132</v>
      </c>
      <c r="BR38" s="12">
        <f t="shared" si="18"/>
        <v>0</v>
      </c>
      <c r="BS38" s="11" t="e">
        <f t="shared" si="19"/>
        <v>#DIV/0!</v>
      </c>
      <c r="BU38" s="14">
        <v>81</v>
      </c>
      <c r="BV38" s="32" t="s">
        <v>37</v>
      </c>
      <c r="BW38" s="15">
        <v>1732</v>
      </c>
      <c r="BX38" s="33"/>
      <c r="BY38" s="10">
        <f t="shared" si="32"/>
        <v>60</v>
      </c>
      <c r="BZ38" s="12">
        <f t="shared" si="21"/>
        <v>0</v>
      </c>
      <c r="CA38" s="11" t="e">
        <f t="shared" si="22"/>
        <v>#DIV/0!</v>
      </c>
      <c r="CC38" s="14">
        <v>81</v>
      </c>
      <c r="CD38" s="32" t="s">
        <v>37</v>
      </c>
      <c r="CE38" s="15">
        <v>2314</v>
      </c>
      <c r="CF38" s="33"/>
      <c r="CG38" s="10">
        <f t="shared" si="23"/>
        <v>582</v>
      </c>
      <c r="CH38" s="12">
        <f t="shared" si="24"/>
        <v>0</v>
      </c>
      <c r="CI38" s="11" t="e">
        <f t="shared" si="25"/>
        <v>#DIV/0!</v>
      </c>
      <c r="CK38" s="14">
        <v>81</v>
      </c>
      <c r="CL38" s="32" t="s">
        <v>19</v>
      </c>
      <c r="CM38" s="15"/>
      <c r="CN38" s="33"/>
      <c r="CO38" s="10">
        <f t="shared" si="26"/>
        <v>-2314</v>
      </c>
      <c r="CP38" s="12">
        <f t="shared" si="27"/>
        <v>0</v>
      </c>
      <c r="CQ38" s="11" t="e">
        <f t="shared" si="28"/>
        <v>#DIV/0!</v>
      </c>
      <c r="CS38" s="14">
        <v>81</v>
      </c>
      <c r="CT38" s="32" t="s">
        <v>19</v>
      </c>
      <c r="CU38" s="15"/>
      <c r="CV38" s="33"/>
      <c r="CW38" s="10">
        <f t="shared" si="29"/>
        <v>0</v>
      </c>
      <c r="CX38" s="12">
        <f t="shared" si="30"/>
        <v>0</v>
      </c>
      <c r="CY38" s="11" t="e">
        <f t="shared" si="31"/>
        <v>#DIV/0!</v>
      </c>
    </row>
    <row r="39" spans="1:103" s="1" customFormat="1" ht="20" customHeight="1">
      <c r="A39" s="14"/>
      <c r="B39" s="32" t="s">
        <v>20</v>
      </c>
      <c r="C39" s="1">
        <v>2</v>
      </c>
      <c r="D39" s="35"/>
      <c r="E39" s="10"/>
      <c r="F39" s="12"/>
      <c r="G39" s="36"/>
      <c r="I39" s="14"/>
      <c r="J39" s="32" t="s">
        <v>20</v>
      </c>
      <c r="K39" s="1">
        <v>1</v>
      </c>
      <c r="L39" s="35"/>
      <c r="M39" s="10">
        <f t="shared" si="0"/>
        <v>-1</v>
      </c>
      <c r="N39" s="12">
        <f t="shared" si="0"/>
        <v>0</v>
      </c>
      <c r="O39" s="11" t="e">
        <f t="shared" si="1"/>
        <v>#DIV/0!</v>
      </c>
      <c r="Q39" s="14"/>
      <c r="R39" s="32" t="s">
        <v>20</v>
      </c>
      <c r="S39" s="1">
        <v>4</v>
      </c>
      <c r="T39" s="35"/>
      <c r="U39" s="10">
        <f t="shared" si="2"/>
        <v>3</v>
      </c>
      <c r="V39" s="12">
        <f t="shared" si="3"/>
        <v>0</v>
      </c>
      <c r="W39" s="11" t="e">
        <f t="shared" si="4"/>
        <v>#DIV/0!</v>
      </c>
      <c r="Y39" s="14"/>
      <c r="Z39" s="32" t="s">
        <v>20</v>
      </c>
      <c r="AA39" s="1">
        <v>1</v>
      </c>
      <c r="AB39" s="35"/>
      <c r="AC39" s="10">
        <f t="shared" si="5"/>
        <v>-3</v>
      </c>
      <c r="AD39" s="12">
        <f t="shared" si="5"/>
        <v>0</v>
      </c>
      <c r="AE39" s="11" t="e">
        <f t="shared" si="6"/>
        <v>#DIV/0!</v>
      </c>
      <c r="AG39" s="14"/>
      <c r="AH39" s="32" t="s">
        <v>20</v>
      </c>
      <c r="AI39" s="32">
        <v>5</v>
      </c>
      <c r="AJ39" s="47"/>
      <c r="AK39" s="10">
        <f t="shared" si="7"/>
        <v>4</v>
      </c>
      <c r="AL39" s="12">
        <f t="shared" si="7"/>
        <v>0</v>
      </c>
      <c r="AM39" s="11" t="e">
        <f t="shared" si="8"/>
        <v>#DIV/0!</v>
      </c>
      <c r="AO39" s="14"/>
      <c r="AP39" s="32" t="s">
        <v>38</v>
      </c>
      <c r="AQ39" s="1">
        <v>7</v>
      </c>
      <c r="AR39" s="35"/>
      <c r="AS39" s="10">
        <f t="shared" si="9"/>
        <v>2</v>
      </c>
      <c r="AT39" s="12">
        <f t="shared" si="9"/>
        <v>0</v>
      </c>
      <c r="AU39" s="11" t="e">
        <f t="shared" si="10"/>
        <v>#DIV/0!</v>
      </c>
      <c r="AW39" s="14"/>
      <c r="AX39" s="32" t="s">
        <v>38</v>
      </c>
      <c r="AY39" s="1">
        <v>2</v>
      </c>
      <c r="AZ39" s="35"/>
      <c r="BA39" s="10">
        <f t="shared" si="11"/>
        <v>-5</v>
      </c>
      <c r="BB39" s="12">
        <f t="shared" si="12"/>
        <v>0</v>
      </c>
      <c r="BC39" s="11" t="e">
        <f t="shared" si="13"/>
        <v>#DIV/0!</v>
      </c>
      <c r="BE39" s="14"/>
      <c r="BF39" s="32" t="s">
        <v>20</v>
      </c>
      <c r="BG39" s="1">
        <v>1</v>
      </c>
      <c r="BH39" s="35"/>
      <c r="BI39" s="10">
        <f t="shared" si="14"/>
        <v>-1</v>
      </c>
      <c r="BJ39" s="12">
        <f t="shared" si="15"/>
        <v>0</v>
      </c>
      <c r="BK39" s="11" t="e">
        <f t="shared" si="16"/>
        <v>#DIV/0!</v>
      </c>
      <c r="BM39" s="14"/>
      <c r="BN39" s="32" t="s">
        <v>38</v>
      </c>
      <c r="BO39" s="1">
        <v>2</v>
      </c>
      <c r="BP39" s="35"/>
      <c r="BQ39" s="10">
        <f t="shared" si="17"/>
        <v>1</v>
      </c>
      <c r="BR39" s="12">
        <f t="shared" si="18"/>
        <v>0</v>
      </c>
      <c r="BS39" s="11" t="e">
        <f t="shared" si="19"/>
        <v>#DIV/0!</v>
      </c>
      <c r="BU39" s="14"/>
      <c r="BV39" s="32" t="s">
        <v>38</v>
      </c>
      <c r="BW39" s="15">
        <v>1</v>
      </c>
      <c r="BX39" s="33"/>
      <c r="BY39" s="10">
        <f t="shared" si="32"/>
        <v>-1</v>
      </c>
      <c r="BZ39" s="12">
        <f t="shared" si="21"/>
        <v>0</v>
      </c>
      <c r="CA39" s="11" t="e">
        <f t="shared" si="22"/>
        <v>#DIV/0!</v>
      </c>
      <c r="CC39" s="14"/>
      <c r="CD39" s="32" t="s">
        <v>38</v>
      </c>
      <c r="CE39" s="15"/>
      <c r="CF39" s="33"/>
      <c r="CG39" s="10">
        <f t="shared" si="23"/>
        <v>-1</v>
      </c>
      <c r="CH39" s="12">
        <f t="shared" si="24"/>
        <v>0</v>
      </c>
      <c r="CI39" s="11" t="e">
        <f t="shared" si="25"/>
        <v>#DIV/0!</v>
      </c>
      <c r="CK39" s="14"/>
      <c r="CL39" s="32" t="s">
        <v>20</v>
      </c>
      <c r="CM39" s="15"/>
      <c r="CN39" s="33"/>
      <c r="CO39" s="10">
        <f t="shared" si="26"/>
        <v>0</v>
      </c>
      <c r="CP39" s="12">
        <f t="shared" si="27"/>
        <v>0</v>
      </c>
      <c r="CQ39" s="11" t="e">
        <f t="shared" si="28"/>
        <v>#DIV/0!</v>
      </c>
      <c r="CS39" s="14"/>
      <c r="CT39" s="32" t="s">
        <v>20</v>
      </c>
      <c r="CU39" s="15"/>
      <c r="CV39" s="33"/>
      <c r="CW39" s="10">
        <f t="shared" si="29"/>
        <v>0</v>
      </c>
      <c r="CX39" s="12">
        <f t="shared" si="30"/>
        <v>0</v>
      </c>
      <c r="CY39" s="11" t="e">
        <f t="shared" si="31"/>
        <v>#DIV/0!</v>
      </c>
    </row>
    <row r="40" spans="1:103" s="10" customFormat="1" ht="20" customHeight="1">
      <c r="A40" s="14"/>
      <c r="B40" s="13" t="s">
        <v>9</v>
      </c>
      <c r="C40" s="10">
        <v>86</v>
      </c>
      <c r="D40" s="12">
        <v>91735.238094819957</v>
      </c>
      <c r="F40" s="12"/>
      <c r="G40" s="11"/>
      <c r="I40" s="14"/>
      <c r="J40" s="13" t="s">
        <v>9</v>
      </c>
      <c r="K40" s="10">
        <v>69</v>
      </c>
      <c r="L40" s="12">
        <v>62975.238094860004</v>
      </c>
      <c r="M40" s="10">
        <f t="shared" si="0"/>
        <v>-17</v>
      </c>
      <c r="N40" s="12">
        <f t="shared" si="0"/>
        <v>-28759.999999959953</v>
      </c>
      <c r="O40" s="11">
        <f t="shared" si="1"/>
        <v>-0.31351093208296749</v>
      </c>
      <c r="Q40" s="14"/>
      <c r="R40" s="13" t="s">
        <v>9</v>
      </c>
      <c r="S40" s="10">
        <v>97</v>
      </c>
      <c r="T40" s="12">
        <v>114887.61904714999</v>
      </c>
      <c r="U40" s="10">
        <f t="shared" si="2"/>
        <v>28</v>
      </c>
      <c r="V40" s="12">
        <f t="shared" si="3"/>
        <v>51912.380952289983</v>
      </c>
      <c r="W40" s="11">
        <f t="shared" si="4"/>
        <v>0.82433004658265896</v>
      </c>
      <c r="Y40" s="14"/>
      <c r="Z40" s="13" t="s">
        <v>9</v>
      </c>
      <c r="AA40" s="10">
        <v>78</v>
      </c>
      <c r="AB40" s="12">
        <v>66923.809523470001</v>
      </c>
      <c r="AC40" s="10">
        <f t="shared" si="5"/>
        <v>-19</v>
      </c>
      <c r="AD40" s="12">
        <f t="shared" si="5"/>
        <v>-47963.809523679985</v>
      </c>
      <c r="AE40" s="11">
        <f t="shared" si="6"/>
        <v>-0.41748458120622722</v>
      </c>
      <c r="AG40" s="14"/>
      <c r="AH40" s="13" t="s">
        <v>9</v>
      </c>
      <c r="AI40" s="13">
        <v>91</v>
      </c>
      <c r="AJ40" s="45">
        <v>82550.476190100031</v>
      </c>
      <c r="AK40" s="10">
        <f t="shared" si="7"/>
        <v>13</v>
      </c>
      <c r="AL40" s="12">
        <f t="shared" si="7"/>
        <v>15626.66666663003</v>
      </c>
      <c r="AM40" s="11">
        <f t="shared" si="8"/>
        <v>0.23349935961355875</v>
      </c>
      <c r="AO40" s="14"/>
      <c r="AP40" s="13" t="s">
        <v>9</v>
      </c>
      <c r="AQ40" s="10">
        <v>109</v>
      </c>
      <c r="AR40" s="12">
        <v>103550.4761899</v>
      </c>
      <c r="AS40" s="10">
        <f t="shared" si="9"/>
        <v>18</v>
      </c>
      <c r="AT40" s="12">
        <f t="shared" si="9"/>
        <v>20999.999999799969</v>
      </c>
      <c r="AU40" s="11">
        <f t="shared" si="10"/>
        <v>0.25438981056197008</v>
      </c>
      <c r="AW40" s="14"/>
      <c r="AX40" s="13" t="s">
        <v>9</v>
      </c>
      <c r="AY40" s="10">
        <v>97</v>
      </c>
      <c r="AZ40" s="12">
        <v>90916.190475729993</v>
      </c>
      <c r="BA40" s="10">
        <f t="shared" si="11"/>
        <v>-12</v>
      </c>
      <c r="BB40" s="12">
        <f t="shared" si="12"/>
        <v>-12634.285714170008</v>
      </c>
      <c r="BC40" s="11">
        <f t="shared" si="13"/>
        <v>-0.12201088955882868</v>
      </c>
      <c r="BE40" s="14"/>
      <c r="BF40" s="13" t="s">
        <v>9</v>
      </c>
      <c r="BG40" s="10">
        <v>101</v>
      </c>
      <c r="BH40" s="12">
        <v>96915.23809472</v>
      </c>
      <c r="BI40" s="10">
        <f t="shared" si="14"/>
        <v>4</v>
      </c>
      <c r="BJ40" s="12">
        <f t="shared" si="15"/>
        <v>5999.0476189900073</v>
      </c>
      <c r="BK40" s="11">
        <f t="shared" si="16"/>
        <v>6.5984370744080492E-2</v>
      </c>
      <c r="BM40" s="14"/>
      <c r="BN40" s="13" t="s">
        <v>9</v>
      </c>
      <c r="BO40" s="10">
        <v>104</v>
      </c>
      <c r="BP40" s="12">
        <v>76006.666666129997</v>
      </c>
      <c r="BQ40" s="10">
        <f t="shared" si="17"/>
        <v>3</v>
      </c>
      <c r="BR40" s="12">
        <f t="shared" si="18"/>
        <v>-20908.571428590003</v>
      </c>
      <c r="BS40" s="11">
        <f t="shared" si="19"/>
        <v>-0.21574080443526367</v>
      </c>
      <c r="BU40" s="14"/>
      <c r="BV40" s="13" t="s">
        <v>9</v>
      </c>
      <c r="BW40" s="10">
        <v>79</v>
      </c>
      <c r="BX40" s="12">
        <v>66290</v>
      </c>
      <c r="BY40" s="10">
        <f t="shared" si="32"/>
        <v>-25</v>
      </c>
      <c r="BZ40" s="12">
        <f t="shared" si="21"/>
        <v>-9716.6666661299969</v>
      </c>
      <c r="CA40" s="11">
        <f t="shared" si="22"/>
        <v>-0.12783966318128154</v>
      </c>
      <c r="CC40" s="14"/>
      <c r="CD40" s="13" t="s">
        <v>9</v>
      </c>
      <c r="CE40" s="10">
        <v>105</v>
      </c>
      <c r="CF40" s="12">
        <v>99201</v>
      </c>
      <c r="CG40" s="10">
        <f t="shared" si="23"/>
        <v>26</v>
      </c>
      <c r="CH40" s="12">
        <f t="shared" si="24"/>
        <v>32911</v>
      </c>
      <c r="CI40" s="11">
        <f t="shared" si="25"/>
        <v>0.49647005581535675</v>
      </c>
      <c r="CK40" s="14"/>
      <c r="CL40" s="13" t="s">
        <v>9</v>
      </c>
      <c r="CN40" s="12"/>
      <c r="CO40" s="10">
        <f t="shared" si="26"/>
        <v>-105</v>
      </c>
      <c r="CP40" s="12">
        <f t="shared" si="27"/>
        <v>-99201</v>
      </c>
      <c r="CQ40" s="11">
        <f t="shared" si="28"/>
        <v>-1</v>
      </c>
      <c r="CS40" s="14"/>
      <c r="CT40" s="13" t="s">
        <v>9</v>
      </c>
      <c r="CV40" s="12"/>
      <c r="CW40" s="10">
        <f t="shared" si="29"/>
        <v>0</v>
      </c>
      <c r="CX40" s="12">
        <f t="shared" si="30"/>
        <v>0</v>
      </c>
      <c r="CY40" s="11" t="e">
        <f t="shared" si="31"/>
        <v>#DIV/0!</v>
      </c>
    </row>
    <row r="41" spans="1:103" s="10" customFormat="1" ht="20" customHeight="1">
      <c r="A41" s="14"/>
      <c r="B41" s="13" t="s">
        <v>8</v>
      </c>
      <c r="C41" s="10">
        <v>74</v>
      </c>
      <c r="D41" s="12">
        <v>92057.142857059996</v>
      </c>
      <c r="F41" s="12"/>
      <c r="G41" s="11"/>
      <c r="I41" s="14"/>
      <c r="J41" s="13" t="s">
        <v>8</v>
      </c>
      <c r="K41" s="10">
        <v>71</v>
      </c>
      <c r="L41" s="12">
        <v>59047.619047520013</v>
      </c>
      <c r="M41" s="10">
        <f t="shared" si="0"/>
        <v>-3</v>
      </c>
      <c r="N41" s="12">
        <f t="shared" si="0"/>
        <v>-33009.523809539984</v>
      </c>
      <c r="O41" s="11">
        <f t="shared" si="1"/>
        <v>-0.35857645354901901</v>
      </c>
      <c r="Q41" s="14"/>
      <c r="R41" s="13" t="s">
        <v>8</v>
      </c>
      <c r="S41" s="10">
        <v>85</v>
      </c>
      <c r="T41" s="12">
        <v>77676.190476110016</v>
      </c>
      <c r="U41" s="10">
        <f t="shared" si="2"/>
        <v>14</v>
      </c>
      <c r="V41" s="12">
        <f t="shared" si="3"/>
        <v>18628.571428590003</v>
      </c>
      <c r="W41" s="11">
        <f t="shared" si="4"/>
        <v>0.31548387096858566</v>
      </c>
      <c r="Y41" s="14"/>
      <c r="Z41" s="13" t="s">
        <v>8</v>
      </c>
      <c r="AA41" s="10">
        <v>69</v>
      </c>
      <c r="AB41" s="12">
        <v>62904.76190468001</v>
      </c>
      <c r="AC41" s="10">
        <f t="shared" si="5"/>
        <v>-16</v>
      </c>
      <c r="AD41" s="12">
        <f t="shared" si="5"/>
        <v>-14771.428571430006</v>
      </c>
      <c r="AE41" s="11">
        <f t="shared" si="6"/>
        <v>-0.19016674840629685</v>
      </c>
      <c r="AG41" s="14"/>
      <c r="AH41" s="13" t="s">
        <v>8</v>
      </c>
      <c r="AI41" s="13">
        <v>68</v>
      </c>
      <c r="AJ41" s="45">
        <v>62773.333333250011</v>
      </c>
      <c r="AK41" s="10">
        <f t="shared" si="7"/>
        <v>-1</v>
      </c>
      <c r="AL41" s="12">
        <f t="shared" si="7"/>
        <v>-131.42857142999856</v>
      </c>
      <c r="AM41" s="11">
        <f t="shared" si="8"/>
        <v>-2.0893262680042111E-3</v>
      </c>
      <c r="AO41" s="14"/>
      <c r="AP41" s="13" t="s">
        <v>8</v>
      </c>
      <c r="AQ41" s="10">
        <v>79</v>
      </c>
      <c r="AR41" s="12">
        <v>104352.38095211</v>
      </c>
      <c r="AS41" s="10">
        <f t="shared" si="9"/>
        <v>11</v>
      </c>
      <c r="AT41" s="12">
        <f t="shared" si="9"/>
        <v>41579.047618859993</v>
      </c>
      <c r="AU41" s="11">
        <f t="shared" si="10"/>
        <v>0.66236800582384003</v>
      </c>
      <c r="AW41" s="14"/>
      <c r="AX41" s="13" t="s">
        <v>8</v>
      </c>
      <c r="AY41" s="10">
        <v>64</v>
      </c>
      <c r="AZ41" s="12">
        <v>71868.571428339987</v>
      </c>
      <c r="BA41" s="10">
        <f t="shared" si="11"/>
        <v>-15</v>
      </c>
      <c r="BB41" s="12">
        <f t="shared" si="12"/>
        <v>-32483.809523770018</v>
      </c>
      <c r="BC41" s="11">
        <f t="shared" si="13"/>
        <v>-0.31128958656609546</v>
      </c>
      <c r="BE41" s="14"/>
      <c r="BF41" s="13" t="s">
        <v>8</v>
      </c>
      <c r="BG41" s="10">
        <v>83</v>
      </c>
      <c r="BH41" s="12">
        <v>102161.90476165</v>
      </c>
      <c r="BI41" s="10">
        <f t="shared" si="14"/>
        <v>19</v>
      </c>
      <c r="BJ41" s="12">
        <f t="shared" si="15"/>
        <v>30293.333333310016</v>
      </c>
      <c r="BK41" s="11">
        <f t="shared" si="16"/>
        <v>0.42151016405711417</v>
      </c>
      <c r="BM41" s="14"/>
      <c r="BN41" s="13" t="s">
        <v>8</v>
      </c>
      <c r="BO41" s="10">
        <v>66</v>
      </c>
      <c r="BP41" s="12">
        <v>85561.90476166</v>
      </c>
      <c r="BQ41" s="10">
        <f t="shared" si="17"/>
        <v>-17</v>
      </c>
      <c r="BR41" s="12">
        <f t="shared" si="18"/>
        <v>-16599.999999990003</v>
      </c>
      <c r="BS41" s="11">
        <f t="shared" si="19"/>
        <v>-0.16248718187781269</v>
      </c>
      <c r="BU41" s="14"/>
      <c r="BV41" s="13" t="s">
        <v>8</v>
      </c>
      <c r="BW41" s="10">
        <v>98</v>
      </c>
      <c r="BX41" s="12">
        <v>87552</v>
      </c>
      <c r="BY41" s="10">
        <f t="shared" si="32"/>
        <v>32</v>
      </c>
      <c r="BZ41" s="12">
        <f t="shared" si="21"/>
        <v>1990.0952383399999</v>
      </c>
      <c r="CA41" s="11">
        <f t="shared" si="22"/>
        <v>2.3259127340416047E-2</v>
      </c>
      <c r="CC41" s="14"/>
      <c r="CD41" s="13" t="s">
        <v>8</v>
      </c>
      <c r="CE41" s="10">
        <v>103</v>
      </c>
      <c r="CF41" s="12">
        <v>116981</v>
      </c>
      <c r="CG41" s="10">
        <f t="shared" si="23"/>
        <v>5</v>
      </c>
      <c r="CH41" s="12">
        <f t="shared" si="24"/>
        <v>29429</v>
      </c>
      <c r="CI41" s="11">
        <f t="shared" si="25"/>
        <v>0.33613167032163743</v>
      </c>
      <c r="CK41" s="14"/>
      <c r="CL41" s="13" t="s">
        <v>8</v>
      </c>
      <c r="CN41" s="12"/>
      <c r="CO41" s="10">
        <f t="shared" si="26"/>
        <v>-103</v>
      </c>
      <c r="CP41" s="12">
        <f t="shared" si="27"/>
        <v>-116981</v>
      </c>
      <c r="CQ41" s="11">
        <f t="shared" si="28"/>
        <v>-1</v>
      </c>
      <c r="CS41" s="14"/>
      <c r="CT41" s="13" t="s">
        <v>8</v>
      </c>
      <c r="CV41" s="12"/>
      <c r="CW41" s="10">
        <f t="shared" si="29"/>
        <v>0</v>
      </c>
      <c r="CX41" s="12">
        <f t="shared" si="30"/>
        <v>0</v>
      </c>
      <c r="CY41" s="11" t="e">
        <f t="shared" si="31"/>
        <v>#DIV/0!</v>
      </c>
    </row>
    <row r="42" spans="1:103" s="10" customFormat="1" ht="20" customHeight="1">
      <c r="A42" s="14"/>
      <c r="B42" s="13" t="s">
        <v>7</v>
      </c>
      <c r="C42" s="10">
        <v>12</v>
      </c>
      <c r="D42" s="12">
        <v>72458.095238089998</v>
      </c>
      <c r="F42" s="12"/>
      <c r="G42" s="11"/>
      <c r="I42" s="14"/>
      <c r="J42" s="13" t="s">
        <v>7</v>
      </c>
      <c r="K42" s="10">
        <v>13</v>
      </c>
      <c r="L42" s="12">
        <v>92733.333333319999</v>
      </c>
      <c r="M42" s="10">
        <f t="shared" si="0"/>
        <v>1</v>
      </c>
      <c r="N42" s="12">
        <f t="shared" si="0"/>
        <v>20275.238095230001</v>
      </c>
      <c r="O42" s="11">
        <f t="shared" si="1"/>
        <v>0.27982019163776817</v>
      </c>
      <c r="Q42" s="14"/>
      <c r="R42" s="13" t="s">
        <v>7</v>
      </c>
      <c r="S42" s="10">
        <v>15</v>
      </c>
      <c r="T42" s="12">
        <v>102714.28571428001</v>
      </c>
      <c r="U42" s="10">
        <f t="shared" si="2"/>
        <v>2</v>
      </c>
      <c r="V42" s="12">
        <f t="shared" si="3"/>
        <v>9980.9523809600068</v>
      </c>
      <c r="W42" s="11">
        <f t="shared" si="4"/>
        <v>0.10763068707003712</v>
      </c>
      <c r="Y42" s="14"/>
      <c r="Z42" s="13" t="s">
        <v>7</v>
      </c>
      <c r="AA42" s="10">
        <v>9</v>
      </c>
      <c r="AB42" s="12">
        <v>55628.571428559997</v>
      </c>
      <c r="AC42" s="10">
        <f t="shared" si="5"/>
        <v>-6</v>
      </c>
      <c r="AD42" s="12">
        <f t="shared" si="5"/>
        <v>-47085.714285720009</v>
      </c>
      <c r="AE42" s="11">
        <f t="shared" si="6"/>
        <v>-0.4584144645341563</v>
      </c>
      <c r="AG42" s="14"/>
      <c r="AH42" s="13" t="s">
        <v>7</v>
      </c>
      <c r="AI42" s="13">
        <v>11</v>
      </c>
      <c r="AJ42" s="45">
        <v>61323.809523799995</v>
      </c>
      <c r="AK42" s="10">
        <f t="shared" si="7"/>
        <v>2</v>
      </c>
      <c r="AL42" s="12">
        <f t="shared" si="7"/>
        <v>5695.2380952399981</v>
      </c>
      <c r="AM42" s="11">
        <f t="shared" si="8"/>
        <v>0.10237972949842881</v>
      </c>
      <c r="AO42" s="14"/>
      <c r="AP42" s="13" t="s">
        <v>7</v>
      </c>
      <c r="AQ42" s="10">
        <v>22</v>
      </c>
      <c r="AR42" s="12">
        <v>154076.19047616</v>
      </c>
      <c r="AS42" s="10">
        <f t="shared" si="9"/>
        <v>11</v>
      </c>
      <c r="AT42" s="12">
        <f t="shared" si="9"/>
        <v>92752.380952360007</v>
      </c>
      <c r="AU42" s="11">
        <f t="shared" si="10"/>
        <v>1.5125019412951257</v>
      </c>
      <c r="AW42" s="14"/>
      <c r="AX42" s="13" t="s">
        <v>7</v>
      </c>
      <c r="AY42" s="10">
        <v>12</v>
      </c>
      <c r="AZ42" s="12">
        <v>94171.4285714</v>
      </c>
      <c r="BA42" s="10">
        <f t="shared" si="11"/>
        <v>-10</v>
      </c>
      <c r="BB42" s="12">
        <f t="shared" si="12"/>
        <v>-59904.761904760002</v>
      </c>
      <c r="BC42" s="11">
        <f t="shared" si="13"/>
        <v>-0.38879960440110301</v>
      </c>
      <c r="BE42" s="14"/>
      <c r="BF42" s="13" t="s">
        <v>7</v>
      </c>
      <c r="BG42" s="10">
        <v>11</v>
      </c>
      <c r="BH42" s="12">
        <v>77038.095238080001</v>
      </c>
      <c r="BI42" s="10">
        <f t="shared" si="14"/>
        <v>-1</v>
      </c>
      <c r="BJ42" s="12">
        <f t="shared" si="15"/>
        <v>-17133.333333319999</v>
      </c>
      <c r="BK42" s="11">
        <f t="shared" si="16"/>
        <v>-0.18193770226528577</v>
      </c>
      <c r="BM42" s="14"/>
      <c r="BN42" s="13" t="s">
        <v>7</v>
      </c>
      <c r="BO42" s="10">
        <v>4</v>
      </c>
      <c r="BP42" s="12">
        <v>27104.761904750001</v>
      </c>
      <c r="BQ42" s="10">
        <f t="shared" si="17"/>
        <v>-7</v>
      </c>
      <c r="BR42" s="12">
        <f t="shared" si="18"/>
        <v>-49933.333333329996</v>
      </c>
      <c r="BS42" s="11">
        <f t="shared" si="19"/>
        <v>-0.64816417356912925</v>
      </c>
      <c r="BU42" s="14"/>
      <c r="BV42" s="13" t="s">
        <v>7</v>
      </c>
      <c r="BW42" s="10">
        <v>11</v>
      </c>
      <c r="BX42" s="12">
        <v>61324</v>
      </c>
      <c r="BY42" s="10">
        <f t="shared" si="32"/>
        <v>7</v>
      </c>
      <c r="BZ42" s="12">
        <f t="shared" si="21"/>
        <v>34219.238095249995</v>
      </c>
      <c r="CA42" s="11">
        <f t="shared" si="22"/>
        <v>1.2624806746320547</v>
      </c>
      <c r="CC42" s="14"/>
      <c r="CD42" s="13" t="s">
        <v>7</v>
      </c>
      <c r="CE42" s="10">
        <v>10</v>
      </c>
      <c r="CF42" s="12">
        <v>75905</v>
      </c>
      <c r="CG42" s="10">
        <f t="shared" si="23"/>
        <v>-1</v>
      </c>
      <c r="CH42" s="12">
        <f t="shared" si="24"/>
        <v>14581</v>
      </c>
      <c r="CI42" s="11">
        <f t="shared" si="25"/>
        <v>0.23776987802491684</v>
      </c>
      <c r="CK42" s="14"/>
      <c r="CL42" s="13" t="s">
        <v>7</v>
      </c>
      <c r="CN42" s="12"/>
      <c r="CO42" s="10">
        <f t="shared" si="26"/>
        <v>-10</v>
      </c>
      <c r="CP42" s="12">
        <f t="shared" si="27"/>
        <v>-75905</v>
      </c>
      <c r="CQ42" s="11">
        <f t="shared" si="28"/>
        <v>-1</v>
      </c>
      <c r="CS42" s="14"/>
      <c r="CT42" s="13" t="s">
        <v>7</v>
      </c>
      <c r="CV42" s="12"/>
      <c r="CW42" s="10">
        <f t="shared" si="29"/>
        <v>0</v>
      </c>
      <c r="CX42" s="12">
        <f t="shared" si="30"/>
        <v>0</v>
      </c>
      <c r="CY42" s="11" t="e">
        <f t="shared" si="31"/>
        <v>#DIV/0!</v>
      </c>
    </row>
    <row r="43" spans="1:103" s="10" customFormat="1" ht="20" customHeight="1">
      <c r="A43" s="14"/>
      <c r="B43" s="13" t="s">
        <v>6</v>
      </c>
      <c r="C43" s="10">
        <v>8</v>
      </c>
      <c r="D43" s="12">
        <v>103999.99999998001</v>
      </c>
      <c r="F43" s="12"/>
      <c r="G43" s="11"/>
      <c r="I43" s="14"/>
      <c r="J43" s="13" t="s">
        <v>6</v>
      </c>
      <c r="K43" s="10">
        <v>10</v>
      </c>
      <c r="L43" s="12">
        <v>116190.47619045002</v>
      </c>
      <c r="M43" s="10">
        <f t="shared" si="0"/>
        <v>2</v>
      </c>
      <c r="N43" s="12">
        <f t="shared" si="0"/>
        <v>12190.476190470014</v>
      </c>
      <c r="O43" s="11">
        <f t="shared" si="1"/>
        <v>0.11721611721608036</v>
      </c>
      <c r="Q43" s="14"/>
      <c r="R43" s="13" t="s">
        <v>6</v>
      </c>
      <c r="S43" s="10">
        <v>4</v>
      </c>
      <c r="T43" s="12">
        <v>42476.190476169999</v>
      </c>
      <c r="U43" s="10">
        <f t="shared" si="2"/>
        <v>-6</v>
      </c>
      <c r="V43" s="12">
        <f t="shared" si="3"/>
        <v>-73714.28571428002</v>
      </c>
      <c r="W43" s="11">
        <f t="shared" si="4"/>
        <v>-0.63442622950829064</v>
      </c>
      <c r="Y43" s="14"/>
      <c r="Z43" s="13" t="s">
        <v>6</v>
      </c>
      <c r="AA43" s="10">
        <v>14</v>
      </c>
      <c r="AB43" s="12">
        <v>170095.23809520999</v>
      </c>
      <c r="AC43" s="10">
        <f t="shared" si="5"/>
        <v>10</v>
      </c>
      <c r="AD43" s="12">
        <f t="shared" si="5"/>
        <v>127619.04761903999</v>
      </c>
      <c r="AE43" s="11">
        <f t="shared" si="6"/>
        <v>3.0044843049340044</v>
      </c>
      <c r="AG43" s="14"/>
      <c r="AH43" s="13" t="s">
        <v>6</v>
      </c>
      <c r="AI43" s="13">
        <v>7</v>
      </c>
      <c r="AJ43" s="45">
        <v>65047.619047600005</v>
      </c>
      <c r="AK43" s="10">
        <f t="shared" si="7"/>
        <v>-7</v>
      </c>
      <c r="AL43" s="12">
        <f t="shared" si="7"/>
        <v>-105047.61904760999</v>
      </c>
      <c r="AM43" s="11">
        <f t="shared" si="8"/>
        <v>-0.61758118701012721</v>
      </c>
      <c r="AO43" s="14"/>
      <c r="AP43" s="13" t="s">
        <v>6</v>
      </c>
      <c r="AQ43" s="10">
        <v>12</v>
      </c>
      <c r="AR43" s="12">
        <v>109333.33333331</v>
      </c>
      <c r="AS43" s="10">
        <f t="shared" si="9"/>
        <v>5</v>
      </c>
      <c r="AT43" s="12">
        <f t="shared" si="9"/>
        <v>44285.714285709997</v>
      </c>
      <c r="AU43" s="11">
        <f t="shared" si="10"/>
        <v>0.68081991215240278</v>
      </c>
      <c r="AW43" s="14"/>
      <c r="AX43" s="13" t="s">
        <v>6</v>
      </c>
      <c r="AY43" s="10">
        <v>5</v>
      </c>
      <c r="AZ43" s="12">
        <v>54761.904761880003</v>
      </c>
      <c r="BA43" s="10">
        <f t="shared" si="11"/>
        <v>-7</v>
      </c>
      <c r="BB43" s="12">
        <f t="shared" si="12"/>
        <v>-54571.428571429999</v>
      </c>
      <c r="BC43" s="11">
        <f t="shared" si="13"/>
        <v>-0.49912891986074676</v>
      </c>
      <c r="BE43" s="14"/>
      <c r="BF43" s="13" t="s">
        <v>6</v>
      </c>
      <c r="BG43" s="10">
        <v>5</v>
      </c>
      <c r="BH43" s="12">
        <v>54761.904761880003</v>
      </c>
      <c r="BI43" s="10">
        <f t="shared" si="14"/>
        <v>0</v>
      </c>
      <c r="BJ43" s="12">
        <f t="shared" si="15"/>
        <v>0</v>
      </c>
      <c r="BK43" s="11">
        <f t="shared" si="16"/>
        <v>0</v>
      </c>
      <c r="BM43" s="14"/>
      <c r="BN43" s="13" t="s">
        <v>6</v>
      </c>
      <c r="BO43" s="10">
        <v>2</v>
      </c>
      <c r="BP43" s="12">
        <v>16952.380952380001</v>
      </c>
      <c r="BQ43" s="10">
        <f t="shared" si="17"/>
        <v>-3</v>
      </c>
      <c r="BR43" s="12">
        <f t="shared" si="18"/>
        <v>-37809.523809500002</v>
      </c>
      <c r="BS43" s="11">
        <f t="shared" si="19"/>
        <v>-0.69043478260857305</v>
      </c>
      <c r="BU43" s="14"/>
      <c r="BV43" s="13" t="s">
        <v>6</v>
      </c>
      <c r="BW43" s="10">
        <v>3</v>
      </c>
      <c r="BX43" s="12">
        <v>27333</v>
      </c>
      <c r="BY43" s="10">
        <f t="shared" si="32"/>
        <v>1</v>
      </c>
      <c r="BZ43" s="12">
        <f t="shared" si="21"/>
        <v>10380.619047619999</v>
      </c>
      <c r="CA43" s="11">
        <f t="shared" si="22"/>
        <v>0.61233988764053993</v>
      </c>
      <c r="CC43" s="14"/>
      <c r="CD43" s="13" t="s">
        <v>6</v>
      </c>
      <c r="CE43" s="10">
        <v>2</v>
      </c>
      <c r="CF43" s="12">
        <v>15048</v>
      </c>
      <c r="CG43" s="10">
        <f t="shared" si="23"/>
        <v>-1</v>
      </c>
      <c r="CH43" s="12">
        <f t="shared" si="24"/>
        <v>-12285</v>
      </c>
      <c r="CI43" s="11">
        <f t="shared" si="25"/>
        <v>-0.44945670069147187</v>
      </c>
      <c r="CK43" s="14"/>
      <c r="CL43" s="13" t="s">
        <v>6</v>
      </c>
      <c r="CN43" s="12"/>
      <c r="CO43" s="10">
        <f t="shared" si="26"/>
        <v>-2</v>
      </c>
      <c r="CP43" s="12">
        <f t="shared" si="27"/>
        <v>-15048</v>
      </c>
      <c r="CQ43" s="11">
        <f t="shared" si="28"/>
        <v>-1</v>
      </c>
      <c r="CS43" s="14"/>
      <c r="CT43" s="13" t="s">
        <v>6</v>
      </c>
      <c r="CV43" s="12"/>
      <c r="CW43" s="10">
        <f t="shared" si="29"/>
        <v>0</v>
      </c>
      <c r="CX43" s="12">
        <f t="shared" si="30"/>
        <v>0</v>
      </c>
      <c r="CY43" s="11" t="e">
        <f t="shared" si="31"/>
        <v>#DIV/0!</v>
      </c>
    </row>
    <row r="44" spans="1:103" s="10" customFormat="1" ht="20" customHeight="1">
      <c r="A44" s="14"/>
      <c r="B44" s="13" t="s">
        <v>5</v>
      </c>
      <c r="C44" s="10">
        <v>4</v>
      </c>
      <c r="D44" s="12">
        <v>10880</v>
      </c>
      <c r="F44" s="12"/>
      <c r="G44" s="11"/>
      <c r="I44" s="14"/>
      <c r="J44" s="13" t="s">
        <v>5</v>
      </c>
      <c r="K44" s="10">
        <v>1</v>
      </c>
      <c r="L44" s="12">
        <v>2590</v>
      </c>
      <c r="M44" s="10">
        <f t="shared" si="0"/>
        <v>-3</v>
      </c>
      <c r="N44" s="12">
        <f t="shared" si="0"/>
        <v>-8290</v>
      </c>
      <c r="O44" s="11">
        <f t="shared" si="1"/>
        <v>-0.76194852941176472</v>
      </c>
      <c r="Q44" s="14"/>
      <c r="R44" s="13" t="s">
        <v>5</v>
      </c>
      <c r="S44" s="10">
        <v>3</v>
      </c>
      <c r="T44" s="12">
        <v>4490</v>
      </c>
      <c r="U44" s="10">
        <f t="shared" si="2"/>
        <v>2</v>
      </c>
      <c r="V44" s="12">
        <f t="shared" si="3"/>
        <v>1900</v>
      </c>
      <c r="W44" s="11">
        <f t="shared" si="4"/>
        <v>0.73359073359073357</v>
      </c>
      <c r="Y44" s="14"/>
      <c r="Z44" s="13" t="s">
        <v>5</v>
      </c>
      <c r="AA44" s="10">
        <v>1</v>
      </c>
      <c r="AB44" s="12">
        <v>0</v>
      </c>
      <c r="AC44" s="10">
        <f t="shared" si="5"/>
        <v>-2</v>
      </c>
      <c r="AD44" s="12">
        <f t="shared" si="5"/>
        <v>-4490</v>
      </c>
      <c r="AE44" s="11">
        <f t="shared" si="6"/>
        <v>-1</v>
      </c>
      <c r="AG44" s="14"/>
      <c r="AH44" s="13" t="s">
        <v>5</v>
      </c>
      <c r="AI44" s="13">
        <v>1</v>
      </c>
      <c r="AJ44" s="45">
        <v>0</v>
      </c>
      <c r="AK44" s="10">
        <f t="shared" si="7"/>
        <v>0</v>
      </c>
      <c r="AL44" s="12">
        <f t="shared" si="7"/>
        <v>0</v>
      </c>
      <c r="AM44" s="11" t="e">
        <f t="shared" si="8"/>
        <v>#DIV/0!</v>
      </c>
      <c r="AO44" s="14"/>
      <c r="AP44" s="13" t="s">
        <v>5</v>
      </c>
      <c r="AQ44" s="10">
        <v>3</v>
      </c>
      <c r="AR44" s="12">
        <v>9490</v>
      </c>
      <c r="AS44" s="10">
        <f t="shared" si="9"/>
        <v>2</v>
      </c>
      <c r="AT44" s="12">
        <f t="shared" si="9"/>
        <v>9490</v>
      </c>
      <c r="AU44" s="11" t="e">
        <f t="shared" si="10"/>
        <v>#DIV/0!</v>
      </c>
      <c r="AW44" s="14"/>
      <c r="AX44" s="13" t="s">
        <v>5</v>
      </c>
      <c r="AY44" s="10">
        <v>0</v>
      </c>
      <c r="AZ44" s="12">
        <v>0</v>
      </c>
      <c r="BA44" s="10">
        <f t="shared" si="11"/>
        <v>-3</v>
      </c>
      <c r="BB44" s="12">
        <f t="shared" si="12"/>
        <v>-9490</v>
      </c>
      <c r="BC44" s="11">
        <f t="shared" si="13"/>
        <v>-1</v>
      </c>
      <c r="BE44" s="14"/>
      <c r="BF44" s="13" t="s">
        <v>5</v>
      </c>
      <c r="BG44" s="10">
        <v>3</v>
      </c>
      <c r="BH44" s="12">
        <v>15270</v>
      </c>
      <c r="BI44" s="10">
        <f t="shared" si="14"/>
        <v>3</v>
      </c>
      <c r="BJ44" s="12">
        <f t="shared" si="15"/>
        <v>15270</v>
      </c>
      <c r="BK44" s="11" t="e">
        <f t="shared" si="16"/>
        <v>#DIV/0!</v>
      </c>
      <c r="BM44" s="14"/>
      <c r="BN44" s="13" t="s">
        <v>5</v>
      </c>
      <c r="BO44" s="10">
        <v>2</v>
      </c>
      <c r="BP44" s="12">
        <v>4608</v>
      </c>
      <c r="BQ44" s="10">
        <f t="shared" si="17"/>
        <v>-1</v>
      </c>
      <c r="BR44" s="12">
        <f t="shared" si="18"/>
        <v>-10662</v>
      </c>
      <c r="BS44" s="11">
        <f t="shared" si="19"/>
        <v>-0.69823182711198428</v>
      </c>
      <c r="BU44" s="14"/>
      <c r="BV44" s="13" t="s">
        <v>5</v>
      </c>
      <c r="BW44" s="10">
        <v>2</v>
      </c>
      <c r="BX44" s="12">
        <v>10680</v>
      </c>
      <c r="BY44" s="10">
        <f t="shared" si="32"/>
        <v>0</v>
      </c>
      <c r="BZ44" s="12">
        <f t="shared" si="21"/>
        <v>6072</v>
      </c>
      <c r="CA44" s="11">
        <f t="shared" si="22"/>
        <v>1.3177083333333333</v>
      </c>
      <c r="CC44" s="14"/>
      <c r="CD44" s="13" t="s">
        <v>5</v>
      </c>
      <c r="CE44" s="50">
        <v>1</v>
      </c>
      <c r="CF44" s="50">
        <v>6990</v>
      </c>
      <c r="CG44" s="10">
        <f t="shared" si="23"/>
        <v>-1</v>
      </c>
      <c r="CH44" s="12">
        <f t="shared" si="24"/>
        <v>-3690</v>
      </c>
      <c r="CI44" s="11">
        <f t="shared" si="25"/>
        <v>-0.3455056179775281</v>
      </c>
      <c r="CK44" s="14"/>
      <c r="CL44" s="13" t="s">
        <v>5</v>
      </c>
      <c r="CN44" s="12"/>
      <c r="CO44" s="10">
        <f t="shared" si="26"/>
        <v>-1</v>
      </c>
      <c r="CP44" s="12">
        <f t="shared" si="27"/>
        <v>-6990</v>
      </c>
      <c r="CQ44" s="11">
        <f t="shared" si="28"/>
        <v>-1</v>
      </c>
      <c r="CS44" s="14"/>
      <c r="CT44" s="13" t="s">
        <v>5</v>
      </c>
      <c r="CV44" s="12"/>
      <c r="CW44" s="10">
        <f t="shared" si="29"/>
        <v>0</v>
      </c>
      <c r="CX44" s="12">
        <f t="shared" si="30"/>
        <v>0</v>
      </c>
      <c r="CY44" s="11" t="e">
        <f t="shared" si="31"/>
        <v>#DIV/0!</v>
      </c>
    </row>
    <row r="45" spans="1:103" s="10" customFormat="1" ht="20" customHeight="1">
      <c r="A45" s="14"/>
      <c r="B45" s="13" t="s">
        <v>4</v>
      </c>
      <c r="C45" s="10">
        <v>5</v>
      </c>
      <c r="D45" s="12">
        <v>173233.33333331998</v>
      </c>
      <c r="F45" s="12"/>
      <c r="G45" s="11"/>
      <c r="I45" s="14"/>
      <c r="J45" s="13" t="s">
        <v>4</v>
      </c>
      <c r="K45" s="10">
        <v>5</v>
      </c>
      <c r="L45" s="12">
        <v>159523.80952377999</v>
      </c>
      <c r="M45" s="10">
        <f t="shared" si="0"/>
        <v>0</v>
      </c>
      <c r="N45" s="12">
        <f t="shared" si="0"/>
        <v>-13709.523809539998</v>
      </c>
      <c r="O45" s="11">
        <f t="shared" si="1"/>
        <v>-7.9139063745667051E-2</v>
      </c>
      <c r="Q45" s="14"/>
      <c r="R45" s="13" t="s">
        <v>4</v>
      </c>
      <c r="S45" s="10">
        <v>6</v>
      </c>
      <c r="T45" s="12">
        <v>219084.76190473</v>
      </c>
      <c r="U45" s="10">
        <f t="shared" si="2"/>
        <v>1</v>
      </c>
      <c r="V45" s="12">
        <f t="shared" si="3"/>
        <v>59560.95238095001</v>
      </c>
      <c r="W45" s="11">
        <f t="shared" si="4"/>
        <v>0.37336716417915877</v>
      </c>
      <c r="Y45" s="14"/>
      <c r="Z45" s="13" t="s">
        <v>4</v>
      </c>
      <c r="AA45" s="10">
        <v>4</v>
      </c>
      <c r="AB45" s="12">
        <v>134825.7142857</v>
      </c>
      <c r="AC45" s="10">
        <f t="shared" si="5"/>
        <v>-2</v>
      </c>
      <c r="AD45" s="12">
        <f t="shared" si="5"/>
        <v>-84259.047619029996</v>
      </c>
      <c r="AE45" s="11">
        <f t="shared" si="6"/>
        <v>-0.38459565551925706</v>
      </c>
      <c r="AG45" s="14"/>
      <c r="AH45" s="13" t="s">
        <v>4</v>
      </c>
      <c r="AI45" s="13">
        <v>3</v>
      </c>
      <c r="AJ45" s="45">
        <v>103228.57142856001</v>
      </c>
      <c r="AK45" s="10">
        <f t="shared" si="7"/>
        <v>-1</v>
      </c>
      <c r="AL45" s="12">
        <f t="shared" si="7"/>
        <v>-31597.142857139988</v>
      </c>
      <c r="AM45" s="11">
        <f t="shared" si="8"/>
        <v>-0.23435546419716816</v>
      </c>
      <c r="AO45" s="14"/>
      <c r="AP45" s="13" t="s">
        <v>4</v>
      </c>
      <c r="AQ45" s="10">
        <v>6</v>
      </c>
      <c r="AR45" s="12">
        <v>261334.28571425</v>
      </c>
      <c r="AS45" s="10">
        <f t="shared" si="9"/>
        <v>3</v>
      </c>
      <c r="AT45" s="12">
        <f t="shared" si="9"/>
        <v>158105.71428568999</v>
      </c>
      <c r="AU45" s="11">
        <f t="shared" si="10"/>
        <v>1.5316080819263109</v>
      </c>
      <c r="AW45" s="14"/>
      <c r="AX45" s="13" t="s">
        <v>4</v>
      </c>
      <c r="AY45" s="10">
        <v>2</v>
      </c>
      <c r="AZ45" s="12">
        <v>46476.190476180003</v>
      </c>
      <c r="BA45" s="10">
        <f t="shared" si="11"/>
        <v>-4</v>
      </c>
      <c r="BB45" s="12">
        <f t="shared" si="12"/>
        <v>-214858.09523807</v>
      </c>
      <c r="BC45" s="11">
        <f t="shared" si="13"/>
        <v>-0.82215808251429234</v>
      </c>
      <c r="BE45" s="14"/>
      <c r="BF45" s="13" t="s">
        <v>4</v>
      </c>
      <c r="BG45" s="10">
        <v>4</v>
      </c>
      <c r="BH45" s="12">
        <v>129160.95238094</v>
      </c>
      <c r="BI45" s="10">
        <f t="shared" si="14"/>
        <v>2</v>
      </c>
      <c r="BJ45" s="12">
        <f t="shared" si="15"/>
        <v>82684.761904760002</v>
      </c>
      <c r="BK45" s="11">
        <f t="shared" si="16"/>
        <v>1.779077868852819</v>
      </c>
      <c r="BM45" s="14"/>
      <c r="BN45" s="13" t="s">
        <v>4</v>
      </c>
      <c r="BO45" s="10">
        <v>7</v>
      </c>
      <c r="BP45" s="12">
        <v>214542.85714281001</v>
      </c>
      <c r="BQ45" s="10">
        <f t="shared" si="17"/>
        <v>3</v>
      </c>
      <c r="BR45" s="12">
        <f t="shared" si="18"/>
        <v>85381.904761870013</v>
      </c>
      <c r="BS45" s="11">
        <f t="shared" si="19"/>
        <v>0.66105044278435998</v>
      </c>
      <c r="BU45" s="14"/>
      <c r="BV45" s="13" t="s">
        <v>4</v>
      </c>
      <c r="BW45" s="10">
        <v>8</v>
      </c>
      <c r="BX45" s="12">
        <v>258722</v>
      </c>
      <c r="BY45" s="10">
        <f t="shared" si="32"/>
        <v>1</v>
      </c>
      <c r="BZ45" s="12">
        <f t="shared" si="21"/>
        <v>44179.142857189989</v>
      </c>
      <c r="CA45" s="11">
        <f t="shared" si="22"/>
        <v>0.20592222666160465</v>
      </c>
      <c r="CC45" s="14"/>
      <c r="CD45" s="13" t="s">
        <v>4</v>
      </c>
      <c r="CE45" s="50">
        <v>4</v>
      </c>
      <c r="CF45" s="50">
        <v>112952</v>
      </c>
      <c r="CG45" s="10">
        <f t="shared" si="23"/>
        <v>-4</v>
      </c>
      <c r="CH45" s="12">
        <f t="shared" si="24"/>
        <v>-145770</v>
      </c>
      <c r="CI45" s="11">
        <f t="shared" si="25"/>
        <v>-0.56342328831718991</v>
      </c>
      <c r="CK45" s="14"/>
      <c r="CL45" s="13" t="s">
        <v>4</v>
      </c>
      <c r="CN45" s="12"/>
      <c r="CO45" s="10">
        <f t="shared" si="26"/>
        <v>-4</v>
      </c>
      <c r="CP45" s="12">
        <f t="shared" si="27"/>
        <v>-112952</v>
      </c>
      <c r="CQ45" s="11">
        <f t="shared" si="28"/>
        <v>-1</v>
      </c>
      <c r="CS45" s="14"/>
      <c r="CT45" s="13" t="s">
        <v>4</v>
      </c>
      <c r="CV45" s="12"/>
      <c r="CW45" s="10">
        <f t="shared" si="29"/>
        <v>0</v>
      </c>
      <c r="CX45" s="12">
        <f t="shared" si="30"/>
        <v>0</v>
      </c>
      <c r="CY45" s="11" t="e">
        <f t="shared" si="31"/>
        <v>#DIV/0!</v>
      </c>
    </row>
    <row r="46" spans="1:103" s="10" customFormat="1" ht="20" customHeight="1">
      <c r="A46" s="14"/>
      <c r="B46" s="13" t="s">
        <v>3</v>
      </c>
      <c r="C46" s="10">
        <v>12</v>
      </c>
      <c r="D46" s="12">
        <v>342666.66666660999</v>
      </c>
      <c r="F46" s="12"/>
      <c r="G46" s="11"/>
      <c r="I46" s="14"/>
      <c r="J46" s="13" t="s">
        <v>3</v>
      </c>
      <c r="K46" s="10">
        <v>10</v>
      </c>
      <c r="L46" s="12">
        <v>235238.09523804</v>
      </c>
      <c r="M46" s="10">
        <f t="shared" si="0"/>
        <v>-2</v>
      </c>
      <c r="N46" s="12">
        <f t="shared" si="0"/>
        <v>-107428.57142856999</v>
      </c>
      <c r="O46" s="11">
        <f t="shared" si="1"/>
        <v>-0.31350750416903045</v>
      </c>
      <c r="Q46" s="14"/>
      <c r="R46" s="13" t="s">
        <v>3</v>
      </c>
      <c r="S46" s="10">
        <v>8</v>
      </c>
      <c r="T46" s="12">
        <v>208761.90476187001</v>
      </c>
      <c r="U46" s="10">
        <f t="shared" si="2"/>
        <v>-2</v>
      </c>
      <c r="V46" s="12">
        <f t="shared" si="3"/>
        <v>-26476.190476169984</v>
      </c>
      <c r="W46" s="11">
        <f t="shared" si="4"/>
        <v>-0.11255060728738871</v>
      </c>
      <c r="Y46" s="14"/>
      <c r="Z46" s="13" t="s">
        <v>3</v>
      </c>
      <c r="AA46" s="10">
        <v>2</v>
      </c>
      <c r="AB46" s="12">
        <v>39619.04761904</v>
      </c>
      <c r="AC46" s="10">
        <f t="shared" si="5"/>
        <v>-6</v>
      </c>
      <c r="AD46" s="12">
        <f t="shared" si="5"/>
        <v>-169142.85714283001</v>
      </c>
      <c r="AE46" s="11">
        <f t="shared" si="6"/>
        <v>-0.81021897810219468</v>
      </c>
      <c r="AG46" s="14"/>
      <c r="AH46" s="13" t="s">
        <v>3</v>
      </c>
      <c r="AI46" s="13">
        <v>7</v>
      </c>
      <c r="AJ46" s="45">
        <v>145999.99999997998</v>
      </c>
      <c r="AK46" s="10">
        <f t="shared" si="7"/>
        <v>5</v>
      </c>
      <c r="AL46" s="12">
        <f t="shared" si="7"/>
        <v>106380.95238093997</v>
      </c>
      <c r="AM46" s="11">
        <f t="shared" si="8"/>
        <v>2.6850961538463567</v>
      </c>
      <c r="AO46" s="14"/>
      <c r="AP46" s="13" t="s">
        <v>3</v>
      </c>
      <c r="AQ46" s="10">
        <v>8</v>
      </c>
      <c r="AR46" s="12">
        <v>179333.33333329999</v>
      </c>
      <c r="AS46" s="10">
        <f t="shared" si="9"/>
        <v>1</v>
      </c>
      <c r="AT46" s="12">
        <f t="shared" si="9"/>
        <v>33333.333333320013</v>
      </c>
      <c r="AU46" s="11">
        <f t="shared" si="10"/>
        <v>0.22831050228304511</v>
      </c>
      <c r="AW46" s="14"/>
      <c r="AX46" s="13" t="s">
        <v>3</v>
      </c>
      <c r="AY46" s="10">
        <v>7</v>
      </c>
      <c r="AZ46" s="12">
        <v>201142.85714281999</v>
      </c>
      <c r="BA46" s="10">
        <f t="shared" si="11"/>
        <v>-1</v>
      </c>
      <c r="BB46" s="12">
        <f t="shared" si="12"/>
        <v>21809.523809520004</v>
      </c>
      <c r="BC46" s="11">
        <f t="shared" si="13"/>
        <v>0.12161444503452078</v>
      </c>
      <c r="BE46" s="14"/>
      <c r="BF46" s="13" t="s">
        <v>3</v>
      </c>
      <c r="BG46" s="10">
        <v>9</v>
      </c>
      <c r="BH46" s="12">
        <v>215809.52380947</v>
      </c>
      <c r="BI46" s="10">
        <f t="shared" si="14"/>
        <v>2</v>
      </c>
      <c r="BJ46" s="12">
        <f t="shared" si="15"/>
        <v>14666.66666665001</v>
      </c>
      <c r="BK46" s="11">
        <f t="shared" si="16"/>
        <v>7.2916666666597324E-2</v>
      </c>
      <c r="BM46" s="14"/>
      <c r="BN46" s="13" t="s">
        <v>3</v>
      </c>
      <c r="BO46" s="10">
        <v>13</v>
      </c>
      <c r="BP46" s="12">
        <v>245238.09523802</v>
      </c>
      <c r="BQ46" s="10">
        <f t="shared" si="17"/>
        <v>4</v>
      </c>
      <c r="BR46" s="12">
        <f t="shared" si="18"/>
        <v>29428.57142855</v>
      </c>
      <c r="BS46" s="11">
        <f t="shared" si="19"/>
        <v>0.13636363636357107</v>
      </c>
      <c r="BU46" s="14"/>
      <c r="BV46" s="13" t="s">
        <v>3</v>
      </c>
      <c r="BW46" s="10">
        <v>9</v>
      </c>
      <c r="BX46" s="12">
        <v>187810</v>
      </c>
      <c r="BY46" s="10">
        <f t="shared" si="32"/>
        <v>-4</v>
      </c>
      <c r="BZ46" s="12">
        <f t="shared" si="21"/>
        <v>-57428.095238020003</v>
      </c>
      <c r="CA46" s="11">
        <f t="shared" si="22"/>
        <v>-0.23417281553374564</v>
      </c>
      <c r="CC46" s="14"/>
      <c r="CD46" s="13" t="s">
        <v>3</v>
      </c>
      <c r="CE46" s="50">
        <v>24</v>
      </c>
      <c r="CF46" s="50">
        <v>543524</v>
      </c>
      <c r="CG46" s="10">
        <f t="shared" si="23"/>
        <v>15</v>
      </c>
      <c r="CH46" s="12">
        <f t="shared" si="24"/>
        <v>355714</v>
      </c>
      <c r="CI46" s="11">
        <f t="shared" si="25"/>
        <v>1.894009903626005</v>
      </c>
      <c r="CK46" s="14"/>
      <c r="CL46" s="13" t="s">
        <v>3</v>
      </c>
      <c r="CN46" s="12"/>
      <c r="CO46" s="10">
        <f t="shared" si="26"/>
        <v>-24</v>
      </c>
      <c r="CP46" s="12">
        <f t="shared" si="27"/>
        <v>-543524</v>
      </c>
      <c r="CQ46" s="11">
        <f t="shared" si="28"/>
        <v>-1</v>
      </c>
      <c r="CS46" s="14"/>
      <c r="CT46" s="13" t="s">
        <v>3</v>
      </c>
      <c r="CV46" s="12"/>
      <c r="CW46" s="10">
        <f t="shared" si="29"/>
        <v>0</v>
      </c>
      <c r="CX46" s="12">
        <f t="shared" si="30"/>
        <v>0</v>
      </c>
      <c r="CY46" s="11" t="e">
        <f t="shared" si="31"/>
        <v>#DIV/0!</v>
      </c>
    </row>
    <row r="47" spans="1:103" s="10" customFormat="1" ht="20" customHeight="1">
      <c r="A47" s="14"/>
      <c r="B47" s="13" t="s">
        <v>2</v>
      </c>
      <c r="C47" s="10">
        <v>26</v>
      </c>
      <c r="D47" s="12">
        <v>867047.61904758995</v>
      </c>
      <c r="F47" s="12"/>
      <c r="G47" s="11"/>
      <c r="I47" s="14"/>
      <c r="J47" s="13" t="s">
        <v>2</v>
      </c>
      <c r="K47" s="10">
        <v>12</v>
      </c>
      <c r="L47" s="12">
        <v>419809.52380949992</v>
      </c>
      <c r="M47" s="10">
        <f t="shared" si="0"/>
        <v>-14</v>
      </c>
      <c r="N47" s="12">
        <f t="shared" si="0"/>
        <v>-447238.09523809003</v>
      </c>
      <c r="O47" s="11">
        <f t="shared" si="1"/>
        <v>-0.51581722319860535</v>
      </c>
      <c r="Q47" s="14"/>
      <c r="R47" s="13" t="s">
        <v>2</v>
      </c>
      <c r="S47" s="10">
        <v>16</v>
      </c>
      <c r="T47" s="12">
        <v>540380.95238092996</v>
      </c>
      <c r="U47" s="10">
        <f t="shared" si="2"/>
        <v>4</v>
      </c>
      <c r="V47" s="12">
        <f t="shared" si="3"/>
        <v>120571.42857143003</v>
      </c>
      <c r="W47" s="11">
        <f t="shared" si="4"/>
        <v>0.28720508166971132</v>
      </c>
      <c r="Y47" s="14"/>
      <c r="Z47" s="13" t="s">
        <v>2</v>
      </c>
      <c r="AA47" s="10">
        <v>13</v>
      </c>
      <c r="AB47" s="12">
        <v>476857.14285711996</v>
      </c>
      <c r="AC47" s="10">
        <f t="shared" si="5"/>
        <v>-3</v>
      </c>
      <c r="AD47" s="12">
        <f t="shared" si="5"/>
        <v>-63523.809523809992</v>
      </c>
      <c r="AE47" s="11">
        <f t="shared" si="6"/>
        <v>-0.11755375396546221</v>
      </c>
      <c r="AG47" s="14"/>
      <c r="AH47" s="13" t="s">
        <v>2</v>
      </c>
      <c r="AI47" s="13">
        <v>19</v>
      </c>
      <c r="AJ47" s="45">
        <v>663904.76190473</v>
      </c>
      <c r="AK47" s="10">
        <f t="shared" si="7"/>
        <v>6</v>
      </c>
      <c r="AL47" s="12">
        <f t="shared" si="7"/>
        <v>187047.61904761003</v>
      </c>
      <c r="AM47" s="11">
        <f t="shared" si="8"/>
        <v>0.39225084881166361</v>
      </c>
      <c r="AO47" s="14"/>
      <c r="AP47" s="13" t="s">
        <v>2</v>
      </c>
      <c r="AQ47" s="10">
        <v>24</v>
      </c>
      <c r="AR47" s="12">
        <v>922476.19047615991</v>
      </c>
      <c r="AS47" s="10">
        <f t="shared" si="9"/>
        <v>5</v>
      </c>
      <c r="AT47" s="12">
        <f t="shared" si="9"/>
        <v>258571.42857142992</v>
      </c>
      <c r="AU47" s="11">
        <f t="shared" si="10"/>
        <v>0.38947066418019577</v>
      </c>
      <c r="AW47" s="14"/>
      <c r="AX47" s="13" t="s">
        <v>2</v>
      </c>
      <c r="AY47" s="10">
        <v>16</v>
      </c>
      <c r="AZ47" s="12">
        <v>650857.14285712002</v>
      </c>
      <c r="BA47" s="10">
        <f t="shared" si="11"/>
        <v>-8</v>
      </c>
      <c r="BB47" s="12">
        <f t="shared" si="12"/>
        <v>-271619.04761903989</v>
      </c>
      <c r="BC47" s="11">
        <f t="shared" si="13"/>
        <v>-0.29444559157547112</v>
      </c>
      <c r="BE47" s="14"/>
      <c r="BF47" s="13" t="s">
        <v>2</v>
      </c>
      <c r="BG47" s="10">
        <v>15</v>
      </c>
      <c r="BH47" s="12">
        <v>490952.38095235999</v>
      </c>
      <c r="BI47" s="10">
        <f t="shared" si="14"/>
        <v>-1</v>
      </c>
      <c r="BJ47" s="12">
        <f t="shared" si="15"/>
        <v>-159904.76190476003</v>
      </c>
      <c r="BK47" s="11">
        <f t="shared" si="16"/>
        <v>-0.24568334796605784</v>
      </c>
      <c r="BM47" s="14"/>
      <c r="BN47" s="13" t="s">
        <v>2</v>
      </c>
      <c r="BO47" s="10">
        <v>22</v>
      </c>
      <c r="BP47" s="12">
        <v>702493.33333330997</v>
      </c>
      <c r="BQ47" s="10">
        <f t="shared" si="17"/>
        <v>7</v>
      </c>
      <c r="BR47" s="12">
        <f t="shared" si="18"/>
        <v>211540.95238094998</v>
      </c>
      <c r="BS47" s="11">
        <f t="shared" si="19"/>
        <v>0.43087875848691942</v>
      </c>
      <c r="BU47" s="14"/>
      <c r="BV47" s="13" t="s">
        <v>2</v>
      </c>
      <c r="BW47" s="10">
        <v>15</v>
      </c>
      <c r="BX47" s="12">
        <v>498571</v>
      </c>
      <c r="BY47" s="10">
        <f t="shared" si="32"/>
        <v>-7</v>
      </c>
      <c r="BZ47" s="12">
        <f t="shared" si="21"/>
        <v>-203922.33333330997</v>
      </c>
      <c r="CA47" s="11">
        <f t="shared" si="22"/>
        <v>-0.29028365630988207</v>
      </c>
      <c r="CC47" s="14"/>
      <c r="CD47" s="13" t="s">
        <v>2</v>
      </c>
      <c r="CE47" s="50">
        <v>10</v>
      </c>
      <c r="CF47" s="50">
        <v>400000</v>
      </c>
      <c r="CG47" s="10">
        <f t="shared" si="23"/>
        <v>-5</v>
      </c>
      <c r="CH47" s="12">
        <f t="shared" si="24"/>
        <v>-98571</v>
      </c>
      <c r="CI47" s="11">
        <f t="shared" si="25"/>
        <v>-0.19770704673958173</v>
      </c>
      <c r="CK47" s="14"/>
      <c r="CL47" s="13" t="s">
        <v>2</v>
      </c>
      <c r="CN47" s="12"/>
      <c r="CO47" s="10">
        <f t="shared" si="26"/>
        <v>-10</v>
      </c>
      <c r="CP47" s="12">
        <f t="shared" si="27"/>
        <v>-400000</v>
      </c>
      <c r="CQ47" s="11">
        <f t="shared" si="28"/>
        <v>-1</v>
      </c>
      <c r="CS47" s="14"/>
      <c r="CT47" s="13" t="s">
        <v>2</v>
      </c>
      <c r="CV47" s="12"/>
      <c r="CW47" s="10">
        <f t="shared" si="29"/>
        <v>0</v>
      </c>
      <c r="CX47" s="12">
        <f t="shared" si="30"/>
        <v>0</v>
      </c>
      <c r="CY47" s="11" t="e">
        <f t="shared" si="31"/>
        <v>#DIV/0!</v>
      </c>
    </row>
    <row r="48" spans="1:103" s="1" customFormat="1" ht="20" customHeight="1">
      <c r="A48" s="9" t="s">
        <v>10</v>
      </c>
      <c r="B48" s="9"/>
      <c r="C48" s="8">
        <v>227</v>
      </c>
      <c r="D48" s="7">
        <v>1754078.0952374698</v>
      </c>
      <c r="E48" s="27"/>
      <c r="F48" s="28"/>
      <c r="G48" s="29"/>
      <c r="I48" s="9" t="s">
        <v>10</v>
      </c>
      <c r="J48" s="9"/>
      <c r="K48" s="8">
        <v>191</v>
      </c>
      <c r="L48" s="7">
        <v>1148108.0952374698</v>
      </c>
      <c r="M48" s="27">
        <f t="shared" si="0"/>
        <v>-36</v>
      </c>
      <c r="N48" s="28">
        <f t="shared" si="0"/>
        <v>-605970</v>
      </c>
      <c r="O48" s="29">
        <f t="shared" si="1"/>
        <v>-0.34546352391337676</v>
      </c>
      <c r="Q48" s="9" t="s">
        <v>10</v>
      </c>
      <c r="R48" s="9"/>
      <c r="S48" s="8">
        <v>234</v>
      </c>
      <c r="T48" s="7">
        <v>1310471.9047612399</v>
      </c>
      <c r="U48" s="27">
        <f t="shared" si="2"/>
        <v>43</v>
      </c>
      <c r="V48" s="28">
        <f t="shared" si="3"/>
        <v>162363.80952377012</v>
      </c>
      <c r="W48" s="29">
        <f t="shared" si="4"/>
        <v>0.14141857391066256</v>
      </c>
      <c r="Y48" s="9" t="s">
        <v>10</v>
      </c>
      <c r="Z48" s="9"/>
      <c r="AA48" s="8">
        <v>190</v>
      </c>
      <c r="AB48" s="7">
        <v>1006854.28571378</v>
      </c>
      <c r="AC48" s="27">
        <f t="shared" si="5"/>
        <v>-44</v>
      </c>
      <c r="AD48" s="28">
        <f t="shared" si="5"/>
        <v>-303617.61904745991</v>
      </c>
      <c r="AE48" s="29">
        <f t="shared" si="6"/>
        <v>-0.23168571408845062</v>
      </c>
      <c r="AG48" s="9" t="s">
        <v>10</v>
      </c>
      <c r="AH48" s="9"/>
      <c r="AI48" s="9">
        <v>207</v>
      </c>
      <c r="AJ48" s="46">
        <v>1184828.57142802</v>
      </c>
      <c r="AK48" s="27">
        <f t="shared" si="7"/>
        <v>17</v>
      </c>
      <c r="AL48" s="28">
        <f t="shared" si="7"/>
        <v>177974.28571424005</v>
      </c>
      <c r="AM48" s="29">
        <f t="shared" si="8"/>
        <v>0.17676270363995161</v>
      </c>
      <c r="AO48" s="9" t="s">
        <v>10</v>
      </c>
      <c r="AP48" s="9"/>
      <c r="AQ48" s="8">
        <v>263</v>
      </c>
      <c r="AR48" s="7">
        <v>1843946.1904751901</v>
      </c>
      <c r="AS48" s="27">
        <f t="shared" si="9"/>
        <v>56</v>
      </c>
      <c r="AT48" s="28">
        <f t="shared" si="9"/>
        <v>659117.61904717004</v>
      </c>
      <c r="AU48" s="29">
        <f t="shared" si="10"/>
        <v>0.55629787712898038</v>
      </c>
      <c r="AW48" s="9" t="s">
        <v>10</v>
      </c>
      <c r="AX48" s="9"/>
      <c r="AY48" s="8">
        <v>203</v>
      </c>
      <c r="AZ48" s="7">
        <v>1210194.2857134701</v>
      </c>
      <c r="BA48" s="27">
        <f t="shared" si="11"/>
        <v>-60</v>
      </c>
      <c r="BB48" s="28">
        <f t="shared" si="12"/>
        <v>-633751.90476171998</v>
      </c>
      <c r="BC48" s="29">
        <f t="shared" si="13"/>
        <v>-0.34369327480125672</v>
      </c>
      <c r="BE48" s="9" t="s">
        <v>10</v>
      </c>
      <c r="BF48" s="9"/>
      <c r="BG48" s="8">
        <v>231</v>
      </c>
      <c r="BH48" s="7">
        <v>1182069.9999991001</v>
      </c>
      <c r="BI48" s="27">
        <f t="shared" si="14"/>
        <v>28</v>
      </c>
      <c r="BJ48" s="28">
        <f t="shared" si="15"/>
        <v>-28124.285714369966</v>
      </c>
      <c r="BK48" s="29">
        <f t="shared" si="16"/>
        <v>-2.3239479847476964E-2</v>
      </c>
      <c r="BM48" s="9" t="s">
        <v>10</v>
      </c>
      <c r="BN48" s="9"/>
      <c r="BO48" s="8">
        <v>220</v>
      </c>
      <c r="BP48" s="7">
        <v>1372507.9999990601</v>
      </c>
      <c r="BQ48" s="27">
        <f t="shared" si="17"/>
        <v>-11</v>
      </c>
      <c r="BR48" s="28">
        <f t="shared" si="18"/>
        <v>190437.99999995995</v>
      </c>
      <c r="BS48" s="29">
        <f t="shared" si="19"/>
        <v>0.16110551828580788</v>
      </c>
      <c r="BU48" s="9" t="s">
        <v>10</v>
      </c>
      <c r="BV48" s="9"/>
      <c r="BW48" s="8">
        <v>225</v>
      </c>
      <c r="BX48" s="7">
        <v>1198282</v>
      </c>
      <c r="BY48" s="27">
        <f t="shared" si="32"/>
        <v>5</v>
      </c>
      <c r="BZ48" s="28">
        <f t="shared" si="21"/>
        <v>-174225.99999906006</v>
      </c>
      <c r="CA48" s="29">
        <f t="shared" si="22"/>
        <v>-0.12693987940265514</v>
      </c>
      <c r="CC48" s="9" t="s">
        <v>10</v>
      </c>
      <c r="CD48" s="9"/>
      <c r="CE48" s="51">
        <v>259</v>
      </c>
      <c r="CF48" s="51">
        <v>1370601</v>
      </c>
      <c r="CG48" s="27">
        <f t="shared" si="23"/>
        <v>34</v>
      </c>
      <c r="CH48" s="28">
        <f t="shared" si="24"/>
        <v>172319</v>
      </c>
      <c r="CI48" s="29">
        <f t="shared" si="25"/>
        <v>0.14380504755975637</v>
      </c>
      <c r="CK48" s="9" t="s">
        <v>10</v>
      </c>
      <c r="CL48" s="9"/>
      <c r="CM48" s="8"/>
      <c r="CN48" s="7"/>
      <c r="CO48" s="27">
        <f t="shared" si="26"/>
        <v>-259</v>
      </c>
      <c r="CP48" s="28">
        <f t="shared" si="27"/>
        <v>-1370601</v>
      </c>
      <c r="CQ48" s="29">
        <f t="shared" si="28"/>
        <v>-1</v>
      </c>
      <c r="CS48" s="9" t="s">
        <v>10</v>
      </c>
      <c r="CT48" s="9"/>
      <c r="CU48" s="8"/>
      <c r="CV48" s="7"/>
      <c r="CW48" s="27">
        <f t="shared" si="29"/>
        <v>0</v>
      </c>
      <c r="CX48" s="28">
        <f t="shared" si="30"/>
        <v>0</v>
      </c>
      <c r="CY48" s="29" t="e">
        <f t="shared" si="31"/>
        <v>#DIV/0!</v>
      </c>
    </row>
    <row r="49" spans="1:103" s="1" customFormat="1" ht="20" customHeight="1">
      <c r="A49" s="14">
        <v>84</v>
      </c>
      <c r="B49" s="32" t="s">
        <v>19</v>
      </c>
      <c r="D49" s="35"/>
      <c r="E49" s="10"/>
      <c r="F49" s="12"/>
      <c r="G49" s="36"/>
      <c r="I49" s="14">
        <v>84</v>
      </c>
      <c r="J49" s="32" t="s">
        <v>19</v>
      </c>
      <c r="L49" s="35"/>
      <c r="M49" s="10">
        <f t="shared" si="0"/>
        <v>0</v>
      </c>
      <c r="N49" s="12">
        <f t="shared" si="0"/>
        <v>0</v>
      </c>
      <c r="O49" s="11" t="e">
        <f t="shared" si="1"/>
        <v>#DIV/0!</v>
      </c>
      <c r="Q49" s="14">
        <v>84</v>
      </c>
      <c r="R49" s="32" t="s">
        <v>19</v>
      </c>
      <c r="T49" s="35"/>
      <c r="U49" s="10">
        <f t="shared" si="2"/>
        <v>0</v>
      </c>
      <c r="V49" s="12">
        <f t="shared" si="3"/>
        <v>0</v>
      </c>
      <c r="W49" s="11" t="e">
        <f t="shared" si="4"/>
        <v>#DIV/0!</v>
      </c>
      <c r="Y49" s="14">
        <v>84</v>
      </c>
      <c r="Z49" s="32" t="s">
        <v>19</v>
      </c>
      <c r="AB49" s="35"/>
      <c r="AC49" s="10">
        <f t="shared" si="5"/>
        <v>0</v>
      </c>
      <c r="AD49" s="12">
        <f t="shared" si="5"/>
        <v>0</v>
      </c>
      <c r="AE49" s="11" t="e">
        <f t="shared" si="6"/>
        <v>#DIV/0!</v>
      </c>
      <c r="AG49" s="14">
        <v>84</v>
      </c>
      <c r="AH49" s="32" t="s">
        <v>19</v>
      </c>
      <c r="AI49" s="32"/>
      <c r="AJ49" s="47"/>
      <c r="AK49" s="10">
        <f t="shared" si="7"/>
        <v>0</v>
      </c>
      <c r="AL49" s="12">
        <f t="shared" si="7"/>
        <v>0</v>
      </c>
      <c r="AM49" s="11" t="e">
        <f t="shared" si="8"/>
        <v>#DIV/0!</v>
      </c>
      <c r="AO49" s="14">
        <v>84</v>
      </c>
      <c r="AP49" s="32" t="s">
        <v>37</v>
      </c>
      <c r="AR49" s="35"/>
      <c r="AS49" s="10">
        <f t="shared" si="9"/>
        <v>0</v>
      </c>
      <c r="AT49" s="12">
        <f t="shared" si="9"/>
        <v>0</v>
      </c>
      <c r="AU49" s="11" t="e">
        <f t="shared" si="10"/>
        <v>#DIV/0!</v>
      </c>
      <c r="AW49" s="14">
        <v>84</v>
      </c>
      <c r="AX49" s="32" t="s">
        <v>37</v>
      </c>
      <c r="AZ49" s="35"/>
      <c r="BA49" s="10">
        <f t="shared" si="11"/>
        <v>0</v>
      </c>
      <c r="BB49" s="12">
        <f t="shared" si="12"/>
        <v>0</v>
      </c>
      <c r="BC49" s="11" t="e">
        <f t="shared" si="13"/>
        <v>#DIV/0!</v>
      </c>
      <c r="BE49" s="14">
        <v>84</v>
      </c>
      <c r="BF49" s="32" t="s">
        <v>19</v>
      </c>
      <c r="BH49" s="35"/>
      <c r="BI49" s="10">
        <f t="shared" si="14"/>
        <v>0</v>
      </c>
      <c r="BJ49" s="12">
        <f t="shared" si="15"/>
        <v>0</v>
      </c>
      <c r="BK49" s="11" t="e">
        <f t="shared" si="16"/>
        <v>#DIV/0!</v>
      </c>
      <c r="BM49" s="14">
        <v>84</v>
      </c>
      <c r="BN49" s="32" t="s">
        <v>37</v>
      </c>
      <c r="BP49" s="35"/>
      <c r="BQ49" s="10">
        <f t="shared" si="17"/>
        <v>0</v>
      </c>
      <c r="BR49" s="12">
        <f t="shared" si="18"/>
        <v>0</v>
      </c>
      <c r="BS49" s="11" t="e">
        <f t="shared" si="19"/>
        <v>#DIV/0!</v>
      </c>
      <c r="BU49" s="14">
        <v>84</v>
      </c>
      <c r="BV49" s="32" t="s">
        <v>37</v>
      </c>
      <c r="BW49" s="15"/>
      <c r="BX49" s="33"/>
      <c r="BY49" s="10">
        <f t="shared" si="32"/>
        <v>0</v>
      </c>
      <c r="BZ49" s="12">
        <f t="shared" si="21"/>
        <v>0</v>
      </c>
      <c r="CA49" s="11" t="e">
        <f t="shared" si="22"/>
        <v>#DIV/0!</v>
      </c>
      <c r="CC49" s="14">
        <v>84</v>
      </c>
      <c r="CD49" s="32" t="s">
        <v>37</v>
      </c>
      <c r="CE49" s="15"/>
      <c r="CF49" s="33"/>
      <c r="CG49" s="10">
        <f t="shared" si="23"/>
        <v>0</v>
      </c>
      <c r="CH49" s="12">
        <f t="shared" si="24"/>
        <v>0</v>
      </c>
      <c r="CI49" s="11" t="e">
        <f t="shared" si="25"/>
        <v>#DIV/0!</v>
      </c>
      <c r="CK49" s="14">
        <v>84</v>
      </c>
      <c r="CL49" s="32" t="s">
        <v>19</v>
      </c>
      <c r="CM49" s="15"/>
      <c r="CN49" s="33"/>
      <c r="CO49" s="10">
        <f t="shared" si="26"/>
        <v>0</v>
      </c>
      <c r="CP49" s="12">
        <f t="shared" si="27"/>
        <v>0</v>
      </c>
      <c r="CQ49" s="11" t="e">
        <f t="shared" si="28"/>
        <v>#DIV/0!</v>
      </c>
      <c r="CS49" s="14">
        <v>84</v>
      </c>
      <c r="CT49" s="32" t="s">
        <v>19</v>
      </c>
      <c r="CU49" s="15"/>
      <c r="CV49" s="33"/>
      <c r="CW49" s="10">
        <f t="shared" si="29"/>
        <v>0</v>
      </c>
      <c r="CX49" s="12">
        <f t="shared" si="30"/>
        <v>0</v>
      </c>
      <c r="CY49" s="11" t="e">
        <f t="shared" si="31"/>
        <v>#DIV/0!</v>
      </c>
    </row>
    <row r="50" spans="1:103" s="1" customFormat="1" ht="20" customHeight="1">
      <c r="A50" s="14"/>
      <c r="B50" s="32" t="s">
        <v>20</v>
      </c>
      <c r="C50" s="1">
        <v>2</v>
      </c>
      <c r="D50" s="35"/>
      <c r="E50" s="10"/>
      <c r="F50" s="12"/>
      <c r="G50" s="36"/>
      <c r="I50" s="14"/>
      <c r="J50" s="32" t="s">
        <v>20</v>
      </c>
      <c r="K50" s="1">
        <v>4</v>
      </c>
      <c r="L50" s="35"/>
      <c r="M50" s="10">
        <f t="shared" si="0"/>
        <v>2</v>
      </c>
      <c r="N50" s="12">
        <f t="shared" si="0"/>
        <v>0</v>
      </c>
      <c r="O50" s="11" t="e">
        <f t="shared" si="1"/>
        <v>#DIV/0!</v>
      </c>
      <c r="Q50" s="14"/>
      <c r="R50" s="32" t="s">
        <v>20</v>
      </c>
      <c r="S50" s="1">
        <v>2</v>
      </c>
      <c r="T50" s="35"/>
      <c r="U50" s="10">
        <f t="shared" si="2"/>
        <v>-2</v>
      </c>
      <c r="V50" s="12">
        <f t="shared" si="3"/>
        <v>0</v>
      </c>
      <c r="W50" s="11" t="e">
        <f t="shared" si="4"/>
        <v>#DIV/0!</v>
      </c>
      <c r="Y50" s="14"/>
      <c r="Z50" s="32" t="s">
        <v>20</v>
      </c>
      <c r="AA50" s="1">
        <v>2</v>
      </c>
      <c r="AB50" s="35"/>
      <c r="AC50" s="10">
        <f t="shared" si="5"/>
        <v>0</v>
      </c>
      <c r="AD50" s="12">
        <f t="shared" si="5"/>
        <v>0</v>
      </c>
      <c r="AE50" s="11" t="e">
        <f t="shared" si="6"/>
        <v>#DIV/0!</v>
      </c>
      <c r="AG50" s="14"/>
      <c r="AH50" s="32" t="s">
        <v>20</v>
      </c>
      <c r="AI50" s="32">
        <v>3</v>
      </c>
      <c r="AJ50" s="47"/>
      <c r="AK50" s="10">
        <f t="shared" si="7"/>
        <v>1</v>
      </c>
      <c r="AL50" s="12">
        <f t="shared" si="7"/>
        <v>0</v>
      </c>
      <c r="AM50" s="11" t="e">
        <f t="shared" si="8"/>
        <v>#DIV/0!</v>
      </c>
      <c r="AO50" s="14"/>
      <c r="AP50" s="32" t="s">
        <v>38</v>
      </c>
      <c r="AQ50" s="1">
        <v>3</v>
      </c>
      <c r="AR50" s="35"/>
      <c r="AS50" s="10">
        <f t="shared" si="9"/>
        <v>0</v>
      </c>
      <c r="AT50" s="12">
        <f t="shared" si="9"/>
        <v>0</v>
      </c>
      <c r="AU50" s="11" t="e">
        <f t="shared" si="10"/>
        <v>#DIV/0!</v>
      </c>
      <c r="AW50" s="14"/>
      <c r="AX50" s="32" t="s">
        <v>38</v>
      </c>
      <c r="AY50" s="1">
        <v>3</v>
      </c>
      <c r="AZ50" s="35"/>
      <c r="BA50" s="10">
        <f t="shared" si="11"/>
        <v>0</v>
      </c>
      <c r="BB50" s="12">
        <f t="shared" si="12"/>
        <v>0</v>
      </c>
      <c r="BC50" s="11" t="e">
        <f t="shared" si="13"/>
        <v>#DIV/0!</v>
      </c>
      <c r="BE50" s="14"/>
      <c r="BF50" s="32" t="s">
        <v>20</v>
      </c>
      <c r="BG50" s="1">
        <v>2</v>
      </c>
      <c r="BH50" s="35"/>
      <c r="BI50" s="10">
        <f t="shared" si="14"/>
        <v>-1</v>
      </c>
      <c r="BJ50" s="12">
        <f t="shared" si="15"/>
        <v>0</v>
      </c>
      <c r="BK50" s="11" t="e">
        <f t="shared" si="16"/>
        <v>#DIV/0!</v>
      </c>
      <c r="BM50" s="14"/>
      <c r="BN50" s="32" t="s">
        <v>38</v>
      </c>
      <c r="BO50" s="1">
        <v>2</v>
      </c>
      <c r="BP50" s="35"/>
      <c r="BQ50" s="10">
        <f t="shared" si="17"/>
        <v>0</v>
      </c>
      <c r="BR50" s="12">
        <f t="shared" si="18"/>
        <v>0</v>
      </c>
      <c r="BS50" s="11" t="e">
        <f t="shared" si="19"/>
        <v>#DIV/0!</v>
      </c>
      <c r="BU50" s="14"/>
      <c r="BV50" s="32" t="s">
        <v>38</v>
      </c>
      <c r="BW50" s="15">
        <v>1</v>
      </c>
      <c r="BX50" s="33"/>
      <c r="BY50" s="10">
        <f t="shared" si="32"/>
        <v>-1</v>
      </c>
      <c r="BZ50" s="12">
        <f t="shared" si="21"/>
        <v>0</v>
      </c>
      <c r="CA50" s="11" t="e">
        <f t="shared" si="22"/>
        <v>#DIV/0!</v>
      </c>
      <c r="CC50" s="14"/>
      <c r="CD50" s="32" t="s">
        <v>38</v>
      </c>
      <c r="CE50" s="15"/>
      <c r="CF50" s="33"/>
      <c r="CG50" s="10">
        <f t="shared" si="23"/>
        <v>-1</v>
      </c>
      <c r="CH50" s="12">
        <f t="shared" si="24"/>
        <v>0</v>
      </c>
      <c r="CI50" s="11" t="e">
        <f t="shared" si="25"/>
        <v>#DIV/0!</v>
      </c>
      <c r="CK50" s="14"/>
      <c r="CL50" s="32" t="s">
        <v>20</v>
      </c>
      <c r="CM50" s="15"/>
      <c r="CN50" s="33"/>
      <c r="CO50" s="10">
        <f t="shared" si="26"/>
        <v>0</v>
      </c>
      <c r="CP50" s="12">
        <f t="shared" si="27"/>
        <v>0</v>
      </c>
      <c r="CQ50" s="11" t="e">
        <f t="shared" si="28"/>
        <v>#DIV/0!</v>
      </c>
      <c r="CS50" s="14"/>
      <c r="CT50" s="32" t="s">
        <v>20</v>
      </c>
      <c r="CU50" s="15"/>
      <c r="CV50" s="33"/>
      <c r="CW50" s="10">
        <f t="shared" si="29"/>
        <v>0</v>
      </c>
      <c r="CX50" s="12">
        <f t="shared" si="30"/>
        <v>0</v>
      </c>
      <c r="CY50" s="11" t="e">
        <f t="shared" si="31"/>
        <v>#DIV/0!</v>
      </c>
    </row>
    <row r="51" spans="1:103" s="10" customFormat="1" ht="20" customHeight="1">
      <c r="A51" s="14"/>
      <c r="B51" s="13" t="s">
        <v>9</v>
      </c>
      <c r="C51" s="10">
        <v>108</v>
      </c>
      <c r="D51" s="12">
        <v>114496.19047567996</v>
      </c>
      <c r="F51" s="12"/>
      <c r="G51" s="11"/>
      <c r="I51" s="14"/>
      <c r="J51" s="13" t="s">
        <v>9</v>
      </c>
      <c r="K51" s="10">
        <v>124</v>
      </c>
      <c r="L51" s="12">
        <v>124930.47618994996</v>
      </c>
      <c r="M51" s="10">
        <f t="shared" si="0"/>
        <v>16</v>
      </c>
      <c r="N51" s="12">
        <f t="shared" si="0"/>
        <v>10434.285714269994</v>
      </c>
      <c r="O51" s="11">
        <f t="shared" si="1"/>
        <v>9.1132164929857054E-2</v>
      </c>
      <c r="Q51" s="14"/>
      <c r="R51" s="13" t="s">
        <v>9</v>
      </c>
      <c r="S51" s="10">
        <v>106</v>
      </c>
      <c r="T51" s="12">
        <v>92673.333332900031</v>
      </c>
      <c r="U51" s="10">
        <f t="shared" si="2"/>
        <v>-18</v>
      </c>
      <c r="V51" s="12">
        <f t="shared" si="3"/>
        <v>-32257.142857049927</v>
      </c>
      <c r="W51" s="11">
        <f t="shared" si="4"/>
        <v>-0.25820075165650297</v>
      </c>
      <c r="Y51" s="14"/>
      <c r="Z51" s="13" t="s">
        <v>9</v>
      </c>
      <c r="AA51" s="10">
        <v>111</v>
      </c>
      <c r="AB51" s="12">
        <v>95536.190475689975</v>
      </c>
      <c r="AC51" s="10">
        <f t="shared" si="5"/>
        <v>5</v>
      </c>
      <c r="AD51" s="12">
        <f t="shared" si="5"/>
        <v>2862.8571427899442</v>
      </c>
      <c r="AE51" s="11">
        <f t="shared" si="6"/>
        <v>3.0891919388569129E-2</v>
      </c>
      <c r="AG51" s="14"/>
      <c r="AH51" s="13" t="s">
        <v>9</v>
      </c>
      <c r="AI51" s="13">
        <v>122</v>
      </c>
      <c r="AJ51" s="45">
        <v>110514.28571370998</v>
      </c>
      <c r="AK51" s="10">
        <f t="shared" si="7"/>
        <v>11</v>
      </c>
      <c r="AL51" s="12">
        <f t="shared" si="7"/>
        <v>14978.095238020003</v>
      </c>
      <c r="AM51" s="11">
        <f t="shared" si="8"/>
        <v>0.15677928085097043</v>
      </c>
      <c r="AO51" s="14"/>
      <c r="AP51" s="13" t="s">
        <v>9</v>
      </c>
      <c r="AQ51" s="10">
        <v>104</v>
      </c>
      <c r="AR51" s="12">
        <v>107172.38095183999</v>
      </c>
      <c r="AS51" s="10">
        <f t="shared" si="9"/>
        <v>-18</v>
      </c>
      <c r="AT51" s="12">
        <f t="shared" si="9"/>
        <v>-3341.9047618699842</v>
      </c>
      <c r="AU51" s="11">
        <f t="shared" si="10"/>
        <v>-3.0239572561028646E-2</v>
      </c>
      <c r="AW51" s="14"/>
      <c r="AX51" s="13" t="s">
        <v>9</v>
      </c>
      <c r="AY51" s="10">
        <v>112</v>
      </c>
      <c r="AZ51" s="12">
        <v>111609.52380893</v>
      </c>
      <c r="BA51" s="10">
        <f t="shared" si="11"/>
        <v>8</v>
      </c>
      <c r="BB51" s="12">
        <f t="shared" si="12"/>
        <v>4437.1428570900025</v>
      </c>
      <c r="BC51" s="11">
        <f t="shared" si="13"/>
        <v>4.1401924802658994E-2</v>
      </c>
      <c r="BE51" s="14"/>
      <c r="BF51" s="13" t="s">
        <v>9</v>
      </c>
      <c r="BG51" s="10">
        <v>114</v>
      </c>
      <c r="BH51" s="12">
        <v>109647.61904706</v>
      </c>
      <c r="BI51" s="10">
        <f t="shared" si="14"/>
        <v>2</v>
      </c>
      <c r="BJ51" s="12">
        <f t="shared" si="15"/>
        <v>-1961.9047618699988</v>
      </c>
      <c r="BK51" s="11">
        <f t="shared" si="16"/>
        <v>-1.757829166289324E-2</v>
      </c>
      <c r="BM51" s="14"/>
      <c r="BN51" s="13" t="s">
        <v>9</v>
      </c>
      <c r="BO51" s="10">
        <v>109</v>
      </c>
      <c r="BP51" s="12">
        <v>108975.23809471</v>
      </c>
      <c r="BQ51" s="10">
        <f t="shared" si="17"/>
        <v>-5</v>
      </c>
      <c r="BR51" s="12">
        <f t="shared" si="18"/>
        <v>-672.38095234999491</v>
      </c>
      <c r="BS51" s="11">
        <f t="shared" si="19"/>
        <v>-6.1321983841839166E-3</v>
      </c>
      <c r="BU51" s="14"/>
      <c r="BV51" s="13" t="s">
        <v>9</v>
      </c>
      <c r="BW51" s="10">
        <v>104</v>
      </c>
      <c r="BX51" s="12">
        <v>95841</v>
      </c>
      <c r="BY51" s="10">
        <f t="shared" si="32"/>
        <v>-5</v>
      </c>
      <c r="BZ51" s="12">
        <f t="shared" si="21"/>
        <v>-13134.238094710003</v>
      </c>
      <c r="CA51" s="11">
        <f t="shared" si="22"/>
        <v>-0.1205249772732323</v>
      </c>
      <c r="CC51" s="14"/>
      <c r="CD51" s="13" t="s">
        <v>9</v>
      </c>
      <c r="CE51" s="10">
        <v>90</v>
      </c>
      <c r="CF51" s="12">
        <v>89890</v>
      </c>
      <c r="CG51" s="10">
        <f t="shared" si="23"/>
        <v>-14</v>
      </c>
      <c r="CH51" s="12">
        <f t="shared" si="24"/>
        <v>-5951</v>
      </c>
      <c r="CI51" s="11">
        <f t="shared" si="25"/>
        <v>-6.2092423910434992E-2</v>
      </c>
      <c r="CK51" s="14"/>
      <c r="CL51" s="13" t="s">
        <v>9</v>
      </c>
      <c r="CN51" s="12"/>
      <c r="CO51" s="10">
        <f t="shared" si="26"/>
        <v>-90</v>
      </c>
      <c r="CP51" s="12">
        <f t="shared" si="27"/>
        <v>-89890</v>
      </c>
      <c r="CQ51" s="11">
        <f t="shared" si="28"/>
        <v>-1</v>
      </c>
      <c r="CS51" s="14"/>
      <c r="CT51" s="13" t="s">
        <v>9</v>
      </c>
      <c r="CV51" s="12"/>
      <c r="CW51" s="10">
        <f t="shared" si="29"/>
        <v>0</v>
      </c>
      <c r="CX51" s="12">
        <f t="shared" si="30"/>
        <v>0</v>
      </c>
      <c r="CY51" s="11" t="e">
        <f t="shared" si="31"/>
        <v>#DIV/0!</v>
      </c>
    </row>
    <row r="52" spans="1:103" s="10" customFormat="1" ht="20" customHeight="1">
      <c r="A52" s="14"/>
      <c r="B52" s="13" t="s">
        <v>8</v>
      </c>
      <c r="C52" s="10">
        <v>53</v>
      </c>
      <c r="D52" s="12">
        <v>68638.095238030015</v>
      </c>
      <c r="F52" s="12"/>
      <c r="G52" s="11"/>
      <c r="I52" s="14"/>
      <c r="J52" s="13" t="s">
        <v>8</v>
      </c>
      <c r="K52" s="10">
        <v>60</v>
      </c>
      <c r="L52" s="12">
        <v>62190.476190410016</v>
      </c>
      <c r="M52" s="10">
        <f t="shared" si="0"/>
        <v>7</v>
      </c>
      <c r="N52" s="12">
        <f t="shared" si="0"/>
        <v>-6447.619047619999</v>
      </c>
      <c r="O52" s="11">
        <f t="shared" si="1"/>
        <v>-9.3936450673059974E-2</v>
      </c>
      <c r="Q52" s="14"/>
      <c r="R52" s="13" t="s">
        <v>8</v>
      </c>
      <c r="S52" s="10">
        <v>91</v>
      </c>
      <c r="T52" s="12">
        <v>83609.523809440012</v>
      </c>
      <c r="U52" s="10">
        <f t="shared" si="2"/>
        <v>31</v>
      </c>
      <c r="V52" s="12">
        <f t="shared" si="3"/>
        <v>21419.047619029996</v>
      </c>
      <c r="W52" s="11">
        <f t="shared" si="4"/>
        <v>0.34441041347634649</v>
      </c>
      <c r="Y52" s="14"/>
      <c r="Z52" s="13" t="s">
        <v>8</v>
      </c>
      <c r="AA52" s="10">
        <v>54</v>
      </c>
      <c r="AB52" s="12">
        <v>96542.857142790002</v>
      </c>
      <c r="AC52" s="10">
        <f t="shared" si="5"/>
        <v>-37</v>
      </c>
      <c r="AD52" s="12">
        <f t="shared" si="5"/>
        <v>12933.33333334999</v>
      </c>
      <c r="AE52" s="11">
        <f t="shared" si="6"/>
        <v>0.15468732201880739</v>
      </c>
      <c r="AG52" s="14"/>
      <c r="AH52" s="13" t="s">
        <v>8</v>
      </c>
      <c r="AI52" s="13">
        <v>65</v>
      </c>
      <c r="AJ52" s="45">
        <v>67476.190476090007</v>
      </c>
      <c r="AK52" s="10">
        <f t="shared" si="7"/>
        <v>11</v>
      </c>
      <c r="AL52" s="12">
        <f t="shared" si="7"/>
        <v>-29066.666666699995</v>
      </c>
      <c r="AM52" s="11">
        <f t="shared" si="8"/>
        <v>-0.30107526881775892</v>
      </c>
      <c r="AO52" s="14"/>
      <c r="AP52" s="13" t="s">
        <v>8</v>
      </c>
      <c r="AQ52" s="10">
        <v>62</v>
      </c>
      <c r="AR52" s="12">
        <v>71790.476190239991</v>
      </c>
      <c r="AS52" s="10">
        <f t="shared" si="9"/>
        <v>-3</v>
      </c>
      <c r="AT52" s="12">
        <f t="shared" si="9"/>
        <v>4314.2857141499844</v>
      </c>
      <c r="AU52" s="11">
        <f t="shared" si="10"/>
        <v>6.3937896963503577E-2</v>
      </c>
      <c r="AW52" s="14"/>
      <c r="AX52" s="13" t="s">
        <v>8</v>
      </c>
      <c r="AY52" s="10">
        <v>68</v>
      </c>
      <c r="AZ52" s="12">
        <v>67161.904761679994</v>
      </c>
      <c r="BA52" s="10">
        <f t="shared" si="11"/>
        <v>6</v>
      </c>
      <c r="BB52" s="12">
        <f t="shared" si="12"/>
        <v>-4628.571428559997</v>
      </c>
      <c r="BC52" s="11">
        <f t="shared" si="13"/>
        <v>-6.4473335102202003E-2</v>
      </c>
      <c r="BE52" s="14"/>
      <c r="BF52" s="13" t="s">
        <v>8</v>
      </c>
      <c r="BG52" s="10">
        <v>71</v>
      </c>
      <c r="BH52" s="12">
        <v>81323.809523529999</v>
      </c>
      <c r="BI52" s="10">
        <f t="shared" si="14"/>
        <v>3</v>
      </c>
      <c r="BJ52" s="12">
        <f t="shared" si="15"/>
        <v>14161.904761850004</v>
      </c>
      <c r="BK52" s="11">
        <f t="shared" si="16"/>
        <v>0.21086216676109287</v>
      </c>
      <c r="BM52" s="14"/>
      <c r="BN52" s="13" t="s">
        <v>8</v>
      </c>
      <c r="BO52" s="10">
        <v>76</v>
      </c>
      <c r="BP52" s="12">
        <v>76523.809523589996</v>
      </c>
      <c r="BQ52" s="10">
        <f t="shared" si="17"/>
        <v>5</v>
      </c>
      <c r="BR52" s="12">
        <f t="shared" si="18"/>
        <v>-4799.9999999400025</v>
      </c>
      <c r="BS52" s="11">
        <f t="shared" si="19"/>
        <v>-5.9023304836097037E-2</v>
      </c>
      <c r="BU52" s="14"/>
      <c r="BV52" s="13" t="s">
        <v>8</v>
      </c>
      <c r="BW52" s="10">
        <v>63</v>
      </c>
      <c r="BX52" s="12">
        <v>89305</v>
      </c>
      <c r="BY52" s="10">
        <f t="shared" si="32"/>
        <v>-13</v>
      </c>
      <c r="BZ52" s="12">
        <f t="shared" si="21"/>
        <v>12781.190476410004</v>
      </c>
      <c r="CA52" s="11">
        <f t="shared" si="22"/>
        <v>0.167022401994636</v>
      </c>
      <c r="CC52" s="14"/>
      <c r="CD52" s="13" t="s">
        <v>8</v>
      </c>
      <c r="CE52" s="10">
        <v>77</v>
      </c>
      <c r="CF52" s="12">
        <v>75171</v>
      </c>
      <c r="CG52" s="10">
        <f t="shared" si="23"/>
        <v>14</v>
      </c>
      <c r="CH52" s="12">
        <f t="shared" si="24"/>
        <v>-14134</v>
      </c>
      <c r="CI52" s="11">
        <f t="shared" si="25"/>
        <v>-0.15826661441128717</v>
      </c>
      <c r="CK52" s="14"/>
      <c r="CL52" s="13" t="s">
        <v>8</v>
      </c>
      <c r="CN52" s="12"/>
      <c r="CO52" s="10">
        <f t="shared" si="26"/>
        <v>-77</v>
      </c>
      <c r="CP52" s="12">
        <f t="shared" si="27"/>
        <v>-75171</v>
      </c>
      <c r="CQ52" s="11">
        <f t="shared" si="28"/>
        <v>-1</v>
      </c>
      <c r="CS52" s="14"/>
      <c r="CT52" s="13" t="s">
        <v>8</v>
      </c>
      <c r="CV52" s="12"/>
      <c r="CW52" s="10">
        <f t="shared" si="29"/>
        <v>0</v>
      </c>
      <c r="CX52" s="12">
        <f t="shared" si="30"/>
        <v>0</v>
      </c>
      <c r="CY52" s="11" t="e">
        <f t="shared" si="31"/>
        <v>#DIV/0!</v>
      </c>
    </row>
    <row r="53" spans="1:103" s="10" customFormat="1" ht="20" customHeight="1">
      <c r="A53" s="14"/>
      <c r="B53" s="13" t="s">
        <v>7</v>
      </c>
      <c r="C53" s="10">
        <v>13</v>
      </c>
      <c r="D53" s="12">
        <v>77019.047619040008</v>
      </c>
      <c r="F53" s="12"/>
      <c r="G53" s="11"/>
      <c r="I53" s="14"/>
      <c r="J53" s="13" t="s">
        <v>7</v>
      </c>
      <c r="K53" s="10">
        <v>11</v>
      </c>
      <c r="L53" s="12">
        <v>72752.380952370004</v>
      </c>
      <c r="M53" s="10">
        <f t="shared" si="0"/>
        <v>-2</v>
      </c>
      <c r="N53" s="12">
        <f t="shared" si="0"/>
        <v>-4266.6666666700039</v>
      </c>
      <c r="O53" s="11">
        <f t="shared" si="1"/>
        <v>-5.5397551626115329E-2</v>
      </c>
      <c r="Q53" s="14"/>
      <c r="R53" s="13" t="s">
        <v>7</v>
      </c>
      <c r="S53" s="10">
        <v>11</v>
      </c>
      <c r="T53" s="12">
        <v>101323.80952380001</v>
      </c>
      <c r="U53" s="10">
        <f t="shared" si="2"/>
        <v>0</v>
      </c>
      <c r="V53" s="12">
        <f t="shared" si="3"/>
        <v>28571.428571430006</v>
      </c>
      <c r="W53" s="11">
        <f t="shared" si="4"/>
        <v>0.39272156041374551</v>
      </c>
      <c r="Y53" s="14"/>
      <c r="Z53" s="13" t="s">
        <v>7</v>
      </c>
      <c r="AA53" s="10">
        <v>6</v>
      </c>
      <c r="AB53" s="12">
        <v>34228.571428559997</v>
      </c>
      <c r="AC53" s="10">
        <f t="shared" si="5"/>
        <v>-5</v>
      </c>
      <c r="AD53" s="12">
        <f t="shared" si="5"/>
        <v>-67095.238095240013</v>
      </c>
      <c r="AE53" s="11">
        <f t="shared" si="6"/>
        <v>-0.66218629570456455</v>
      </c>
      <c r="AG53" s="14"/>
      <c r="AH53" s="13" t="s">
        <v>7</v>
      </c>
      <c r="AI53" s="13">
        <v>17</v>
      </c>
      <c r="AJ53" s="45">
        <v>128409.52380950001</v>
      </c>
      <c r="AK53" s="10">
        <f t="shared" si="7"/>
        <v>11</v>
      </c>
      <c r="AL53" s="12">
        <f t="shared" si="7"/>
        <v>94180.952380940013</v>
      </c>
      <c r="AM53" s="11">
        <f t="shared" si="8"/>
        <v>2.7515303283255439</v>
      </c>
      <c r="AO53" s="14"/>
      <c r="AP53" s="13" t="s">
        <v>7</v>
      </c>
      <c r="AQ53" s="10">
        <v>16</v>
      </c>
      <c r="AR53" s="12">
        <v>92704.761904729981</v>
      </c>
      <c r="AS53" s="10">
        <f t="shared" si="9"/>
        <v>-1</v>
      </c>
      <c r="AT53" s="12">
        <f t="shared" si="9"/>
        <v>-35704.761904770028</v>
      </c>
      <c r="AU53" s="11">
        <f t="shared" si="10"/>
        <v>-0.27805384558344193</v>
      </c>
      <c r="AW53" s="14"/>
      <c r="AX53" s="13" t="s">
        <v>7</v>
      </c>
      <c r="AY53" s="10">
        <v>11</v>
      </c>
      <c r="AZ53" s="12">
        <v>62752.380952359992</v>
      </c>
      <c r="BA53" s="10">
        <f t="shared" si="11"/>
        <v>-5</v>
      </c>
      <c r="BB53" s="12">
        <f t="shared" si="12"/>
        <v>-29952.380952369989</v>
      </c>
      <c r="BC53" s="11">
        <f t="shared" si="13"/>
        <v>-0.32309430860899241</v>
      </c>
      <c r="BE53" s="14"/>
      <c r="BF53" s="13" t="s">
        <v>7</v>
      </c>
      <c r="BG53" s="10">
        <v>15</v>
      </c>
      <c r="BH53" s="12">
        <v>112238.09523806001</v>
      </c>
      <c r="BI53" s="10">
        <f t="shared" si="14"/>
        <v>4</v>
      </c>
      <c r="BJ53" s="12">
        <f t="shared" si="15"/>
        <v>49485.714285700014</v>
      </c>
      <c r="BK53" s="11">
        <f t="shared" si="16"/>
        <v>0.78858703900443727</v>
      </c>
      <c r="BM53" s="14"/>
      <c r="BN53" s="13" t="s">
        <v>7</v>
      </c>
      <c r="BO53" s="10">
        <v>7</v>
      </c>
      <c r="BP53" s="12">
        <v>51958.095238069996</v>
      </c>
      <c r="BQ53" s="10">
        <f t="shared" si="17"/>
        <v>-8</v>
      </c>
      <c r="BR53" s="12">
        <f t="shared" si="18"/>
        <v>-60279.99999999001</v>
      </c>
      <c r="BS53" s="11">
        <f t="shared" si="19"/>
        <v>-0.5370725498515857</v>
      </c>
      <c r="BU53" s="14"/>
      <c r="BV53" s="13" t="s">
        <v>7</v>
      </c>
      <c r="BW53" s="10">
        <v>6</v>
      </c>
      <c r="BX53" s="12">
        <v>35657</v>
      </c>
      <c r="BY53" s="10">
        <f t="shared" si="32"/>
        <v>-1</v>
      </c>
      <c r="BZ53" s="12">
        <f t="shared" si="21"/>
        <v>-16301.095238069996</v>
      </c>
      <c r="CA53" s="11">
        <f t="shared" si="22"/>
        <v>-0.31373542781695524</v>
      </c>
      <c r="CC53" s="14"/>
      <c r="CD53" s="13" t="s">
        <v>7</v>
      </c>
      <c r="CE53" s="10">
        <v>13</v>
      </c>
      <c r="CF53" s="12">
        <v>103781</v>
      </c>
      <c r="CG53" s="10">
        <f t="shared" si="23"/>
        <v>7</v>
      </c>
      <c r="CH53" s="12">
        <f t="shared" si="24"/>
        <v>68124</v>
      </c>
      <c r="CI53" s="11">
        <f t="shared" si="25"/>
        <v>1.9105365005468773</v>
      </c>
      <c r="CK53" s="14"/>
      <c r="CL53" s="13" t="s">
        <v>7</v>
      </c>
      <c r="CN53" s="12"/>
      <c r="CO53" s="10">
        <f t="shared" si="26"/>
        <v>-13</v>
      </c>
      <c r="CP53" s="12">
        <f t="shared" si="27"/>
        <v>-103781</v>
      </c>
      <c r="CQ53" s="11">
        <f t="shared" si="28"/>
        <v>-1</v>
      </c>
      <c r="CS53" s="14"/>
      <c r="CT53" s="13" t="s">
        <v>7</v>
      </c>
      <c r="CV53" s="12"/>
      <c r="CW53" s="10">
        <f t="shared" si="29"/>
        <v>0</v>
      </c>
      <c r="CX53" s="12">
        <f t="shared" si="30"/>
        <v>0</v>
      </c>
      <c r="CY53" s="11" t="e">
        <f t="shared" si="31"/>
        <v>#DIV/0!</v>
      </c>
    </row>
    <row r="54" spans="1:103" s="10" customFormat="1" ht="20" customHeight="1">
      <c r="A54" s="14"/>
      <c r="B54" s="13" t="s">
        <v>6</v>
      </c>
      <c r="C54" s="10">
        <v>14</v>
      </c>
      <c r="D54" s="12">
        <v>154857.14285710998</v>
      </c>
      <c r="F54" s="12"/>
      <c r="G54" s="11"/>
      <c r="I54" s="14"/>
      <c r="J54" s="13" t="s">
        <v>6</v>
      </c>
      <c r="K54" s="10">
        <v>7</v>
      </c>
      <c r="L54" s="12">
        <v>89809.52380950001</v>
      </c>
      <c r="M54" s="10">
        <f t="shared" si="0"/>
        <v>-7</v>
      </c>
      <c r="N54" s="12">
        <f t="shared" si="0"/>
        <v>-65047.619047609973</v>
      </c>
      <c r="O54" s="11">
        <f t="shared" si="1"/>
        <v>-0.42004920049203548</v>
      </c>
      <c r="Q54" s="14"/>
      <c r="R54" s="13" t="s">
        <v>6</v>
      </c>
      <c r="S54" s="10">
        <v>9</v>
      </c>
      <c r="T54" s="12">
        <v>112476.19047615</v>
      </c>
      <c r="U54" s="10">
        <f t="shared" si="2"/>
        <v>2</v>
      </c>
      <c r="V54" s="12">
        <f t="shared" si="3"/>
        <v>22666.666666649995</v>
      </c>
      <c r="W54" s="11">
        <f t="shared" si="4"/>
        <v>0.252386002120772</v>
      </c>
      <c r="Y54" s="14"/>
      <c r="Z54" s="13" t="s">
        <v>6</v>
      </c>
      <c r="AA54" s="10">
        <v>11</v>
      </c>
      <c r="AB54" s="12">
        <v>144666.66666664003</v>
      </c>
      <c r="AC54" s="10">
        <f t="shared" si="5"/>
        <v>2</v>
      </c>
      <c r="AD54" s="12">
        <f t="shared" si="5"/>
        <v>32190.476190490022</v>
      </c>
      <c r="AE54" s="11">
        <f t="shared" si="6"/>
        <v>0.28619813717211418</v>
      </c>
      <c r="AG54" s="14"/>
      <c r="AH54" s="13" t="s">
        <v>6</v>
      </c>
      <c r="AI54" s="13">
        <v>10</v>
      </c>
      <c r="AJ54" s="45">
        <v>139047.61904760002</v>
      </c>
      <c r="AK54" s="10">
        <f t="shared" si="7"/>
        <v>-1</v>
      </c>
      <c r="AL54" s="12">
        <f t="shared" si="7"/>
        <v>-5619.0476190400077</v>
      </c>
      <c r="AM54" s="11">
        <f t="shared" si="8"/>
        <v>-3.8841342988762968E-2</v>
      </c>
      <c r="AO54" s="14"/>
      <c r="AP54" s="13" t="s">
        <v>6</v>
      </c>
      <c r="AQ54" s="10">
        <v>15</v>
      </c>
      <c r="AR54" s="12">
        <v>187142.85714278999</v>
      </c>
      <c r="AS54" s="10">
        <f t="shared" si="9"/>
        <v>5</v>
      </c>
      <c r="AT54" s="12">
        <f t="shared" si="9"/>
        <v>48095.238095189969</v>
      </c>
      <c r="AU54" s="11">
        <f t="shared" si="10"/>
        <v>0.34589041095860534</v>
      </c>
      <c r="AW54" s="14"/>
      <c r="AX54" s="13" t="s">
        <v>6</v>
      </c>
      <c r="AY54" s="10">
        <v>8</v>
      </c>
      <c r="AZ54" s="12">
        <v>92571.428571390003</v>
      </c>
      <c r="BA54" s="10">
        <f t="shared" si="11"/>
        <v>-7</v>
      </c>
      <c r="BB54" s="12">
        <f t="shared" si="12"/>
        <v>-94571.428571399985</v>
      </c>
      <c r="BC54" s="11">
        <f t="shared" si="13"/>
        <v>-0.50534351145041023</v>
      </c>
      <c r="BE54" s="14"/>
      <c r="BF54" s="13" t="s">
        <v>6</v>
      </c>
      <c r="BG54" s="10">
        <v>11</v>
      </c>
      <c r="BH54" s="12">
        <v>124666.66666662</v>
      </c>
      <c r="BI54" s="10">
        <f t="shared" si="14"/>
        <v>3</v>
      </c>
      <c r="BJ54" s="12">
        <f t="shared" si="15"/>
        <v>32095.238095230001</v>
      </c>
      <c r="BK54" s="11">
        <f t="shared" si="16"/>
        <v>0.34670781893009817</v>
      </c>
      <c r="BM54" s="14"/>
      <c r="BN54" s="13" t="s">
        <v>6</v>
      </c>
      <c r="BO54" s="10">
        <v>3</v>
      </c>
      <c r="BP54" s="12">
        <v>22571.4285714</v>
      </c>
      <c r="BQ54" s="10">
        <f t="shared" si="17"/>
        <v>-8</v>
      </c>
      <c r="BR54" s="12">
        <f t="shared" si="18"/>
        <v>-102095.23809522</v>
      </c>
      <c r="BS54" s="11">
        <f t="shared" si="19"/>
        <v>-0.81894576012239217</v>
      </c>
      <c r="BU54" s="14"/>
      <c r="BV54" s="13" t="s">
        <v>6</v>
      </c>
      <c r="BW54" s="10">
        <v>2</v>
      </c>
      <c r="BX54" s="12">
        <v>15048</v>
      </c>
      <c r="BY54" s="10">
        <f t="shared" si="32"/>
        <v>-1</v>
      </c>
      <c r="BZ54" s="12">
        <f t="shared" si="21"/>
        <v>-7523.4285713999998</v>
      </c>
      <c r="CA54" s="11">
        <f t="shared" si="22"/>
        <v>-0.33331645569535862</v>
      </c>
      <c r="CC54" s="14"/>
      <c r="CD54" s="13" t="s">
        <v>6</v>
      </c>
      <c r="CE54" s="10">
        <v>1</v>
      </c>
      <c r="CF54" s="12">
        <v>7524</v>
      </c>
      <c r="CG54" s="10">
        <f t="shared" si="23"/>
        <v>-1</v>
      </c>
      <c r="CH54" s="12">
        <f t="shared" si="24"/>
        <v>-7524</v>
      </c>
      <c r="CI54" s="11">
        <f t="shared" si="25"/>
        <v>-0.5</v>
      </c>
      <c r="CK54" s="14"/>
      <c r="CL54" s="13" t="s">
        <v>6</v>
      </c>
      <c r="CN54" s="12"/>
      <c r="CO54" s="10">
        <f t="shared" si="26"/>
        <v>-1</v>
      </c>
      <c r="CP54" s="12">
        <f t="shared" si="27"/>
        <v>-7524</v>
      </c>
      <c r="CQ54" s="11">
        <f t="shared" si="28"/>
        <v>-1</v>
      </c>
      <c r="CS54" s="14"/>
      <c r="CT54" s="13" t="s">
        <v>6</v>
      </c>
      <c r="CV54" s="12"/>
      <c r="CW54" s="10">
        <f t="shared" si="29"/>
        <v>0</v>
      </c>
      <c r="CX54" s="12">
        <f t="shared" si="30"/>
        <v>0</v>
      </c>
      <c r="CY54" s="11" t="e">
        <f t="shared" si="31"/>
        <v>#DIV/0!</v>
      </c>
    </row>
    <row r="55" spans="1:103" s="10" customFormat="1" ht="20" customHeight="1">
      <c r="A55" s="14"/>
      <c r="B55" s="13" t="s">
        <v>5</v>
      </c>
      <c r="C55" s="10">
        <v>7</v>
      </c>
      <c r="D55" s="12">
        <v>17130</v>
      </c>
      <c r="F55" s="12"/>
      <c r="G55" s="11"/>
      <c r="I55" s="14"/>
      <c r="J55" s="13" t="s">
        <v>5</v>
      </c>
      <c r="K55" s="10">
        <v>6</v>
      </c>
      <c r="L55" s="12">
        <v>25140</v>
      </c>
      <c r="M55" s="10">
        <f t="shared" si="0"/>
        <v>-1</v>
      </c>
      <c r="N55" s="12">
        <f t="shared" si="0"/>
        <v>8010</v>
      </c>
      <c r="O55" s="11">
        <f t="shared" si="1"/>
        <v>0.46760070052539404</v>
      </c>
      <c r="Q55" s="14"/>
      <c r="R55" s="13" t="s">
        <v>5</v>
      </c>
      <c r="S55" s="10">
        <v>4</v>
      </c>
      <c r="T55" s="12">
        <v>12160</v>
      </c>
      <c r="U55" s="10">
        <f t="shared" si="2"/>
        <v>-2</v>
      </c>
      <c r="V55" s="12">
        <f t="shared" si="3"/>
        <v>-12980</v>
      </c>
      <c r="W55" s="11">
        <f t="shared" si="4"/>
        <v>-0.51630867143993631</v>
      </c>
      <c r="Y55" s="14"/>
      <c r="Z55" s="13" t="s">
        <v>5</v>
      </c>
      <c r="AA55" s="10">
        <v>1</v>
      </c>
      <c r="AB55" s="12">
        <v>990</v>
      </c>
      <c r="AC55" s="10">
        <f t="shared" si="5"/>
        <v>-3</v>
      </c>
      <c r="AD55" s="12">
        <f t="shared" si="5"/>
        <v>-11170</v>
      </c>
      <c r="AE55" s="11">
        <f t="shared" si="6"/>
        <v>-0.91858552631578949</v>
      </c>
      <c r="AG55" s="14"/>
      <c r="AH55" s="13" t="s">
        <v>5</v>
      </c>
      <c r="AI55" s="13">
        <v>7</v>
      </c>
      <c r="AJ55" s="45">
        <v>30030</v>
      </c>
      <c r="AK55" s="10">
        <f t="shared" si="7"/>
        <v>6</v>
      </c>
      <c r="AL55" s="12">
        <f t="shared" si="7"/>
        <v>29040</v>
      </c>
      <c r="AM55" s="11">
        <f t="shared" si="8"/>
        <v>29.333333333333332</v>
      </c>
      <c r="AO55" s="14"/>
      <c r="AP55" s="13" t="s">
        <v>5</v>
      </c>
      <c r="AQ55" s="10">
        <v>5</v>
      </c>
      <c r="AR55" s="12">
        <v>27550</v>
      </c>
      <c r="AS55" s="10">
        <f t="shared" si="9"/>
        <v>-2</v>
      </c>
      <c r="AT55" s="12">
        <f t="shared" si="9"/>
        <v>-2480</v>
      </c>
      <c r="AU55" s="11">
        <f t="shared" si="10"/>
        <v>-8.2584082584082591E-2</v>
      </c>
      <c r="AW55" s="14"/>
      <c r="AX55" s="13" t="s">
        <v>5</v>
      </c>
      <c r="AY55" s="10">
        <v>6</v>
      </c>
      <c r="AZ55" s="12">
        <v>14840</v>
      </c>
      <c r="BA55" s="10">
        <f t="shared" si="11"/>
        <v>1</v>
      </c>
      <c r="BB55" s="12">
        <f t="shared" si="12"/>
        <v>-12710</v>
      </c>
      <c r="BC55" s="11">
        <f t="shared" si="13"/>
        <v>-0.46134301270417422</v>
      </c>
      <c r="BE55" s="14"/>
      <c r="BF55" s="13" t="s">
        <v>5</v>
      </c>
      <c r="BG55" s="10">
        <v>3</v>
      </c>
      <c r="BH55" s="12">
        <v>11370</v>
      </c>
      <c r="BI55" s="10">
        <f t="shared" si="14"/>
        <v>-3</v>
      </c>
      <c r="BJ55" s="12">
        <f t="shared" si="15"/>
        <v>-3470</v>
      </c>
      <c r="BK55" s="11">
        <f t="shared" si="16"/>
        <v>-0.23382749326145552</v>
      </c>
      <c r="BM55" s="14"/>
      <c r="BN55" s="13" t="s">
        <v>5</v>
      </c>
      <c r="BO55" s="10">
        <v>2</v>
      </c>
      <c r="BP55" s="12">
        <v>9680</v>
      </c>
      <c r="BQ55" s="10">
        <f t="shared" si="17"/>
        <v>-1</v>
      </c>
      <c r="BR55" s="12">
        <f t="shared" si="18"/>
        <v>-1690</v>
      </c>
      <c r="BS55" s="11">
        <f t="shared" si="19"/>
        <v>-0.14863676341248899</v>
      </c>
      <c r="BU55" s="14"/>
      <c r="BV55" s="13" t="s">
        <v>5</v>
      </c>
      <c r="BW55" s="10">
        <v>3</v>
      </c>
      <c r="BX55" s="12">
        <v>13770</v>
      </c>
      <c r="BY55" s="10">
        <f t="shared" si="32"/>
        <v>1</v>
      </c>
      <c r="BZ55" s="12">
        <f t="shared" si="21"/>
        <v>4090</v>
      </c>
      <c r="CA55" s="11">
        <f t="shared" si="22"/>
        <v>0.4225206611570248</v>
      </c>
      <c r="CC55" s="14"/>
      <c r="CD55" s="13" t="s">
        <v>5</v>
      </c>
      <c r="CE55" s="50">
        <v>3</v>
      </c>
      <c r="CF55" s="50">
        <v>9970</v>
      </c>
      <c r="CG55" s="10">
        <f t="shared" si="23"/>
        <v>0</v>
      </c>
      <c r="CH55" s="12">
        <f t="shared" si="24"/>
        <v>-3800</v>
      </c>
      <c r="CI55" s="11">
        <f t="shared" si="25"/>
        <v>-0.27596223674655046</v>
      </c>
      <c r="CK55" s="14"/>
      <c r="CL55" s="13" t="s">
        <v>5</v>
      </c>
      <c r="CN55" s="12"/>
      <c r="CO55" s="10">
        <f t="shared" si="26"/>
        <v>-3</v>
      </c>
      <c r="CP55" s="12">
        <f t="shared" si="27"/>
        <v>-9970</v>
      </c>
      <c r="CQ55" s="11">
        <f t="shared" si="28"/>
        <v>-1</v>
      </c>
      <c r="CS55" s="14"/>
      <c r="CT55" s="13" t="s">
        <v>5</v>
      </c>
      <c r="CV55" s="12"/>
      <c r="CW55" s="10">
        <f t="shared" si="29"/>
        <v>0</v>
      </c>
      <c r="CX55" s="12">
        <f t="shared" si="30"/>
        <v>0</v>
      </c>
      <c r="CY55" s="11" t="e">
        <f t="shared" si="31"/>
        <v>#DIV/0!</v>
      </c>
    </row>
    <row r="56" spans="1:103" s="10" customFormat="1" ht="20" customHeight="1">
      <c r="A56" s="14"/>
      <c r="B56" s="13" t="s">
        <v>4</v>
      </c>
      <c r="C56" s="10">
        <v>3</v>
      </c>
      <c r="D56" s="12">
        <v>163523.80952379</v>
      </c>
      <c r="F56" s="12"/>
      <c r="G56" s="11"/>
      <c r="I56" s="14"/>
      <c r="J56" s="13" t="s">
        <v>4</v>
      </c>
      <c r="K56" s="10">
        <v>5</v>
      </c>
      <c r="L56" s="12">
        <v>156057.14285710998</v>
      </c>
      <c r="M56" s="10">
        <f t="shared" si="0"/>
        <v>2</v>
      </c>
      <c r="N56" s="12">
        <f t="shared" si="0"/>
        <v>-7466.6666666800156</v>
      </c>
      <c r="O56" s="11">
        <f t="shared" si="1"/>
        <v>-4.566103669199157E-2</v>
      </c>
      <c r="Q56" s="14"/>
      <c r="R56" s="13" t="s">
        <v>4</v>
      </c>
      <c r="S56" s="10">
        <v>3</v>
      </c>
      <c r="T56" s="12">
        <v>74814.285714270009</v>
      </c>
      <c r="U56" s="10">
        <f t="shared" si="2"/>
        <v>-2</v>
      </c>
      <c r="V56" s="12">
        <f t="shared" si="3"/>
        <v>-81242.857142839974</v>
      </c>
      <c r="W56" s="11">
        <f t="shared" si="4"/>
        <v>-0.52059685097034014</v>
      </c>
      <c r="Y56" s="14"/>
      <c r="Z56" s="13" t="s">
        <v>4</v>
      </c>
      <c r="AA56" s="10">
        <v>5</v>
      </c>
      <c r="AB56" s="12">
        <v>214761.90476188</v>
      </c>
      <c r="AC56" s="10">
        <f t="shared" si="5"/>
        <v>2</v>
      </c>
      <c r="AD56" s="12">
        <f t="shared" si="5"/>
        <v>139947.61904760997</v>
      </c>
      <c r="AE56" s="11">
        <f t="shared" si="6"/>
        <v>1.8706002164091569</v>
      </c>
      <c r="AG56" s="14"/>
      <c r="AH56" s="13" t="s">
        <v>4</v>
      </c>
      <c r="AI56" s="13">
        <v>2</v>
      </c>
      <c r="AJ56" s="45">
        <v>69814.285714269994</v>
      </c>
      <c r="AK56" s="10">
        <f t="shared" si="7"/>
        <v>-3</v>
      </c>
      <c r="AL56" s="12">
        <f t="shared" si="7"/>
        <v>-144947.61904761</v>
      </c>
      <c r="AM56" s="11">
        <f t="shared" si="8"/>
        <v>-0.67492239467852799</v>
      </c>
      <c r="AO56" s="14"/>
      <c r="AP56" s="13" t="s">
        <v>4</v>
      </c>
      <c r="AQ56" s="10">
        <v>5</v>
      </c>
      <c r="AR56" s="12">
        <v>217819.04761902001</v>
      </c>
      <c r="AS56" s="10">
        <f t="shared" si="9"/>
        <v>3</v>
      </c>
      <c r="AT56" s="12">
        <f t="shared" si="9"/>
        <v>148004.76190475002</v>
      </c>
      <c r="AU56" s="11">
        <f t="shared" si="10"/>
        <v>2.1199781733854786</v>
      </c>
      <c r="AW56" s="14"/>
      <c r="AX56" s="13" t="s">
        <v>4</v>
      </c>
      <c r="AY56" s="10">
        <v>6</v>
      </c>
      <c r="AZ56" s="12">
        <v>383238.09523805999</v>
      </c>
      <c r="BA56" s="10">
        <f t="shared" si="11"/>
        <v>1</v>
      </c>
      <c r="BB56" s="12">
        <f t="shared" si="12"/>
        <v>165419.04761903998</v>
      </c>
      <c r="BC56" s="11">
        <f t="shared" si="13"/>
        <v>0.75943334353554282</v>
      </c>
      <c r="BE56" s="14"/>
      <c r="BF56" s="13" t="s">
        <v>4</v>
      </c>
      <c r="BG56" s="10">
        <v>6</v>
      </c>
      <c r="BH56" s="12">
        <v>191647.61904758</v>
      </c>
      <c r="BI56" s="10">
        <f t="shared" si="14"/>
        <v>0</v>
      </c>
      <c r="BJ56" s="12">
        <f t="shared" si="15"/>
        <v>-191590.47619048</v>
      </c>
      <c r="BK56" s="11">
        <f t="shared" si="16"/>
        <v>-0.49992544731615929</v>
      </c>
      <c r="BM56" s="14"/>
      <c r="BN56" s="13" t="s">
        <v>4</v>
      </c>
      <c r="BO56" s="10">
        <v>8</v>
      </c>
      <c r="BP56" s="12">
        <v>273257.1428571</v>
      </c>
      <c r="BQ56" s="10">
        <f t="shared" si="17"/>
        <v>2</v>
      </c>
      <c r="BR56" s="12">
        <f t="shared" si="18"/>
        <v>81609.523809520004</v>
      </c>
      <c r="BS56" s="11">
        <f t="shared" si="19"/>
        <v>0.42583113849830279</v>
      </c>
      <c r="BU56" s="14"/>
      <c r="BV56" s="13" t="s">
        <v>4</v>
      </c>
      <c r="BW56" s="10">
        <v>5</v>
      </c>
      <c r="BX56" s="12">
        <v>170368</v>
      </c>
      <c r="BY56" s="10">
        <f t="shared" si="32"/>
        <v>-3</v>
      </c>
      <c r="BZ56" s="12">
        <f t="shared" si="21"/>
        <v>-102889.1428571</v>
      </c>
      <c r="CA56" s="11">
        <f t="shared" si="22"/>
        <v>-0.37652864910069689</v>
      </c>
      <c r="CC56" s="14"/>
      <c r="CD56" s="13" t="s">
        <v>4</v>
      </c>
      <c r="CE56" s="50">
        <v>5</v>
      </c>
      <c r="CF56" s="50">
        <v>139524</v>
      </c>
      <c r="CG56" s="10">
        <f t="shared" si="23"/>
        <v>0</v>
      </c>
      <c r="CH56" s="12">
        <f t="shared" si="24"/>
        <v>-30844</v>
      </c>
      <c r="CI56" s="11">
        <f t="shared" si="25"/>
        <v>-0.18104338842975207</v>
      </c>
      <c r="CK56" s="14"/>
      <c r="CL56" s="13" t="s">
        <v>4</v>
      </c>
      <c r="CN56" s="12"/>
      <c r="CO56" s="10">
        <f t="shared" si="26"/>
        <v>-5</v>
      </c>
      <c r="CP56" s="12">
        <f t="shared" si="27"/>
        <v>-139524</v>
      </c>
      <c r="CQ56" s="11">
        <f t="shared" si="28"/>
        <v>-1</v>
      </c>
      <c r="CS56" s="14"/>
      <c r="CT56" s="13" t="s">
        <v>4</v>
      </c>
      <c r="CV56" s="12"/>
      <c r="CW56" s="10">
        <f t="shared" si="29"/>
        <v>0</v>
      </c>
      <c r="CX56" s="12">
        <f t="shared" si="30"/>
        <v>0</v>
      </c>
      <c r="CY56" s="11" t="e">
        <f t="shared" si="31"/>
        <v>#DIV/0!</v>
      </c>
    </row>
    <row r="57" spans="1:103" s="10" customFormat="1" ht="20" customHeight="1">
      <c r="A57" s="14"/>
      <c r="B57" s="13" t="s">
        <v>3</v>
      </c>
      <c r="C57" s="10">
        <v>13</v>
      </c>
      <c r="D57" s="12">
        <v>325428.57142852002</v>
      </c>
      <c r="F57" s="12"/>
      <c r="G57" s="11"/>
      <c r="I57" s="14"/>
      <c r="J57" s="13" t="s">
        <v>3</v>
      </c>
      <c r="K57" s="10">
        <v>5</v>
      </c>
      <c r="L57" s="12">
        <v>114761.90476188999</v>
      </c>
      <c r="M57" s="10">
        <f t="shared" si="0"/>
        <v>-8</v>
      </c>
      <c r="N57" s="12">
        <f t="shared" si="0"/>
        <v>-210666.66666663002</v>
      </c>
      <c r="O57" s="11">
        <f t="shared" si="1"/>
        <v>-0.64735147790458436</v>
      </c>
      <c r="Q57" s="14"/>
      <c r="R57" s="13" t="s">
        <v>3</v>
      </c>
      <c r="S57" s="10">
        <v>11</v>
      </c>
      <c r="T57" s="12">
        <v>248952.38095232999</v>
      </c>
      <c r="U57" s="10">
        <f t="shared" si="2"/>
        <v>6</v>
      </c>
      <c r="V57" s="12">
        <f t="shared" si="3"/>
        <v>134190.47619044001</v>
      </c>
      <c r="W57" s="11">
        <f t="shared" si="4"/>
        <v>1.1692946058089637</v>
      </c>
      <c r="Y57" s="14"/>
      <c r="Z57" s="13" t="s">
        <v>3</v>
      </c>
      <c r="AA57" s="10">
        <v>8</v>
      </c>
      <c r="AB57" s="12">
        <v>192095.23809520996</v>
      </c>
      <c r="AC57" s="10">
        <f t="shared" si="5"/>
        <v>-3</v>
      </c>
      <c r="AD57" s="12">
        <f t="shared" si="5"/>
        <v>-56857.142857120023</v>
      </c>
      <c r="AE57" s="11">
        <f t="shared" si="6"/>
        <v>-0.2283856159142626</v>
      </c>
      <c r="AG57" s="14"/>
      <c r="AH57" s="13" t="s">
        <v>3</v>
      </c>
      <c r="AI57" s="13">
        <v>8</v>
      </c>
      <c r="AJ57" s="45">
        <v>183523.80952377</v>
      </c>
      <c r="AK57" s="10">
        <f t="shared" si="7"/>
        <v>0</v>
      </c>
      <c r="AL57" s="12">
        <f t="shared" si="7"/>
        <v>-8571.4285714399593</v>
      </c>
      <c r="AM57" s="11">
        <f t="shared" si="8"/>
        <v>-4.4620723847363784E-2</v>
      </c>
      <c r="AO57" s="14"/>
      <c r="AP57" s="13" t="s">
        <v>3</v>
      </c>
      <c r="AQ57" s="10">
        <v>13</v>
      </c>
      <c r="AR57" s="12">
        <v>341619.04761898</v>
      </c>
      <c r="AS57" s="10">
        <f t="shared" si="9"/>
        <v>5</v>
      </c>
      <c r="AT57" s="12">
        <f t="shared" si="9"/>
        <v>158095.23809520999</v>
      </c>
      <c r="AU57" s="11">
        <f t="shared" si="10"/>
        <v>0.86144265697979361</v>
      </c>
      <c r="AW57" s="14"/>
      <c r="AX57" s="13" t="s">
        <v>3</v>
      </c>
      <c r="AY57" s="10">
        <v>8</v>
      </c>
      <c r="AZ57" s="12">
        <v>200666.66666662</v>
      </c>
      <c r="BA57" s="10">
        <f t="shared" si="11"/>
        <v>-5</v>
      </c>
      <c r="BB57" s="12">
        <f t="shared" si="12"/>
        <v>-140952.38095235999</v>
      </c>
      <c r="BC57" s="11">
        <f t="shared" si="13"/>
        <v>-0.41260105938111874</v>
      </c>
      <c r="BE57" s="14"/>
      <c r="BF57" s="13" t="s">
        <v>3</v>
      </c>
      <c r="BG57" s="10">
        <v>17</v>
      </c>
      <c r="BH57" s="12">
        <v>399809.52380944003</v>
      </c>
      <c r="BI57" s="10">
        <f t="shared" si="14"/>
        <v>9</v>
      </c>
      <c r="BJ57" s="12">
        <f t="shared" si="15"/>
        <v>199142.85714282002</v>
      </c>
      <c r="BK57" s="11">
        <f t="shared" si="16"/>
        <v>0.9924062648315598</v>
      </c>
      <c r="BM57" s="14"/>
      <c r="BN57" s="13" t="s">
        <v>3</v>
      </c>
      <c r="BO57" s="10">
        <v>12</v>
      </c>
      <c r="BP57" s="12">
        <v>318857.14285708999</v>
      </c>
      <c r="BQ57" s="10">
        <f t="shared" si="17"/>
        <v>-5</v>
      </c>
      <c r="BR57" s="12">
        <f t="shared" si="18"/>
        <v>-80952.380952350039</v>
      </c>
      <c r="BS57" s="11">
        <f t="shared" si="19"/>
        <v>-0.20247737017623951</v>
      </c>
      <c r="BU57" s="14"/>
      <c r="BV57" s="13" t="s">
        <v>3</v>
      </c>
      <c r="BW57" s="10">
        <v>8</v>
      </c>
      <c r="BX57" s="12">
        <v>152095</v>
      </c>
      <c r="BY57" s="10">
        <f t="shared" si="32"/>
        <v>-4</v>
      </c>
      <c r="BZ57" s="12">
        <f t="shared" si="21"/>
        <v>-166762.14285708999</v>
      </c>
      <c r="CA57" s="11">
        <f t="shared" si="22"/>
        <v>-0.52299955197124703</v>
      </c>
      <c r="CC57" s="14"/>
      <c r="CD57" s="13" t="s">
        <v>3</v>
      </c>
      <c r="CE57" s="50">
        <v>10</v>
      </c>
      <c r="CF57" s="50">
        <v>218571</v>
      </c>
      <c r="CG57" s="10">
        <f t="shared" si="23"/>
        <v>2</v>
      </c>
      <c r="CH57" s="12">
        <f t="shared" si="24"/>
        <v>66476</v>
      </c>
      <c r="CI57" s="11">
        <f t="shared" si="25"/>
        <v>0.43706893717742201</v>
      </c>
      <c r="CK57" s="14"/>
      <c r="CL57" s="13" t="s">
        <v>3</v>
      </c>
      <c r="CN57" s="12"/>
      <c r="CO57" s="10">
        <f t="shared" si="26"/>
        <v>-10</v>
      </c>
      <c r="CP57" s="12">
        <f t="shared" si="27"/>
        <v>-218571</v>
      </c>
      <c r="CQ57" s="11">
        <f t="shared" si="28"/>
        <v>-1</v>
      </c>
      <c r="CS57" s="14"/>
      <c r="CT57" s="13" t="s">
        <v>3</v>
      </c>
      <c r="CV57" s="12"/>
      <c r="CW57" s="10">
        <f t="shared" si="29"/>
        <v>0</v>
      </c>
      <c r="CX57" s="12">
        <f t="shared" si="30"/>
        <v>0</v>
      </c>
      <c r="CY57" s="11" t="e">
        <f t="shared" si="31"/>
        <v>#DIV/0!</v>
      </c>
    </row>
    <row r="58" spans="1:103" s="10" customFormat="1" ht="20" customHeight="1">
      <c r="A58" s="14"/>
      <c r="B58" s="13" t="s">
        <v>2</v>
      </c>
      <c r="C58" s="10">
        <v>7</v>
      </c>
      <c r="D58" s="12">
        <v>248857.14285712998</v>
      </c>
      <c r="F58" s="12"/>
      <c r="G58" s="11"/>
      <c r="I58" s="14"/>
      <c r="J58" s="13" t="s">
        <v>2</v>
      </c>
      <c r="K58" s="10">
        <v>20</v>
      </c>
      <c r="L58" s="12">
        <v>658095.23809521995</v>
      </c>
      <c r="M58" s="10">
        <f t="shared" si="0"/>
        <v>13</v>
      </c>
      <c r="N58" s="12">
        <f t="shared" si="0"/>
        <v>409238.09523808997</v>
      </c>
      <c r="O58" s="11">
        <f t="shared" si="1"/>
        <v>1.6444699579028577</v>
      </c>
      <c r="Q58" s="14"/>
      <c r="R58" s="13" t="s">
        <v>2</v>
      </c>
      <c r="S58" s="10">
        <v>16</v>
      </c>
      <c r="T58" s="12">
        <v>535619.04761903</v>
      </c>
      <c r="U58" s="10">
        <f t="shared" si="2"/>
        <v>-4</v>
      </c>
      <c r="V58" s="12">
        <f t="shared" si="3"/>
        <v>-122476.19047618995</v>
      </c>
      <c r="W58" s="11">
        <f t="shared" si="4"/>
        <v>-0.18610709117221852</v>
      </c>
      <c r="Y58" s="14"/>
      <c r="Z58" s="13" t="s">
        <v>2</v>
      </c>
      <c r="AA58" s="10">
        <v>22</v>
      </c>
      <c r="AB58" s="12">
        <v>798955.23809519992</v>
      </c>
      <c r="AC58" s="10">
        <f t="shared" si="5"/>
        <v>6</v>
      </c>
      <c r="AD58" s="12">
        <f t="shared" si="5"/>
        <v>263336.19047616993</v>
      </c>
      <c r="AE58" s="11">
        <f t="shared" si="6"/>
        <v>0.4916482930298498</v>
      </c>
      <c r="AG58" s="14"/>
      <c r="AH58" s="13" t="s">
        <v>2</v>
      </c>
      <c r="AI58" s="13">
        <v>18</v>
      </c>
      <c r="AJ58" s="45">
        <v>669714.28571425995</v>
      </c>
      <c r="AK58" s="10">
        <f t="shared" si="7"/>
        <v>-4</v>
      </c>
      <c r="AL58" s="12">
        <f t="shared" si="7"/>
        <v>-129240.95238093997</v>
      </c>
      <c r="AM58" s="11">
        <f t="shared" si="8"/>
        <v>-0.16176244452575977</v>
      </c>
      <c r="AO58" s="14"/>
      <c r="AP58" s="13" t="s">
        <v>2</v>
      </c>
      <c r="AQ58" s="10">
        <v>10</v>
      </c>
      <c r="AR58" s="12">
        <v>387619.04761901998</v>
      </c>
      <c r="AS58" s="10">
        <f t="shared" si="9"/>
        <v>-8</v>
      </c>
      <c r="AT58" s="12">
        <f t="shared" si="9"/>
        <v>-282095.23809523997</v>
      </c>
      <c r="AU58" s="11">
        <f t="shared" si="10"/>
        <v>-0.42121729237772093</v>
      </c>
      <c r="AW58" s="14"/>
      <c r="AX58" s="13" t="s">
        <v>2</v>
      </c>
      <c r="AY58" s="10">
        <v>19</v>
      </c>
      <c r="AZ58" s="12">
        <v>773428.57142853003</v>
      </c>
      <c r="BA58" s="10">
        <f t="shared" si="11"/>
        <v>9</v>
      </c>
      <c r="BB58" s="12">
        <f t="shared" si="12"/>
        <v>385809.52380951005</v>
      </c>
      <c r="BC58" s="11">
        <f t="shared" si="13"/>
        <v>0.99533169533173083</v>
      </c>
      <c r="BE58" s="14"/>
      <c r="BF58" s="13" t="s">
        <v>2</v>
      </c>
      <c r="BG58" s="10">
        <v>17</v>
      </c>
      <c r="BH58" s="12">
        <v>645047.61904757994</v>
      </c>
      <c r="BI58" s="10">
        <f t="shared" si="14"/>
        <v>-2</v>
      </c>
      <c r="BJ58" s="12">
        <f t="shared" si="15"/>
        <v>-128380.9523809501</v>
      </c>
      <c r="BK58" s="11">
        <f t="shared" si="16"/>
        <v>-0.16598941017116711</v>
      </c>
      <c r="BM58" s="14"/>
      <c r="BN58" s="13" t="s">
        <v>2</v>
      </c>
      <c r="BO58" s="10">
        <v>9</v>
      </c>
      <c r="BP58" s="12">
        <v>284857.14285712998</v>
      </c>
      <c r="BQ58" s="10">
        <f t="shared" si="17"/>
        <v>-8</v>
      </c>
      <c r="BR58" s="12">
        <f t="shared" si="18"/>
        <v>-360190.47619044996</v>
      </c>
      <c r="BS58" s="11">
        <f t="shared" si="19"/>
        <v>-0.55839362173334617</v>
      </c>
      <c r="BU58" s="14"/>
      <c r="BV58" s="13" t="s">
        <v>2</v>
      </c>
      <c r="BW58" s="10">
        <v>12</v>
      </c>
      <c r="BX58" s="12">
        <v>365524</v>
      </c>
      <c r="BY58" s="10">
        <f t="shared" si="32"/>
        <v>3</v>
      </c>
      <c r="BZ58" s="12">
        <f t="shared" si="21"/>
        <v>80666.857142870023</v>
      </c>
      <c r="CA58" s="11">
        <f t="shared" si="22"/>
        <v>0.28318355065201389</v>
      </c>
      <c r="CC58" s="14"/>
      <c r="CD58" s="13" t="s">
        <v>2</v>
      </c>
      <c r="CE58" s="50">
        <v>12</v>
      </c>
      <c r="CF58" s="50">
        <v>400672</v>
      </c>
      <c r="CG58" s="10">
        <f t="shared" si="23"/>
        <v>0</v>
      </c>
      <c r="CH58" s="12">
        <f t="shared" si="24"/>
        <v>35148</v>
      </c>
      <c r="CI58" s="11">
        <f t="shared" si="25"/>
        <v>9.6157844628533287E-2</v>
      </c>
      <c r="CK58" s="14"/>
      <c r="CL58" s="13" t="s">
        <v>2</v>
      </c>
      <c r="CN58" s="12"/>
      <c r="CO58" s="10">
        <f t="shared" si="26"/>
        <v>-12</v>
      </c>
      <c r="CP58" s="12">
        <f t="shared" si="27"/>
        <v>-400672</v>
      </c>
      <c r="CQ58" s="11">
        <f t="shared" si="28"/>
        <v>-1</v>
      </c>
      <c r="CS58" s="14"/>
      <c r="CT58" s="13" t="s">
        <v>2</v>
      </c>
      <c r="CV58" s="12"/>
      <c r="CW58" s="10">
        <f t="shared" si="29"/>
        <v>0</v>
      </c>
      <c r="CX58" s="12">
        <f t="shared" si="30"/>
        <v>0</v>
      </c>
      <c r="CY58" s="11" t="e">
        <f t="shared" si="31"/>
        <v>#DIV/0!</v>
      </c>
    </row>
    <row r="59" spans="1:103" s="1" customFormat="1" ht="20" customHeight="1">
      <c r="A59" s="9" t="s">
        <v>1</v>
      </c>
      <c r="B59" s="9"/>
      <c r="C59" s="8">
        <v>218</v>
      </c>
      <c r="D59" s="7">
        <v>1169949.9999992999</v>
      </c>
      <c r="E59" s="27"/>
      <c r="F59" s="28"/>
      <c r="G59" s="29"/>
      <c r="I59" s="9" t="s">
        <v>1</v>
      </c>
      <c r="J59" s="9"/>
      <c r="K59" s="8">
        <v>238</v>
      </c>
      <c r="L59" s="7">
        <v>1303737.1428564498</v>
      </c>
      <c r="M59" s="27">
        <f t="shared" si="0"/>
        <v>20</v>
      </c>
      <c r="N59" s="28">
        <f t="shared" si="0"/>
        <v>133787.14285714994</v>
      </c>
      <c r="O59" s="29">
        <f t="shared" si="1"/>
        <v>0.11435287222294116</v>
      </c>
      <c r="Q59" s="9" t="s">
        <v>1</v>
      </c>
      <c r="R59" s="9"/>
      <c r="S59" s="8">
        <v>251</v>
      </c>
      <c r="T59" s="7">
        <v>1261628.5714279201</v>
      </c>
      <c r="U59" s="27">
        <f t="shared" si="2"/>
        <v>13</v>
      </c>
      <c r="V59" s="28">
        <f t="shared" si="3"/>
        <v>-42108.571428529685</v>
      </c>
      <c r="W59" s="29">
        <f t="shared" si="4"/>
        <v>-3.2298359879715507E-2</v>
      </c>
      <c r="Y59" s="9" t="s">
        <v>1</v>
      </c>
      <c r="Z59" s="9"/>
      <c r="AA59" s="8">
        <v>218</v>
      </c>
      <c r="AB59" s="7">
        <v>1577776.6666659699</v>
      </c>
      <c r="AC59" s="27">
        <f t="shared" si="5"/>
        <v>-33</v>
      </c>
      <c r="AD59" s="28">
        <f t="shared" si="5"/>
        <v>316148.09523804975</v>
      </c>
      <c r="AE59" s="29">
        <f t="shared" si="6"/>
        <v>0.25058729835218546</v>
      </c>
      <c r="AG59" s="9" t="s">
        <v>1</v>
      </c>
      <c r="AH59" s="9"/>
      <c r="AI59" s="9">
        <v>249</v>
      </c>
      <c r="AJ59" s="46">
        <v>1398529.9999992</v>
      </c>
      <c r="AK59" s="27">
        <f t="shared" si="7"/>
        <v>31</v>
      </c>
      <c r="AL59" s="28">
        <f t="shared" si="7"/>
        <v>-179246.66666676989</v>
      </c>
      <c r="AM59" s="29">
        <f t="shared" si="8"/>
        <v>-0.1136071222586524</v>
      </c>
      <c r="AO59" s="9" t="s">
        <v>1</v>
      </c>
      <c r="AP59" s="9"/>
      <c r="AQ59" s="8">
        <v>230</v>
      </c>
      <c r="AR59" s="7">
        <v>1433417.6190466201</v>
      </c>
      <c r="AS59" s="27">
        <f t="shared" si="9"/>
        <v>-19</v>
      </c>
      <c r="AT59" s="28">
        <f t="shared" si="9"/>
        <v>34887.619047420099</v>
      </c>
      <c r="AU59" s="29">
        <f t="shared" si="10"/>
        <v>2.4945921108192215E-2</v>
      </c>
      <c r="AW59" s="9" t="s">
        <v>1</v>
      </c>
      <c r="AX59" s="9"/>
      <c r="AY59" s="8">
        <v>238</v>
      </c>
      <c r="AZ59" s="7">
        <v>1706268.57142757</v>
      </c>
      <c r="BA59" s="27">
        <f t="shared" si="11"/>
        <v>8</v>
      </c>
      <c r="BB59" s="28">
        <f t="shared" si="12"/>
        <v>272850.95238094986</v>
      </c>
      <c r="BC59" s="29">
        <f t="shared" si="13"/>
        <v>0.19034993623311652</v>
      </c>
      <c r="BE59" s="9" t="s">
        <v>1</v>
      </c>
      <c r="BF59" s="9"/>
      <c r="BG59" s="8">
        <v>254</v>
      </c>
      <c r="BH59" s="7">
        <v>1675750.95237987</v>
      </c>
      <c r="BI59" s="27">
        <f t="shared" si="14"/>
        <v>16</v>
      </c>
      <c r="BJ59" s="28">
        <f t="shared" si="15"/>
        <v>-30517.619047699962</v>
      </c>
      <c r="BK59" s="29">
        <f t="shared" si="16"/>
        <v>-1.7885589384188817E-2</v>
      </c>
      <c r="BM59" s="9" t="s">
        <v>1</v>
      </c>
      <c r="BN59" s="9"/>
      <c r="BO59" s="8">
        <v>226</v>
      </c>
      <c r="BP59" s="7">
        <v>1146679.9999990901</v>
      </c>
      <c r="BQ59" s="27">
        <f t="shared" si="17"/>
        <v>-28</v>
      </c>
      <c r="BR59" s="28">
        <f t="shared" si="18"/>
        <v>-529070.9523807799</v>
      </c>
      <c r="BS59" s="29">
        <f t="shared" si="19"/>
        <v>-0.31572170770925312</v>
      </c>
      <c r="BU59" s="9" t="s">
        <v>1</v>
      </c>
      <c r="BV59" s="9"/>
      <c r="BW59" s="8">
        <v>203</v>
      </c>
      <c r="BX59" s="7">
        <v>937608</v>
      </c>
      <c r="BY59" s="27">
        <f t="shared" si="32"/>
        <v>-23</v>
      </c>
      <c r="BZ59" s="28">
        <f t="shared" si="21"/>
        <v>-209071.9999990901</v>
      </c>
      <c r="CA59" s="29">
        <f t="shared" si="22"/>
        <v>-0.18232811246315972</v>
      </c>
      <c r="CC59" s="9" t="s">
        <v>1</v>
      </c>
      <c r="CD59" s="9"/>
      <c r="CE59" s="51">
        <v>211</v>
      </c>
      <c r="CF59" s="51">
        <v>1045103</v>
      </c>
      <c r="CG59" s="27">
        <f t="shared" si="23"/>
        <v>8</v>
      </c>
      <c r="CH59" s="28">
        <f t="shared" si="24"/>
        <v>107495</v>
      </c>
      <c r="CI59" s="29">
        <f t="shared" si="25"/>
        <v>0.1146481258692332</v>
      </c>
      <c r="CK59" s="9" t="s">
        <v>1</v>
      </c>
      <c r="CL59" s="9"/>
      <c r="CM59" s="8"/>
      <c r="CN59" s="7"/>
      <c r="CO59" s="27">
        <f t="shared" si="26"/>
        <v>-211</v>
      </c>
      <c r="CP59" s="28">
        <f t="shared" si="27"/>
        <v>-1045103</v>
      </c>
      <c r="CQ59" s="29">
        <f t="shared" si="28"/>
        <v>-1</v>
      </c>
      <c r="CS59" s="9" t="s">
        <v>1</v>
      </c>
      <c r="CT59" s="9"/>
      <c r="CU59" s="8"/>
      <c r="CV59" s="7"/>
      <c r="CW59" s="27">
        <f t="shared" si="29"/>
        <v>0</v>
      </c>
      <c r="CX59" s="28">
        <f t="shared" si="30"/>
        <v>0</v>
      </c>
      <c r="CY59" s="29" t="e">
        <f t="shared" si="31"/>
        <v>#DIV/0!</v>
      </c>
    </row>
    <row r="60" spans="1:103" s="1" customFormat="1" ht="20" customHeight="1">
      <c r="A60" s="4" t="s">
        <v>0</v>
      </c>
      <c r="B60" s="4"/>
      <c r="C60" s="3">
        <v>1739</v>
      </c>
      <c r="D60" s="2">
        <v>12276756.666662497</v>
      </c>
      <c r="E60" s="6"/>
      <c r="F60" s="5"/>
      <c r="G60" s="30"/>
      <c r="I60" s="4" t="s">
        <v>0</v>
      </c>
      <c r="J60" s="4"/>
      <c r="K60" s="3">
        <v>1617</v>
      </c>
      <c r="L60" s="2">
        <v>14975468.095234502</v>
      </c>
      <c r="M60" s="6">
        <f t="shared" si="0"/>
        <v>-122</v>
      </c>
      <c r="N60" s="5">
        <f t="shared" si="0"/>
        <v>2698711.4285720047</v>
      </c>
      <c r="O60" s="30">
        <f t="shared" si="1"/>
        <v>0.21982283284153942</v>
      </c>
      <c r="Q60" s="4" t="s">
        <v>0</v>
      </c>
      <c r="R60" s="4"/>
      <c r="S60" s="3">
        <v>2067</v>
      </c>
      <c r="T60" s="2">
        <v>16439730.47618423</v>
      </c>
      <c r="U60" s="6">
        <f t="shared" si="2"/>
        <v>450</v>
      </c>
      <c r="V60" s="5">
        <f t="shared" si="3"/>
        <v>1464262.3809497282</v>
      </c>
      <c r="W60" s="30">
        <f t="shared" si="4"/>
        <v>9.7777403126095688E-2</v>
      </c>
      <c r="Y60" s="4" t="s">
        <v>0</v>
      </c>
      <c r="Z60" s="4"/>
      <c r="AA60" s="3">
        <v>1743</v>
      </c>
      <c r="AB60" s="2">
        <v>14309083.333329419</v>
      </c>
      <c r="AC60" s="6">
        <f t="shared" si="5"/>
        <v>-324</v>
      </c>
      <c r="AD60" s="5">
        <f t="shared" si="5"/>
        <v>-2130647.1428548116</v>
      </c>
      <c r="AE60" s="30">
        <f t="shared" si="6"/>
        <v>-0.12960353248743461</v>
      </c>
      <c r="AG60" s="4" t="s">
        <v>0</v>
      </c>
      <c r="AH60" s="4"/>
      <c r="AI60" s="4">
        <v>1879</v>
      </c>
      <c r="AJ60" s="48">
        <v>14443175.714281667</v>
      </c>
      <c r="AK60" s="6">
        <f t="shared" si="7"/>
        <v>136</v>
      </c>
      <c r="AL60" s="5">
        <f t="shared" si="7"/>
        <v>134092.38095224835</v>
      </c>
      <c r="AM60" s="30">
        <f t="shared" si="8"/>
        <v>9.3711370483050994E-3</v>
      </c>
      <c r="AO60" s="4" t="s">
        <v>0</v>
      </c>
      <c r="AP60" s="4"/>
      <c r="AQ60" s="3">
        <v>2026</v>
      </c>
      <c r="AR60" s="2">
        <v>17977621.428564832</v>
      </c>
      <c r="AS60" s="6">
        <f t="shared" si="9"/>
        <v>147</v>
      </c>
      <c r="AT60" s="5">
        <f t="shared" si="9"/>
        <v>3534445.7142831646</v>
      </c>
      <c r="AU60" s="30">
        <f t="shared" si="10"/>
        <v>0.24471389008916108</v>
      </c>
      <c r="AW60" s="4" t="s">
        <v>0</v>
      </c>
      <c r="AX60" s="4"/>
      <c r="AY60" s="3">
        <v>1800</v>
      </c>
      <c r="AZ60" s="2">
        <v>14724800.95237501</v>
      </c>
      <c r="BA60" s="6">
        <f t="shared" si="11"/>
        <v>-226</v>
      </c>
      <c r="BB60" s="5">
        <f t="shared" si="12"/>
        <v>-3252820.476189822</v>
      </c>
      <c r="BC60" s="30">
        <f t="shared" si="13"/>
        <v>-0.18093719956864712</v>
      </c>
      <c r="BE60" s="4" t="s">
        <v>0</v>
      </c>
      <c r="BF60" s="4"/>
      <c r="BG60" s="3">
        <v>1717</v>
      </c>
      <c r="BH60" s="2">
        <v>10998812.76189879</v>
      </c>
      <c r="BI60" s="6">
        <f t="shared" si="14"/>
        <v>-83</v>
      </c>
      <c r="BJ60" s="5">
        <f t="shared" si="15"/>
        <v>-3725988.1904762201</v>
      </c>
      <c r="BK60" s="30">
        <f t="shared" si="16"/>
        <v>-0.2530416677636137</v>
      </c>
      <c r="BM60" s="4" t="s">
        <v>0</v>
      </c>
      <c r="BN60" s="4"/>
      <c r="BO60" s="3">
        <v>1693</v>
      </c>
      <c r="BP60" s="2">
        <v>10316829.33332772</v>
      </c>
      <c r="BQ60" s="6">
        <f t="shared" si="17"/>
        <v>-24</v>
      </c>
      <c r="BR60" s="5">
        <f t="shared" si="18"/>
        <v>-681983.42857106961</v>
      </c>
      <c r="BS60" s="30">
        <f t="shared" si="19"/>
        <v>-6.2005185771826413E-2</v>
      </c>
      <c r="BU60" s="4" t="s">
        <v>0</v>
      </c>
      <c r="BV60" s="4"/>
      <c r="BW60" s="3">
        <v>1694</v>
      </c>
      <c r="BX60" s="2">
        <v>11194351</v>
      </c>
      <c r="BY60" s="6">
        <f t="shared" si="32"/>
        <v>1</v>
      </c>
      <c r="BZ60" s="5">
        <f t="shared" si="21"/>
        <v>877521.66667228006</v>
      </c>
      <c r="CA60" s="30">
        <f t="shared" si="22"/>
        <v>8.5057301843456321E-2</v>
      </c>
      <c r="CC60" s="4" t="s">
        <v>0</v>
      </c>
      <c r="CD60" s="4"/>
      <c r="CE60" s="3">
        <v>1721</v>
      </c>
      <c r="CF60" s="2">
        <v>11523227</v>
      </c>
      <c r="CG60" s="6">
        <f t="shared" si="23"/>
        <v>27</v>
      </c>
      <c r="CH60" s="5">
        <f t="shared" si="24"/>
        <v>328876</v>
      </c>
      <c r="CI60" s="30">
        <f t="shared" si="25"/>
        <v>2.937874647668275E-2</v>
      </c>
      <c r="CK60" s="4" t="s">
        <v>0</v>
      </c>
      <c r="CL60" s="4"/>
      <c r="CM60" s="3"/>
      <c r="CN60" s="2"/>
      <c r="CO60" s="6">
        <f t="shared" si="26"/>
        <v>-1721</v>
      </c>
      <c r="CP60" s="5">
        <f t="shared" si="27"/>
        <v>-11523227</v>
      </c>
      <c r="CQ60" s="30">
        <f t="shared" si="28"/>
        <v>-1</v>
      </c>
      <c r="CS60" s="4" t="s">
        <v>0</v>
      </c>
      <c r="CT60" s="4"/>
      <c r="CU60" s="3"/>
      <c r="CV60" s="2"/>
      <c r="CW60" s="6">
        <f t="shared" si="29"/>
        <v>0</v>
      </c>
      <c r="CX60" s="5">
        <f t="shared" si="30"/>
        <v>0</v>
      </c>
      <c r="CY60" s="30" t="e">
        <f t="shared" si="31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1" operator="containsText" id="{84E91190-11E8-AE4A-9A8E-E0B241655290}">
            <xm:f>NOT(ISERROR(SEARCH("-",E5)))</xm:f>
            <xm:f>"-"</xm:f>
            <x14:dxf>
              <font>
                <color rgb="FFFF0000"/>
              </font>
            </x14:dxf>
          </x14:cfRule>
          <xm:sqref>M5:O60 U5:W60 AC5:AE60 AJ5:AM60 AS5:AU60 BA5:BC60 BI5:BK60 BQ5:BS60 BY5:CA60 CG5:CI60 CO5:CQ60 CW5:CY60 E7:G60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2026-09-13T03:31:04Z</dcterms:modified>
</cp:coreProperties>
</file>