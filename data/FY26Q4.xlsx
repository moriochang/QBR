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9C5F87D1-1951-2443-BDB2-8DC0632DD5A9}" xr6:coauthVersionLast="47" xr6:coauthVersionMax="47" xr10:uidLastSave="{00000000-0000-0000-0000-000000000000}"/>
  <bookViews>
    <workbookView xWindow="15640" yWindow="322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<sst xmlns="http://schemas.openxmlformats.org/spreadsheetml/2006/main" count="840" uniqueCount="50">
  <si>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</si>
  <si>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</si>
  <si>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</si>
  <si>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</si>
  <si>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</si>
  <si>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</si>
  <si>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</si>
  <si>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</si>
  <si>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</si>
  <si>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</si>
  <si>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</si>
  <si>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</si>
  <si>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</si>
  <si>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</si>
  <si>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</si>
  <si>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</si>
  <si>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</si>
  <si>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</si>
  <si>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</si>
  <si>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</si>
  <si>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</si>
  <si>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</si>
  <si>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</si>
  <si>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</si>
  <si>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</si>
  <si>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</si>
  <si>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</si>
  <si>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</si>
  <si>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</si>
  <si>
    <t>26Q4W5</t>
    <phoneticPr fontId="2" type="noConversion"/>
  </si>
  <si>
    <t>07/26-08/01</t>
    <phoneticPr fontId="2" type="noConversion"/>
  </si>
  <si>
    <t>26Q4W6</t>
  </si>
  <si>
    <t>08/02-08/08</t>
  </si>
  <si>
    <t>store</t>
  </si>
  <si>
    <t>class</t>
  </si>
  <si>
    <t>Qty</t>
  </si>
  <si>
    <t>業績</t>
  </si>
  <si>
    <t>Traffic</t>
  </si>
  <si>
    <t>Trade in</t>
  </si>
  <si>
    <t>75 合計</t>
  </si>
  <si>
    <t>26Q4W7</t>
  </si>
  <si>
    <t>08/09-08/15</t>
  </si>
  <si>
    <t>26Q4W8</t>
  </si>
  <si>
    <t>08/16-08/22</t>
  </si>
  <si>
    <t>26Q4W9</t>
  </si>
  <si>
    <t>08/23-08/29</t>
  </si>
  <si>
    <t>26Q4W10</t>
  </si>
  <si>
    <t>08/30-09/05</t>
  </si>
  <si>
    <t>26Q4W11</t>
  </si>
  <si>
    <t>09/06-09/12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</si>
</sst>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  <font>
      <sz val="16"/>
      <color theme="1"/>
      <name val="Arial"/>
      <family val="2"/>
    </font>
    <font>
      <sz val="12"/>
      <color theme="1"/>
      <name val="Microsoft JhengHei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topLeftCell="A24" zoomScale="75" workbookViewId="0">
      <pane xSplit="1" topLeftCell="BZ1" activePane="topRight" state="frozen"/>
      <selection pane="topRight" activeCell="CF50" sqref="CF50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 t="s">
        <v>29</v>
      </c>
      <c r="AH1" s="26"/>
      <c r="AJ1" s="41"/>
      <c r="AO1" s="26" t="s">
        <v>31</v>
      </c>
      <c r="AP1" s="26"/>
      <c r="AR1" s="25"/>
      <c r="AW1" s="26" t="s">
        <v>40</v>
      </c>
      <c r="AX1" s="26"/>
      <c r="AZ1" s="25"/>
      <c r="BE1" s="53" t="s">
        <v>42</v>
      </c>
      <c r="BF1" s="26"/>
      <c r="BH1" s="25"/>
      <c r="BM1" s="26" t="s">
        <v>44</v>
      </c>
      <c r="BU1" s="26" t="s">
        <v>46</v>
      </c>
      <c r="BV1" s="26"/>
      <c r="BX1" s="25"/>
      <c r="CC1" s="26" t="s">
        <v>48</v>
      </c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 t="s">
        <v>30</v>
      </c>
      <c r="AJ2" s="42"/>
      <c r="AK2" s="22"/>
      <c r="AL2" s="22"/>
      <c r="AN2" s="21"/>
      <c r="AO2" s="23" t="s">
        <v>32</v>
      </c>
      <c r="AQ2" s="22"/>
      <c r="AR2" s="22"/>
      <c r="AT2" s="21"/>
      <c r="AW2" s="20" t="s">
        <v>41</v>
      </c>
      <c r="AY2" s="22"/>
      <c r="AZ2" s="22"/>
      <c r="BB2" s="21"/>
      <c r="BE2" s="54" t="s">
        <v>43</v>
      </c>
      <c r="BG2" s="22"/>
      <c r="BH2" s="22"/>
      <c r="BJ2" s="21"/>
      <c r="BM2" s="20" t="s">
        <v>45</v>
      </c>
      <c r="BN2" s="21"/>
      <c r="BP2" s="21"/>
      <c r="BQ2" s="21"/>
      <c r="BR2" s="21"/>
      <c r="BS2" s="21"/>
      <c r="BU2" s="20" t="s">
        <v>47</v>
      </c>
      <c r="BV2" s="21"/>
      <c r="BX2" s="21"/>
      <c r="BY2" s="21"/>
      <c r="BZ2" s="21"/>
      <c r="CA2" s="21"/>
      <c r="CC2" s="20" t="s">
        <v>49</v>
      </c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33</v>
      </c>
      <c r="AP4" s="19" t="s">
        <v>34</v>
      </c>
      <c r="AQ4" s="18" t="s">
        <v>35</v>
      </c>
      <c r="AR4" s="17" t="s">
        <v>36</v>
      </c>
      <c r="AS4" s="16" t="s">
        <v>13</v>
      </c>
      <c r="AT4" s="16" t="s">
        <v>13</v>
      </c>
      <c r="AU4" s="16" t="s">
        <v>13</v>
      </c>
      <c r="AW4" s="19" t="s">
        <v>33</v>
      </c>
      <c r="AX4" s="19" t="s">
        <v>34</v>
      </c>
      <c r="AY4" s="18" t="s">
        <v>35</v>
      </c>
      <c r="AZ4" s="17" t="s">
        <v>36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33</v>
      </c>
      <c r="BN4" s="19" t="s">
        <v>34</v>
      </c>
      <c r="BO4" s="18" t="s">
        <v>35</v>
      </c>
      <c r="BP4" s="17" t="s">
        <v>36</v>
      </c>
      <c r="BQ4" s="16" t="s">
        <v>13</v>
      </c>
      <c r="BR4" s="16" t="s">
        <v>13</v>
      </c>
      <c r="BS4" s="16" t="s">
        <v>13</v>
      </c>
      <c r="BU4" s="19" t="s">
        <v>33</v>
      </c>
      <c r="BV4" s="19" t="s">
        <v>34</v>
      </c>
      <c r="BW4" s="18" t="s">
        <v>35</v>
      </c>
      <c r="BX4" s="17" t="s">
        <v>36</v>
      </c>
      <c r="BY4" s="16" t="s">
        <v>13</v>
      </c>
      <c r="BZ4" s="16" t="s">
        <v>13</v>
      </c>
      <c r="CA4" s="16" t="s">
        <v>13</v>
      </c>
      <c r="CC4" s="19" t="s">
        <v>33</v>
      </c>
      <c r="CD4" s="19" t="s">
        <v>34</v>
      </c>
      <c r="CE4" s="18" t="s">
        <v>35</v>
      </c>
      <c r="CF4" s="17" t="s">
        <v>36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>
        <v>5898</v>
      </c>
      <c r="AJ5" s="43"/>
      <c r="AK5" s="10">
        <f t="shared" ref="AK5:AL60" si="7">AI5-AA5</f>
        <v>282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37</v>
      </c>
      <c r="AQ5" s="40">
        <v>6469</v>
      </c>
      <c r="AR5" s="1"/>
      <c r="AS5" s="10">
        <f t="shared" ref="AS5:AT60" si="9">AQ5-AI5</f>
        <v>571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37</v>
      </c>
      <c r="AY5" s="40">
        <v>6235</v>
      </c>
      <c r="AZ5" s="1"/>
      <c r="BA5" s="10">
        <f t="shared" ref="BA5:BA60" si="11">AY5-AQ5</f>
        <v>-234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>
        <v>5656</v>
      </c>
      <c r="BH5" s="1"/>
      <c r="BI5" s="10">
        <f t="shared" ref="BI5:BI60" si="14">BG5-AY5</f>
        <v>-579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37</v>
      </c>
      <c r="BO5" s="40">
        <v>6262</v>
      </c>
      <c r="BP5" s="1"/>
      <c r="BQ5" s="10">
        <f t="shared" ref="BQ5:BQ60" si="17">BO5-BG5</f>
        <v>606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37</v>
      </c>
      <c r="BW5" s="15">
        <v>5042</v>
      </c>
      <c r="BX5" s="33"/>
      <c r="BY5" s="10">
        <f t="shared" ref="BY5:BY33" si="20">BW5-BO5</f>
        <v>-1220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37</v>
      </c>
      <c r="CE5" s="15">
        <v>7657</v>
      </c>
      <c r="CF5" s="33"/>
      <c r="CG5" s="10">
        <f t="shared" ref="CG5:CG60" si="23">CE5-BW5</f>
        <v>2615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-7657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>
        <v>12</v>
      </c>
      <c r="AJ6" s="44"/>
      <c r="AK6" s="10">
        <f t="shared" si="7"/>
        <v>3</v>
      </c>
      <c r="AL6" s="12">
        <f t="shared" si="7"/>
        <v>0</v>
      </c>
      <c r="AM6" s="11" t="e">
        <f t="shared" si="8"/>
        <v>#DIV/0!</v>
      </c>
      <c r="AO6" s="14"/>
      <c r="AP6" s="32" t="s">
        <v>38</v>
      </c>
      <c r="AQ6" s="15">
        <v>16</v>
      </c>
      <c r="AR6" s="33"/>
      <c r="AS6" s="10">
        <f t="shared" si="9"/>
        <v>4</v>
      </c>
      <c r="AT6" s="12">
        <f t="shared" si="9"/>
        <v>0</v>
      </c>
      <c r="AU6" s="11" t="e">
        <f t="shared" si="10"/>
        <v>#DIV/0!</v>
      </c>
      <c r="AW6" s="14"/>
      <c r="AX6" s="32" t="s">
        <v>38</v>
      </c>
      <c r="AY6" s="15">
        <v>18</v>
      </c>
      <c r="AZ6" s="33"/>
      <c r="BA6" s="10">
        <f t="shared" si="11"/>
        <v>2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G6" s="15">
        <v>10</v>
      </c>
      <c r="BH6" s="33"/>
      <c r="BI6" s="10">
        <f t="shared" si="14"/>
        <v>-8</v>
      </c>
      <c r="BJ6" s="12">
        <f t="shared" si="15"/>
        <v>0</v>
      </c>
      <c r="BK6" s="11" t="e">
        <f t="shared" si="16"/>
        <v>#DIV/0!</v>
      </c>
      <c r="BM6" s="14"/>
      <c r="BN6" s="32" t="s">
        <v>38</v>
      </c>
      <c r="BO6" s="15">
        <v>10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38</v>
      </c>
      <c r="BW6" s="15">
        <v>7</v>
      </c>
      <c r="BX6" s="33"/>
      <c r="BY6" s="10">
        <f t="shared" si="20"/>
        <v>-3</v>
      </c>
      <c r="BZ6" s="12">
        <f t="shared" si="21"/>
        <v>0</v>
      </c>
      <c r="CA6" s="11" t="e">
        <f t="shared" si="22"/>
        <v>#DIV/0!</v>
      </c>
      <c r="CC6" s="14"/>
      <c r="CD6" s="32" t="s">
        <v>38</v>
      </c>
      <c r="CE6" s="15">
        <v>6</v>
      </c>
      <c r="CF6" s="33"/>
      <c r="CG6" s="10">
        <f t="shared" si="23"/>
        <v>-1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-6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>
        <v>255</v>
      </c>
      <c r="AJ7" s="45">
        <v>266492.38095159992</v>
      </c>
      <c r="AK7" s="10">
        <f t="shared" si="7"/>
        <v>62</v>
      </c>
      <c r="AL7" s="12">
        <f t="shared" si="7"/>
        <v>37366.666666649951</v>
      </c>
      <c r="AM7" s="11">
        <f t="shared" si="8"/>
        <v>0.16308368872198806</v>
      </c>
      <c r="AO7" s="14"/>
      <c r="AP7" s="13" t="s">
        <v>9</v>
      </c>
      <c r="AQ7" s="10">
        <v>240</v>
      </c>
      <c r="AR7" s="12">
        <v>282545.71428457979</v>
      </c>
      <c r="AS7" s="10">
        <f t="shared" si="9"/>
        <v>-15</v>
      </c>
      <c r="AT7" s="12">
        <f t="shared" si="9"/>
        <v>16053.333332979877</v>
      </c>
      <c r="AU7" s="11">
        <f t="shared" si="10"/>
        <v>6.0239370730435504E-2</v>
      </c>
      <c r="AW7" s="14"/>
      <c r="AX7" s="13" t="s">
        <v>9</v>
      </c>
      <c r="AY7" s="10">
        <v>200</v>
      </c>
      <c r="AZ7" s="12">
        <v>235359.99999904991</v>
      </c>
      <c r="BA7" s="10">
        <f t="shared" si="11"/>
        <v>-40</v>
      </c>
      <c r="BB7" s="12">
        <f t="shared" si="12"/>
        <v>-47185.714285529888</v>
      </c>
      <c r="BC7" s="11">
        <f t="shared" si="13"/>
        <v>-0.16700205276518362</v>
      </c>
      <c r="BE7" s="14"/>
      <c r="BF7" s="13" t="s">
        <v>9</v>
      </c>
      <c r="BG7" s="10">
        <v>170</v>
      </c>
      <c r="BH7" s="12">
        <v>174014.28571349999</v>
      </c>
      <c r="BI7" s="10">
        <f t="shared" si="14"/>
        <v>-30</v>
      </c>
      <c r="BJ7" s="12">
        <f t="shared" si="15"/>
        <v>-61345.714285549911</v>
      </c>
      <c r="BK7" s="11">
        <f t="shared" si="16"/>
        <v>-0.26064630474930978</v>
      </c>
      <c r="BM7" s="14"/>
      <c r="BN7" s="13" t="s">
        <v>9</v>
      </c>
      <c r="BO7" s="10">
        <v>209</v>
      </c>
      <c r="BP7" s="12">
        <v>210267.61904672001</v>
      </c>
      <c r="BQ7" s="10">
        <f t="shared" si="17"/>
        <v>39</v>
      </c>
      <c r="BR7" s="12">
        <f t="shared" si="18"/>
        <v>36253.333333220013</v>
      </c>
      <c r="BS7" s="11">
        <f t="shared" si="19"/>
        <v>0.20833538571027496</v>
      </c>
      <c r="BU7" s="14"/>
      <c r="BV7" s="13" t="s">
        <v>9</v>
      </c>
      <c r="BW7" s="10">
        <v>198</v>
      </c>
      <c r="BX7" s="12">
        <v>205488</v>
      </c>
      <c r="BY7" s="10">
        <f t="shared" si="20"/>
        <v>-11</v>
      </c>
      <c r="BZ7" s="12">
        <f t="shared" si="21"/>
        <v>-4779.6190467200067</v>
      </c>
      <c r="CA7" s="11">
        <f t="shared" si="22"/>
        <v>-2.2731122692068E-2</v>
      </c>
      <c r="CC7" s="14"/>
      <c r="CD7" s="13" t="s">
        <v>9</v>
      </c>
      <c r="CE7" s="10">
        <v>142</v>
      </c>
      <c r="CF7" s="12">
        <v>157770</v>
      </c>
      <c r="CG7" s="10">
        <f t="shared" si="23"/>
        <v>-56</v>
      </c>
      <c r="CH7" s="12">
        <f t="shared" si="24"/>
        <v>-47718</v>
      </c>
      <c r="CI7" s="11">
        <f t="shared" si="25"/>
        <v>-0.23221793973370708</v>
      </c>
      <c r="CK7" s="14"/>
      <c r="CL7" s="13" t="s">
        <v>9</v>
      </c>
      <c r="CN7" s="12"/>
      <c r="CO7" s="10">
        <f t="shared" si="26"/>
        <v>-142</v>
      </c>
      <c r="CP7" s="12">
        <f t="shared" si="27"/>
        <v>-157770</v>
      </c>
      <c r="CQ7" s="11">
        <f t="shared" si="28"/>
        <v>-1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>
        <v>247</v>
      </c>
      <c r="AJ8" s="45">
        <v>337030.47619030991</v>
      </c>
      <c r="AK8" s="10">
        <f t="shared" si="7"/>
        <v>7</v>
      </c>
      <c r="AL8" s="12">
        <f t="shared" si="7"/>
        <v>-61914.2857143</v>
      </c>
      <c r="AM8" s="11">
        <f t="shared" si="8"/>
        <v>-0.15519513382933969</v>
      </c>
      <c r="AO8" s="14"/>
      <c r="AP8" s="13" t="s">
        <v>8</v>
      </c>
      <c r="AQ8" s="10">
        <v>253</v>
      </c>
      <c r="AR8" s="12">
        <v>370535.23809472017</v>
      </c>
      <c r="AS8" s="10">
        <f t="shared" si="9"/>
        <v>6</v>
      </c>
      <c r="AT8" s="12">
        <f t="shared" si="9"/>
        <v>33504.761904410261</v>
      </c>
      <c r="AU8" s="11">
        <f t="shared" si="10"/>
        <v>9.9411668295217415E-2</v>
      </c>
      <c r="AW8" s="14"/>
      <c r="AX8" s="13" t="s">
        <v>8</v>
      </c>
      <c r="AY8" s="10">
        <v>265</v>
      </c>
      <c r="AZ8" s="12">
        <v>417266.66666615021</v>
      </c>
      <c r="BA8" s="10">
        <f t="shared" si="11"/>
        <v>12</v>
      </c>
      <c r="BB8" s="12">
        <f t="shared" si="12"/>
        <v>46731.428571430035</v>
      </c>
      <c r="BC8" s="11">
        <f t="shared" si="13"/>
        <v>0.12611871629732568</v>
      </c>
      <c r="BE8" s="14"/>
      <c r="BF8" s="13" t="s">
        <v>8</v>
      </c>
      <c r="BG8" s="10">
        <v>263</v>
      </c>
      <c r="BH8" s="12">
        <v>314315.23809473001</v>
      </c>
      <c r="BI8" s="10">
        <f t="shared" si="14"/>
        <v>-2</v>
      </c>
      <c r="BJ8" s="12">
        <f t="shared" si="15"/>
        <v>-102951.4285714202</v>
      </c>
      <c r="BK8" s="11">
        <f t="shared" si="16"/>
        <v>-0.24672814005004223</v>
      </c>
      <c r="BM8" s="14"/>
      <c r="BN8" s="13" t="s">
        <v>8</v>
      </c>
      <c r="BO8" s="10">
        <v>271</v>
      </c>
      <c r="BP8" s="12">
        <v>337086.66666618001</v>
      </c>
      <c r="BQ8" s="10">
        <f t="shared" si="17"/>
        <v>8</v>
      </c>
      <c r="BR8" s="12">
        <f t="shared" si="18"/>
        <v>22771.42857145</v>
      </c>
      <c r="BS8" s="11">
        <f t="shared" si="19"/>
        <v>7.2447739757965618E-2</v>
      </c>
      <c r="BU8" s="14"/>
      <c r="BV8" s="13" t="s">
        <v>8</v>
      </c>
      <c r="BW8" s="10">
        <v>204</v>
      </c>
      <c r="BX8" s="12">
        <v>339810</v>
      </c>
      <c r="BY8" s="10">
        <f t="shared" si="20"/>
        <v>-67</v>
      </c>
      <c r="BZ8" s="12">
        <f t="shared" si="21"/>
        <v>2723.3333338199882</v>
      </c>
      <c r="CA8" s="11">
        <f t="shared" si="22"/>
        <v>8.0790301222947204E-3</v>
      </c>
      <c r="CC8" s="14"/>
      <c r="CD8" s="13" t="s">
        <v>8</v>
      </c>
      <c r="CE8" s="10">
        <v>229</v>
      </c>
      <c r="CF8" s="12">
        <v>258686</v>
      </c>
      <c r="CG8" s="10">
        <f t="shared" si="23"/>
        <v>25</v>
      </c>
      <c r="CH8" s="12">
        <f t="shared" si="24"/>
        <v>-81124</v>
      </c>
      <c r="CI8" s="11">
        <f t="shared" si="25"/>
        <v>-0.23873340984667904</v>
      </c>
      <c r="CK8" s="14"/>
      <c r="CL8" s="13" t="s">
        <v>8</v>
      </c>
      <c r="CN8" s="12"/>
      <c r="CO8" s="10">
        <f t="shared" si="26"/>
        <v>-229</v>
      </c>
      <c r="CP8" s="12">
        <f t="shared" si="27"/>
        <v>-258686</v>
      </c>
      <c r="CQ8" s="11">
        <f t="shared" si="28"/>
        <v>-1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>
        <v>72</v>
      </c>
      <c r="AJ9" s="45">
        <v>503599.99999997998</v>
      </c>
      <c r="AK9" s="10">
        <f t="shared" si="7"/>
        <v>10</v>
      </c>
      <c r="AL9" s="12">
        <f t="shared" si="7"/>
        <v>75619.047619040008</v>
      </c>
      <c r="AM9" s="11">
        <f t="shared" si="8"/>
        <v>0.17668788108058728</v>
      </c>
      <c r="AO9" s="14"/>
      <c r="AP9" s="13" t="s">
        <v>7</v>
      </c>
      <c r="AQ9" s="10">
        <v>64</v>
      </c>
      <c r="AR9" s="12">
        <v>456533.33333325997</v>
      </c>
      <c r="AS9" s="10">
        <f t="shared" si="9"/>
        <v>-8</v>
      </c>
      <c r="AT9" s="12">
        <f t="shared" si="9"/>
        <v>-47066.666666720004</v>
      </c>
      <c r="AU9" s="11">
        <f t="shared" si="10"/>
        <v>-9.3460418321528738E-2</v>
      </c>
      <c r="AW9" s="14"/>
      <c r="AX9" s="13" t="s">
        <v>7</v>
      </c>
      <c r="AY9" s="10">
        <v>73</v>
      </c>
      <c r="AZ9" s="12">
        <v>531685.71428561991</v>
      </c>
      <c r="BA9" s="10">
        <f t="shared" si="11"/>
        <v>9</v>
      </c>
      <c r="BB9" s="12">
        <f t="shared" si="12"/>
        <v>75152.380952359934</v>
      </c>
      <c r="BC9" s="11">
        <f t="shared" si="13"/>
        <v>0.16461532042721672</v>
      </c>
      <c r="BE9" s="14"/>
      <c r="BF9" s="13" t="s">
        <v>7</v>
      </c>
      <c r="BG9" s="10">
        <v>68</v>
      </c>
      <c r="BH9" s="12">
        <v>467447.61904753</v>
      </c>
      <c r="BI9" s="10">
        <f t="shared" si="14"/>
        <v>-5</v>
      </c>
      <c r="BJ9" s="12">
        <f t="shared" si="15"/>
        <v>-64238.095238089911</v>
      </c>
      <c r="BK9" s="11">
        <f t="shared" si="16"/>
        <v>-0.12081967506763104</v>
      </c>
      <c r="BM9" s="14"/>
      <c r="BN9" s="13" t="s">
        <v>7</v>
      </c>
      <c r="BO9" s="10">
        <v>53</v>
      </c>
      <c r="BP9" s="12">
        <v>376638.09523803002</v>
      </c>
      <c r="BQ9" s="10">
        <f t="shared" si="17"/>
        <v>-15</v>
      </c>
      <c r="BR9" s="12">
        <f t="shared" si="18"/>
        <v>-90809.52380949998</v>
      </c>
      <c r="BS9" s="11">
        <f t="shared" si="19"/>
        <v>-0.1942667372967547</v>
      </c>
      <c r="BU9" s="14"/>
      <c r="BV9" s="13" t="s">
        <v>7</v>
      </c>
      <c r="BW9" s="10">
        <v>57</v>
      </c>
      <c r="BX9" s="12">
        <v>396124</v>
      </c>
      <c r="BY9" s="10">
        <f t="shared" si="20"/>
        <v>4</v>
      </c>
      <c r="BZ9" s="12">
        <f t="shared" si="21"/>
        <v>19485.904761969985</v>
      </c>
      <c r="CA9" s="11">
        <f t="shared" si="22"/>
        <v>5.1736414898910225E-2</v>
      </c>
      <c r="CC9" s="14"/>
      <c r="CD9" s="13" t="s">
        <v>7</v>
      </c>
      <c r="CE9" s="10">
        <v>37</v>
      </c>
      <c r="CF9" s="12">
        <v>265076</v>
      </c>
      <c r="CG9" s="10">
        <f t="shared" si="23"/>
        <v>-20</v>
      </c>
      <c r="CH9" s="12">
        <f t="shared" si="24"/>
        <v>-131048</v>
      </c>
      <c r="CI9" s="11">
        <f t="shared" si="25"/>
        <v>-0.33082570104310771</v>
      </c>
      <c r="CK9" s="14"/>
      <c r="CL9" s="13" t="s">
        <v>7</v>
      </c>
      <c r="CN9" s="12"/>
      <c r="CO9" s="10">
        <f t="shared" si="26"/>
        <v>-37</v>
      </c>
      <c r="CP9" s="12">
        <f t="shared" si="27"/>
        <v>-265076</v>
      </c>
      <c r="CQ9" s="11">
        <f t="shared" si="28"/>
        <v>-1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>
        <v>38</v>
      </c>
      <c r="AJ10" s="45">
        <v>474857.14285708999</v>
      </c>
      <c r="AK10" s="10">
        <f t="shared" si="7"/>
        <v>-6</v>
      </c>
      <c r="AL10" s="12">
        <f t="shared" si="7"/>
        <v>-76857.142857130035</v>
      </c>
      <c r="AM10" s="11">
        <f t="shared" si="8"/>
        <v>-0.13930605903676185</v>
      </c>
      <c r="AO10" s="14"/>
      <c r="AP10" s="13" t="s">
        <v>6</v>
      </c>
      <c r="AQ10" s="10">
        <v>54</v>
      </c>
      <c r="AR10" s="12">
        <v>716761.90476172033</v>
      </c>
      <c r="AS10" s="10">
        <f t="shared" si="9"/>
        <v>16</v>
      </c>
      <c r="AT10" s="12">
        <f t="shared" si="9"/>
        <v>241904.76190463034</v>
      </c>
      <c r="AU10" s="11">
        <f t="shared" si="10"/>
        <v>0.50942639390270783</v>
      </c>
      <c r="AW10" s="14"/>
      <c r="AX10" s="13" t="s">
        <v>6</v>
      </c>
      <c r="AY10" s="10">
        <v>37</v>
      </c>
      <c r="AZ10" s="12">
        <v>487333.33333317022</v>
      </c>
      <c r="BA10" s="10">
        <f t="shared" si="11"/>
        <v>-17</v>
      </c>
      <c r="BB10" s="12">
        <f t="shared" si="12"/>
        <v>-229428.57142855012</v>
      </c>
      <c r="BC10" s="11">
        <f t="shared" si="13"/>
        <v>-0.32009035344145575</v>
      </c>
      <c r="BE10" s="14"/>
      <c r="BF10" s="13" t="s">
        <v>6</v>
      </c>
      <c r="BG10" s="10">
        <v>20</v>
      </c>
      <c r="BH10" s="12">
        <v>222857.14285706001</v>
      </c>
      <c r="BI10" s="10">
        <f t="shared" si="14"/>
        <v>-17</v>
      </c>
      <c r="BJ10" s="12">
        <f t="shared" si="15"/>
        <v>-264476.19047611021</v>
      </c>
      <c r="BK10" s="11">
        <f t="shared" si="16"/>
        <v>-0.54270080125074982</v>
      </c>
      <c r="BM10" s="14"/>
      <c r="BN10" s="13" t="s">
        <v>6</v>
      </c>
      <c r="BO10" s="10">
        <v>5</v>
      </c>
      <c r="BP10" s="12">
        <v>40476.190476169999</v>
      </c>
      <c r="BQ10" s="10">
        <f t="shared" si="17"/>
        <v>-15</v>
      </c>
      <c r="BR10" s="12">
        <f t="shared" si="18"/>
        <v>-182380.95238089003</v>
      </c>
      <c r="BS10" s="11">
        <f t="shared" si="19"/>
        <v>-0.81837606837609278</v>
      </c>
      <c r="BU10" s="14"/>
      <c r="BV10" s="13" t="s">
        <v>6</v>
      </c>
      <c r="BW10" s="10">
        <v>59</v>
      </c>
      <c r="BX10" s="12">
        <v>495333</v>
      </c>
      <c r="BY10" s="10">
        <f t="shared" si="20"/>
        <v>54</v>
      </c>
      <c r="BZ10" s="12">
        <f t="shared" si="21"/>
        <v>454856.80952383002</v>
      </c>
      <c r="CA10" s="11">
        <f t="shared" si="22"/>
        <v>11.237638823535603</v>
      </c>
      <c r="CC10" s="14"/>
      <c r="CD10" s="13" t="s">
        <v>6</v>
      </c>
      <c r="CE10" s="10">
        <v>0</v>
      </c>
      <c r="CF10" s="12">
        <v>0</v>
      </c>
      <c r="CG10" s="10">
        <f t="shared" si="23"/>
        <v>-59</v>
      </c>
      <c r="CH10" s="12">
        <f t="shared" si="24"/>
        <v>-495333</v>
      </c>
      <c r="CI10" s="11">
        <f t="shared" si="25"/>
        <v>-1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>
        <v>11</v>
      </c>
      <c r="AJ11" s="45">
        <v>53110</v>
      </c>
      <c r="AK11" s="10">
        <f t="shared" si="7"/>
        <v>-1</v>
      </c>
      <c r="AL11" s="12">
        <f t="shared" si="7"/>
        <v>-3490</v>
      </c>
      <c r="AM11" s="11">
        <f t="shared" si="8"/>
        <v>-6.1660777385159009E-2</v>
      </c>
      <c r="AO11" s="14"/>
      <c r="AP11" s="13" t="s">
        <v>5</v>
      </c>
      <c r="AQ11" s="10">
        <v>14</v>
      </c>
      <c r="AR11" s="12">
        <v>67170</v>
      </c>
      <c r="AS11" s="10">
        <f t="shared" si="9"/>
        <v>3</v>
      </c>
      <c r="AT11" s="12">
        <f t="shared" si="9"/>
        <v>14060</v>
      </c>
      <c r="AU11" s="11">
        <f t="shared" si="10"/>
        <v>0.26473357183204671</v>
      </c>
      <c r="AW11" s="14"/>
      <c r="AX11" s="13" t="s">
        <v>5</v>
      </c>
      <c r="AY11" s="10">
        <v>13</v>
      </c>
      <c r="AZ11" s="12">
        <v>71080</v>
      </c>
      <c r="BA11" s="10">
        <f t="shared" si="11"/>
        <v>-1</v>
      </c>
      <c r="BB11" s="12">
        <f t="shared" si="12"/>
        <v>3910</v>
      </c>
      <c r="BC11" s="11">
        <f t="shared" si="13"/>
        <v>5.8210510644633021E-2</v>
      </c>
      <c r="BE11" s="14"/>
      <c r="BF11" s="13" t="s">
        <v>5</v>
      </c>
      <c r="BG11" s="10">
        <v>8</v>
      </c>
      <c r="BH11" s="12">
        <v>58120</v>
      </c>
      <c r="BI11" s="10">
        <f t="shared" si="14"/>
        <v>-5</v>
      </c>
      <c r="BJ11" s="12">
        <f t="shared" si="15"/>
        <v>-12960</v>
      </c>
      <c r="BK11" s="11">
        <f t="shared" si="16"/>
        <v>-0.18232976927405739</v>
      </c>
      <c r="BM11" s="14"/>
      <c r="BN11" s="13" t="s">
        <v>5</v>
      </c>
      <c r="BO11" s="10">
        <v>5</v>
      </c>
      <c r="BP11" s="12">
        <v>21150</v>
      </c>
      <c r="BQ11" s="10">
        <f t="shared" si="17"/>
        <v>-3</v>
      </c>
      <c r="BR11" s="12">
        <f t="shared" si="18"/>
        <v>-36970</v>
      </c>
      <c r="BS11" s="11">
        <f t="shared" si="19"/>
        <v>-0.6360977288368892</v>
      </c>
      <c r="BU11" s="14"/>
      <c r="BV11" s="13" t="s">
        <v>5</v>
      </c>
      <c r="BW11" s="10">
        <v>6</v>
      </c>
      <c r="BX11" s="12">
        <v>32240</v>
      </c>
      <c r="BY11" s="10">
        <f t="shared" si="20"/>
        <v>1</v>
      </c>
      <c r="BZ11" s="12">
        <f t="shared" si="21"/>
        <v>11090</v>
      </c>
      <c r="CA11" s="11">
        <f t="shared" si="22"/>
        <v>0.52434988179669029</v>
      </c>
      <c r="CC11" s="14"/>
      <c r="CD11" s="13" t="s">
        <v>5</v>
      </c>
      <c r="CE11" s="10">
        <v>5</v>
      </c>
      <c r="CF11" s="12">
        <v>40850</v>
      </c>
      <c r="CG11" s="10">
        <f t="shared" si="23"/>
        <v>-1</v>
      </c>
      <c r="CH11" s="12">
        <f t="shared" si="24"/>
        <v>8610</v>
      </c>
      <c r="CI11" s="11">
        <f t="shared" si="25"/>
        <v>0.26705955334987591</v>
      </c>
      <c r="CK11" s="14"/>
      <c r="CL11" s="13" t="s">
        <v>5</v>
      </c>
      <c r="CN11" s="12"/>
      <c r="CO11" s="10">
        <f t="shared" si="26"/>
        <v>-5</v>
      </c>
      <c r="CP11" s="12">
        <f t="shared" si="27"/>
        <v>-40850</v>
      </c>
      <c r="CQ11" s="11">
        <f t="shared" si="28"/>
        <v>-1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>
        <v>28</v>
      </c>
      <c r="AJ12" s="45">
        <v>1397652.38095225</v>
      </c>
      <c r="AK12" s="10">
        <f t="shared" si="7"/>
        <v>-5</v>
      </c>
      <c r="AL12" s="12">
        <f t="shared" si="7"/>
        <v>-69709.523809549864</v>
      </c>
      <c r="AM12" s="11">
        <f t="shared" si="8"/>
        <v>-4.7506701368852808E-2</v>
      </c>
      <c r="AO12" s="14"/>
      <c r="AP12" s="13" t="s">
        <v>4</v>
      </c>
      <c r="AQ12" s="10">
        <v>37</v>
      </c>
      <c r="AR12" s="12">
        <v>1971285.7142855099</v>
      </c>
      <c r="AS12" s="10">
        <f t="shared" si="9"/>
        <v>9</v>
      </c>
      <c r="AT12" s="12">
        <f t="shared" si="9"/>
        <v>573633.33333325991</v>
      </c>
      <c r="AU12" s="11">
        <f t="shared" si="10"/>
        <v>0.41042632714039484</v>
      </c>
      <c r="AW12" s="14"/>
      <c r="AX12" s="13" t="s">
        <v>4</v>
      </c>
      <c r="AY12" s="10">
        <v>31</v>
      </c>
      <c r="AZ12" s="12">
        <v>1534395.238095101</v>
      </c>
      <c r="BA12" s="10">
        <f t="shared" si="11"/>
        <v>-6</v>
      </c>
      <c r="BB12" s="12">
        <f t="shared" si="12"/>
        <v>-436890.47619040892</v>
      </c>
      <c r="BC12" s="11">
        <f t="shared" si="13"/>
        <v>-0.22162717105103119</v>
      </c>
      <c r="BE12" s="14"/>
      <c r="BF12" s="13" t="s">
        <v>4</v>
      </c>
      <c r="BG12" s="10">
        <v>21</v>
      </c>
      <c r="BH12" s="12">
        <v>943204.76190464001</v>
      </c>
      <c r="BI12" s="10">
        <f t="shared" si="14"/>
        <v>-10</v>
      </c>
      <c r="BJ12" s="12">
        <f t="shared" si="15"/>
        <v>-591190.47619046096</v>
      </c>
      <c r="BK12" s="11">
        <f t="shared" si="16"/>
        <v>-0.38529217343270933</v>
      </c>
      <c r="BM12" s="14"/>
      <c r="BN12" s="13" t="s">
        <v>4</v>
      </c>
      <c r="BO12" s="10">
        <v>24</v>
      </c>
      <c r="BP12" s="12">
        <v>798423.80952372996</v>
      </c>
      <c r="BQ12" s="10">
        <f t="shared" si="17"/>
        <v>3</v>
      </c>
      <c r="BR12" s="12">
        <f t="shared" si="18"/>
        <v>-144780.95238091005</v>
      </c>
      <c r="BS12" s="11">
        <f t="shared" si="19"/>
        <v>-0.15349896250369832</v>
      </c>
      <c r="BU12" s="14"/>
      <c r="BV12" s="13" t="s">
        <v>4</v>
      </c>
      <c r="BW12" s="10">
        <v>29</v>
      </c>
      <c r="BX12" s="12">
        <v>1151102</v>
      </c>
      <c r="BY12" s="10">
        <f t="shared" si="20"/>
        <v>5</v>
      </c>
      <c r="BZ12" s="12">
        <f t="shared" si="21"/>
        <v>352678.19047627004</v>
      </c>
      <c r="CA12" s="11">
        <f t="shared" si="22"/>
        <v>0.44171802778106917</v>
      </c>
      <c r="CC12" s="14"/>
      <c r="CD12" s="13" t="s">
        <v>4</v>
      </c>
      <c r="CE12" s="10">
        <v>22</v>
      </c>
      <c r="CF12" s="12">
        <v>972138</v>
      </c>
      <c r="CG12" s="10">
        <f t="shared" si="23"/>
        <v>-7</v>
      </c>
      <c r="CH12" s="12">
        <f t="shared" si="24"/>
        <v>-178964</v>
      </c>
      <c r="CI12" s="11">
        <f t="shared" si="25"/>
        <v>-0.15547188693964567</v>
      </c>
      <c r="CK12" s="14"/>
      <c r="CL12" s="13" t="s">
        <v>4</v>
      </c>
      <c r="CN12" s="12"/>
      <c r="CO12" s="10">
        <f t="shared" si="26"/>
        <v>-22</v>
      </c>
      <c r="CP12" s="12">
        <f t="shared" si="27"/>
        <v>-972138</v>
      </c>
      <c r="CQ12" s="11">
        <f t="shared" si="28"/>
        <v>-1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>
        <v>115</v>
      </c>
      <c r="AJ13" s="45">
        <v>2222285.7142855702</v>
      </c>
      <c r="AK13" s="10">
        <f t="shared" si="7"/>
        <v>61</v>
      </c>
      <c r="AL13" s="12">
        <f t="shared" si="7"/>
        <v>934666.66666664043</v>
      </c>
      <c r="AM13" s="11">
        <f t="shared" si="8"/>
        <v>0.72588757396454306</v>
      </c>
      <c r="AO13" s="14"/>
      <c r="AP13" s="13" t="s">
        <v>3</v>
      </c>
      <c r="AQ13" s="10">
        <v>63</v>
      </c>
      <c r="AR13" s="12">
        <v>1626095.23809503</v>
      </c>
      <c r="AS13" s="10">
        <f t="shared" si="9"/>
        <v>-52</v>
      </c>
      <c r="AT13" s="12">
        <f t="shared" si="9"/>
        <v>-596190.47619054024</v>
      </c>
      <c r="AU13" s="11">
        <f t="shared" si="10"/>
        <v>-0.26827804919864057</v>
      </c>
      <c r="AW13" s="14"/>
      <c r="AX13" s="13" t="s">
        <v>3</v>
      </c>
      <c r="AY13" s="10">
        <v>53</v>
      </c>
      <c r="AZ13" s="12">
        <v>1229714.2857141199</v>
      </c>
      <c r="BA13" s="10">
        <f t="shared" si="11"/>
        <v>-10</v>
      </c>
      <c r="BB13" s="12">
        <f t="shared" si="12"/>
        <v>-396380.95238091005</v>
      </c>
      <c r="BC13" s="11">
        <f t="shared" si="13"/>
        <v>-0.24376244582406514</v>
      </c>
      <c r="BE13" s="14"/>
      <c r="BF13" s="13" t="s">
        <v>3</v>
      </c>
      <c r="BG13" s="10">
        <v>29</v>
      </c>
      <c r="BH13" s="12">
        <v>671523.80952368001</v>
      </c>
      <c r="BI13" s="10">
        <f t="shared" si="14"/>
        <v>-24</v>
      </c>
      <c r="BJ13" s="12">
        <f t="shared" si="15"/>
        <v>-558190.47619043989</v>
      </c>
      <c r="BK13" s="11">
        <f t="shared" si="16"/>
        <v>-0.45391883519210108</v>
      </c>
      <c r="BM13" s="14"/>
      <c r="BN13" s="13" t="s">
        <v>3</v>
      </c>
      <c r="BO13" s="10">
        <v>45</v>
      </c>
      <c r="BP13" s="12">
        <v>981238.09523791994</v>
      </c>
      <c r="BQ13" s="10">
        <f t="shared" si="17"/>
        <v>16</v>
      </c>
      <c r="BR13" s="12">
        <f t="shared" si="18"/>
        <v>309714.28571423993</v>
      </c>
      <c r="BS13" s="11">
        <f t="shared" si="19"/>
        <v>0.46121117571977682</v>
      </c>
      <c r="BU13" s="14"/>
      <c r="BV13" s="13" t="s">
        <v>3</v>
      </c>
      <c r="BW13" s="10">
        <v>49</v>
      </c>
      <c r="BX13" s="12">
        <v>1278952</v>
      </c>
      <c r="BY13" s="10">
        <f t="shared" si="20"/>
        <v>4</v>
      </c>
      <c r="BZ13" s="12">
        <f t="shared" si="21"/>
        <v>297713.90476208006</v>
      </c>
      <c r="CA13" s="11">
        <f t="shared" si="22"/>
        <v>0.30340638648960488</v>
      </c>
      <c r="CC13" s="14"/>
      <c r="CD13" s="13" t="s">
        <v>3</v>
      </c>
      <c r="CE13" s="10">
        <v>46</v>
      </c>
      <c r="CF13" s="12">
        <v>988381</v>
      </c>
      <c r="CG13" s="10">
        <f t="shared" si="23"/>
        <v>-3</v>
      </c>
      <c r="CH13" s="12">
        <f t="shared" si="24"/>
        <v>-290571</v>
      </c>
      <c r="CI13" s="11">
        <f t="shared" si="25"/>
        <v>-0.22719460933639418</v>
      </c>
      <c r="CK13" s="14"/>
      <c r="CL13" s="13" t="s">
        <v>3</v>
      </c>
      <c r="CN13" s="12"/>
      <c r="CO13" s="10">
        <f t="shared" si="26"/>
        <v>-46</v>
      </c>
      <c r="CP13" s="12">
        <f t="shared" si="27"/>
        <v>-988381</v>
      </c>
      <c r="CQ13" s="11">
        <f t="shared" si="28"/>
        <v>-1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>
        <v>70</v>
      </c>
      <c r="AJ14" s="45">
        <v>2648571.4285713602</v>
      </c>
      <c r="AK14" s="10">
        <f t="shared" si="7"/>
        <v>-12</v>
      </c>
      <c r="AL14" s="12">
        <f t="shared" si="7"/>
        <v>-443088.57142857974</v>
      </c>
      <c r="AM14" s="11">
        <f t="shared" si="8"/>
        <v>-0.14331736718416266</v>
      </c>
      <c r="AO14" s="14"/>
      <c r="AP14" s="13" t="s">
        <v>2</v>
      </c>
      <c r="AQ14" s="10">
        <v>105</v>
      </c>
      <c r="AR14" s="12">
        <v>4165238.0952379601</v>
      </c>
      <c r="AS14" s="10">
        <f t="shared" si="9"/>
        <v>35</v>
      </c>
      <c r="AT14" s="12">
        <f t="shared" si="9"/>
        <v>1516666.6666665999</v>
      </c>
      <c r="AU14" s="11">
        <f t="shared" si="10"/>
        <v>0.5726357425386448</v>
      </c>
      <c r="AW14" s="14"/>
      <c r="AX14" s="13" t="s">
        <v>2</v>
      </c>
      <c r="AY14" s="10">
        <v>81</v>
      </c>
      <c r="AZ14" s="12">
        <v>3206571.4285713299</v>
      </c>
      <c r="BA14" s="10">
        <f t="shared" si="11"/>
        <v>-24</v>
      </c>
      <c r="BB14" s="12">
        <f t="shared" si="12"/>
        <v>-958666.66666663019</v>
      </c>
      <c r="BC14" s="11">
        <f t="shared" si="13"/>
        <v>-0.23015891162684221</v>
      </c>
      <c r="BE14" s="14"/>
      <c r="BF14" s="13" t="s">
        <v>2</v>
      </c>
      <c r="BG14" s="10">
        <v>41</v>
      </c>
      <c r="BH14" s="12">
        <v>1441809.52380946</v>
      </c>
      <c r="BI14" s="10">
        <f t="shared" si="14"/>
        <v>-40</v>
      </c>
      <c r="BJ14" s="12">
        <f t="shared" si="15"/>
        <v>-1764761.9047618699</v>
      </c>
      <c r="BK14" s="11">
        <f t="shared" si="16"/>
        <v>-0.55035789598741292</v>
      </c>
      <c r="BM14" s="14"/>
      <c r="BN14" s="13" t="s">
        <v>2</v>
      </c>
      <c r="BO14" s="10">
        <v>32</v>
      </c>
      <c r="BP14" s="12">
        <v>1143619.0476189801</v>
      </c>
      <c r="BQ14" s="10">
        <f t="shared" si="17"/>
        <v>-9</v>
      </c>
      <c r="BR14" s="12">
        <f t="shared" si="18"/>
        <v>-298190.47619047994</v>
      </c>
      <c r="BS14" s="11">
        <f t="shared" si="19"/>
        <v>-0.20681683070217174</v>
      </c>
      <c r="BU14" s="14"/>
      <c r="BV14" s="13" t="s">
        <v>2</v>
      </c>
      <c r="BW14" s="10">
        <v>40</v>
      </c>
      <c r="BX14" s="12">
        <v>1330476</v>
      </c>
      <c r="BY14" s="10">
        <f t="shared" si="20"/>
        <v>8</v>
      </c>
      <c r="BZ14" s="12">
        <f t="shared" si="21"/>
        <v>186856.95238101995</v>
      </c>
      <c r="CA14" s="11">
        <f t="shared" si="22"/>
        <v>0.16339090606269366</v>
      </c>
      <c r="CC14" s="14"/>
      <c r="CD14" s="13" t="s">
        <v>2</v>
      </c>
      <c r="CE14" s="10">
        <v>26</v>
      </c>
      <c r="CF14" s="12">
        <v>929905</v>
      </c>
      <c r="CG14" s="10">
        <f t="shared" si="23"/>
        <v>-14</v>
      </c>
      <c r="CH14" s="12">
        <f t="shared" si="24"/>
        <v>-400571</v>
      </c>
      <c r="CI14" s="11">
        <f t="shared" si="25"/>
        <v>-0.30107345040421624</v>
      </c>
      <c r="CK14" s="14"/>
      <c r="CL14" s="13" t="s">
        <v>2</v>
      </c>
      <c r="CN14" s="12"/>
      <c r="CO14" s="10">
        <f t="shared" si="26"/>
        <v>-26</v>
      </c>
      <c r="CP14" s="12">
        <f t="shared" si="27"/>
        <v>-929905</v>
      </c>
      <c r="CQ14" s="11">
        <f t="shared" si="28"/>
        <v>-1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>
        <v>836</v>
      </c>
      <c r="AJ15" s="46">
        <v>7903599.5238081599</v>
      </c>
      <c r="AK15" s="27">
        <f t="shared" si="7"/>
        <v>116</v>
      </c>
      <c r="AL15" s="28">
        <f t="shared" si="7"/>
        <v>392592.85714276973</v>
      </c>
      <c r="AM15" s="29">
        <f t="shared" si="8"/>
        <v>5.22690066146708E-2</v>
      </c>
      <c r="AO15" s="9" t="s">
        <v>39</v>
      </c>
      <c r="AP15" s="9"/>
      <c r="AQ15" s="8">
        <v>830</v>
      </c>
      <c r="AR15" s="7">
        <v>9656165.2380927801</v>
      </c>
      <c r="AS15" s="27">
        <f t="shared" si="9"/>
        <v>-6</v>
      </c>
      <c r="AT15" s="28">
        <f t="shared" si="9"/>
        <v>1752565.7142846202</v>
      </c>
      <c r="AU15" s="29">
        <f t="shared" si="10"/>
        <v>0.22174272734914438</v>
      </c>
      <c r="AW15" s="9" t="s">
        <v>39</v>
      </c>
      <c r="AX15" s="9"/>
      <c r="AY15" s="8">
        <v>753</v>
      </c>
      <c r="AZ15" s="7">
        <v>7713406.6666645408</v>
      </c>
      <c r="BA15" s="27">
        <f t="shared" si="11"/>
        <v>-77</v>
      </c>
      <c r="BB15" s="28">
        <f t="shared" si="12"/>
        <v>-1942758.5714282393</v>
      </c>
      <c r="BC15" s="29">
        <f t="shared" si="13"/>
        <v>-0.20119359223102523</v>
      </c>
      <c r="BE15" s="9" t="s">
        <v>18</v>
      </c>
      <c r="BF15" s="9"/>
      <c r="BG15" s="8">
        <v>620</v>
      </c>
      <c r="BH15" s="7">
        <v>4293292.3809505999</v>
      </c>
      <c r="BI15" s="27">
        <f t="shared" si="14"/>
        <v>-133</v>
      </c>
      <c r="BJ15" s="28">
        <f t="shared" si="15"/>
        <v>-3420114.2857139409</v>
      </c>
      <c r="BK15" s="29">
        <f t="shared" si="16"/>
        <v>-0.44339867370079672</v>
      </c>
      <c r="BM15" s="9" t="s">
        <v>39</v>
      </c>
      <c r="BN15" s="9"/>
      <c r="BO15" s="8">
        <v>644</v>
      </c>
      <c r="BP15" s="7">
        <v>3908899.5238077301</v>
      </c>
      <c r="BQ15" s="27">
        <f t="shared" si="17"/>
        <v>24</v>
      </c>
      <c r="BR15" s="28">
        <f t="shared" si="18"/>
        <v>-384392.85714286985</v>
      </c>
      <c r="BS15" s="29">
        <f t="shared" si="19"/>
        <v>-8.9533351804416225E-2</v>
      </c>
      <c r="BU15" s="9" t="s">
        <v>39</v>
      </c>
      <c r="BV15" s="9"/>
      <c r="BW15" s="8">
        <v>642</v>
      </c>
      <c r="BX15" s="7">
        <v>5229525</v>
      </c>
      <c r="BY15" s="27">
        <f t="shared" si="20"/>
        <v>-2</v>
      </c>
      <c r="BZ15" s="28">
        <f t="shared" si="21"/>
        <v>1320625.4761922699</v>
      </c>
      <c r="CA15" s="29">
        <f t="shared" si="22"/>
        <v>0.33785096499636413</v>
      </c>
      <c r="CC15" s="9" t="s">
        <v>39</v>
      </c>
      <c r="CD15" s="9"/>
      <c r="CE15" s="8">
        <v>507</v>
      </c>
      <c r="CF15" s="7">
        <v>3612806</v>
      </c>
      <c r="CG15" s="27">
        <f t="shared" si="23"/>
        <v>-135</v>
      </c>
      <c r="CH15" s="28">
        <f t="shared" si="24"/>
        <v>-1616719</v>
      </c>
      <c r="CI15" s="29">
        <f t="shared" si="25"/>
        <v>-0.30915216965211945</v>
      </c>
      <c r="CK15" s="9" t="s">
        <v>18</v>
      </c>
      <c r="CL15" s="9"/>
      <c r="CM15" s="8"/>
      <c r="CN15" s="7"/>
      <c r="CO15" s="27">
        <f t="shared" si="26"/>
        <v>-507</v>
      </c>
      <c r="CP15" s="28">
        <f t="shared" si="27"/>
        <v>-3612806</v>
      </c>
      <c r="CQ15" s="29">
        <f t="shared" si="28"/>
        <v>-1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>
        <v>3807</v>
      </c>
      <c r="AJ16" s="47"/>
      <c r="AK16" s="10">
        <f t="shared" si="7"/>
        <v>31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37</v>
      </c>
      <c r="AQ16" s="1">
        <v>4138</v>
      </c>
      <c r="AR16" s="35"/>
      <c r="AS16" s="10">
        <f t="shared" si="9"/>
        <v>331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37</v>
      </c>
      <c r="AY16" s="1">
        <v>3746</v>
      </c>
      <c r="AZ16" s="35"/>
      <c r="BA16" s="10">
        <f t="shared" si="11"/>
        <v>-392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G16" s="1">
        <v>3813</v>
      </c>
      <c r="BH16" s="35"/>
      <c r="BI16" s="10">
        <f t="shared" si="14"/>
        <v>67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37</v>
      </c>
      <c r="BO16" s="1">
        <v>3936</v>
      </c>
      <c r="BP16" s="35"/>
      <c r="BQ16" s="10">
        <f t="shared" si="17"/>
        <v>123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37</v>
      </c>
      <c r="BW16" s="15">
        <v>3854</v>
      </c>
      <c r="BX16" s="33"/>
      <c r="BY16" s="10">
        <f t="shared" si="20"/>
        <v>-82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37</v>
      </c>
      <c r="CE16" s="15">
        <v>6869</v>
      </c>
      <c r="CF16" s="33"/>
      <c r="CG16" s="10">
        <f t="shared" si="23"/>
        <v>3015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-6869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>
        <v>4</v>
      </c>
      <c r="AJ17" s="47"/>
      <c r="AK17" s="10">
        <f t="shared" si="7"/>
        <v>-2</v>
      </c>
      <c r="AL17" s="12">
        <f t="shared" si="7"/>
        <v>0</v>
      </c>
      <c r="AM17" s="11" t="e">
        <f t="shared" si="8"/>
        <v>#DIV/0!</v>
      </c>
      <c r="AO17" s="14"/>
      <c r="AP17" s="32" t="s">
        <v>38</v>
      </c>
      <c r="AQ17" s="1">
        <v>9</v>
      </c>
      <c r="AR17" s="35"/>
      <c r="AS17" s="10">
        <f t="shared" si="9"/>
        <v>5</v>
      </c>
      <c r="AT17" s="12">
        <f t="shared" si="9"/>
        <v>0</v>
      </c>
      <c r="AU17" s="11" t="e">
        <f t="shared" si="10"/>
        <v>#DIV/0!</v>
      </c>
      <c r="AW17" s="14"/>
      <c r="AX17" s="32" t="s">
        <v>38</v>
      </c>
      <c r="AY17" s="1">
        <v>10</v>
      </c>
      <c r="AZ17" s="35"/>
      <c r="BA17" s="10">
        <f t="shared" si="11"/>
        <v>1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G17" s="1">
        <v>7</v>
      </c>
      <c r="BH17" s="35"/>
      <c r="BI17" s="10">
        <f t="shared" si="14"/>
        <v>-3</v>
      </c>
      <c r="BJ17" s="12">
        <f t="shared" si="15"/>
        <v>0</v>
      </c>
      <c r="BK17" s="11" t="e">
        <f t="shared" si="16"/>
        <v>#DIV/0!</v>
      </c>
      <c r="BM17" s="14"/>
      <c r="BN17" s="32" t="s">
        <v>38</v>
      </c>
      <c r="BO17" s="1">
        <v>6</v>
      </c>
      <c r="BP17" s="35"/>
      <c r="BQ17" s="10">
        <f t="shared" si="17"/>
        <v>-1</v>
      </c>
      <c r="BR17" s="12">
        <f t="shared" si="18"/>
        <v>0</v>
      </c>
      <c r="BS17" s="11" t="e">
        <f t="shared" si="19"/>
        <v>#DIV/0!</v>
      </c>
      <c r="BU17" s="14"/>
      <c r="BV17" s="32" t="s">
        <v>38</v>
      </c>
      <c r="BW17" s="15">
        <v>2</v>
      </c>
      <c r="BX17" s="33"/>
      <c r="BY17" s="10">
        <f t="shared" si="20"/>
        <v>-4</v>
      </c>
      <c r="BZ17" s="12">
        <f t="shared" si="21"/>
        <v>0</v>
      </c>
      <c r="CA17" s="11" t="e">
        <f t="shared" si="22"/>
        <v>#DIV/0!</v>
      </c>
      <c r="CC17" s="14"/>
      <c r="CD17" s="32" t="s">
        <v>38</v>
      </c>
      <c r="CE17" s="15">
        <v>9</v>
      </c>
      <c r="CF17" s="33"/>
      <c r="CG17" s="10">
        <f t="shared" si="23"/>
        <v>7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-9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>
        <v>104</v>
      </c>
      <c r="AJ18" s="45">
        <v>102379.04761861001</v>
      </c>
      <c r="AK18" s="10">
        <f t="shared" si="7"/>
        <v>-37</v>
      </c>
      <c r="AL18" s="12">
        <f t="shared" si="7"/>
        <v>-24856.190476089963</v>
      </c>
      <c r="AM18" s="11">
        <f t="shared" si="8"/>
        <v>-0.19535618314786143</v>
      </c>
      <c r="AO18" s="14"/>
      <c r="AP18" s="13" t="s">
        <v>9</v>
      </c>
      <c r="AQ18" s="10">
        <v>133</v>
      </c>
      <c r="AR18" s="12">
        <v>128007.61904704</v>
      </c>
      <c r="AS18" s="10">
        <f t="shared" si="9"/>
        <v>29</v>
      </c>
      <c r="AT18" s="12">
        <f t="shared" si="9"/>
        <v>25628.57142842999</v>
      </c>
      <c r="AU18" s="11">
        <f t="shared" si="10"/>
        <v>0.25033023870180388</v>
      </c>
      <c r="AW18" s="14"/>
      <c r="AX18" s="13" t="s">
        <v>9</v>
      </c>
      <c r="AY18" s="10">
        <v>111</v>
      </c>
      <c r="AZ18" s="12">
        <v>115135.2380947101</v>
      </c>
      <c r="BA18" s="10">
        <f t="shared" si="11"/>
        <v>-22</v>
      </c>
      <c r="BB18" s="12">
        <f t="shared" si="12"/>
        <v>-12872.380952329899</v>
      </c>
      <c r="BC18" s="11">
        <f t="shared" si="13"/>
        <v>-0.10055949050657352</v>
      </c>
      <c r="BE18" s="14"/>
      <c r="BF18" s="13" t="s">
        <v>9</v>
      </c>
      <c r="BG18" s="10">
        <v>124</v>
      </c>
      <c r="BH18" s="12">
        <v>122476.19047563001</v>
      </c>
      <c r="BI18" s="10">
        <f t="shared" si="14"/>
        <v>13</v>
      </c>
      <c r="BJ18" s="12">
        <f t="shared" si="15"/>
        <v>7340.9523809199018</v>
      </c>
      <c r="BK18" s="11">
        <f t="shared" si="16"/>
        <v>6.375938854515803E-2</v>
      </c>
      <c r="BM18" s="14"/>
      <c r="BN18" s="13" t="s">
        <v>9</v>
      </c>
      <c r="BO18" s="10">
        <v>129</v>
      </c>
      <c r="BP18" s="12">
        <v>116457.14285663</v>
      </c>
      <c r="BQ18" s="10">
        <f t="shared" si="17"/>
        <v>5</v>
      </c>
      <c r="BR18" s="12">
        <f t="shared" si="18"/>
        <v>-6019.0476190000045</v>
      </c>
      <c r="BS18" s="11">
        <f t="shared" si="19"/>
        <v>-4.914463452549709E-2</v>
      </c>
      <c r="BU18" s="14"/>
      <c r="BV18" s="13" t="s">
        <v>9</v>
      </c>
      <c r="BW18" s="10">
        <v>139</v>
      </c>
      <c r="BX18" s="12">
        <v>140534</v>
      </c>
      <c r="BY18" s="10">
        <f t="shared" si="20"/>
        <v>10</v>
      </c>
      <c r="BZ18" s="12">
        <f t="shared" si="21"/>
        <v>24076.857143369998</v>
      </c>
      <c r="CA18" s="11">
        <f t="shared" si="22"/>
        <v>0.20674435721826814</v>
      </c>
      <c r="CC18" s="14"/>
      <c r="CD18" s="13" t="s">
        <v>9</v>
      </c>
      <c r="CE18" s="10">
        <v>139</v>
      </c>
      <c r="CF18" s="12">
        <v>156901</v>
      </c>
      <c r="CG18" s="10">
        <f t="shared" si="23"/>
        <v>0</v>
      </c>
      <c r="CH18" s="12">
        <f t="shared" si="24"/>
        <v>16367</v>
      </c>
      <c r="CI18" s="11">
        <f t="shared" si="25"/>
        <v>0.11646292000512332</v>
      </c>
      <c r="CK18" s="14"/>
      <c r="CL18" s="13" t="s">
        <v>9</v>
      </c>
      <c r="CN18" s="12"/>
      <c r="CO18" s="10">
        <f t="shared" si="26"/>
        <v>-139</v>
      </c>
      <c r="CP18" s="12">
        <f t="shared" si="27"/>
        <v>-156901</v>
      </c>
      <c r="CQ18" s="11">
        <f t="shared" si="28"/>
        <v>-1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>
        <v>138</v>
      </c>
      <c r="AJ19" s="45">
        <v>136401.90476181998</v>
      </c>
      <c r="AK19" s="10">
        <f t="shared" si="7"/>
        <v>-40</v>
      </c>
      <c r="AL19" s="12">
        <f t="shared" si="7"/>
        <v>-70274.285714230035</v>
      </c>
      <c r="AM19" s="11">
        <f t="shared" si="8"/>
        <v>-0.34002119717981516</v>
      </c>
      <c r="AO19" s="14"/>
      <c r="AP19" s="13" t="s">
        <v>8</v>
      </c>
      <c r="AQ19" s="10">
        <v>171</v>
      </c>
      <c r="AR19" s="12">
        <v>165000.95238059</v>
      </c>
      <c r="AS19" s="10">
        <f t="shared" si="9"/>
        <v>33</v>
      </c>
      <c r="AT19" s="12">
        <f t="shared" si="9"/>
        <v>28599.047618770011</v>
      </c>
      <c r="AU19" s="11">
        <f t="shared" si="10"/>
        <v>0.20966750917964541</v>
      </c>
      <c r="AW19" s="14"/>
      <c r="AX19" s="13" t="s">
        <v>8</v>
      </c>
      <c r="AY19" s="10">
        <v>170</v>
      </c>
      <c r="AZ19" s="12">
        <v>173704.76190436989</v>
      </c>
      <c r="BA19" s="10">
        <f t="shared" si="11"/>
        <v>-1</v>
      </c>
      <c r="BB19" s="12">
        <f t="shared" si="12"/>
        <v>8703.8095237798989</v>
      </c>
      <c r="BC19" s="11">
        <f t="shared" si="13"/>
        <v>5.2750056276667755E-2</v>
      </c>
      <c r="BE19" s="14"/>
      <c r="BF19" s="13" t="s">
        <v>8</v>
      </c>
      <c r="BG19" s="10">
        <v>115</v>
      </c>
      <c r="BH19" s="12">
        <v>115704.76190441</v>
      </c>
      <c r="BI19" s="10">
        <f t="shared" si="14"/>
        <v>-55</v>
      </c>
      <c r="BJ19" s="12">
        <f t="shared" si="15"/>
        <v>-57999.999999959895</v>
      </c>
      <c r="BK19" s="11">
        <f t="shared" si="16"/>
        <v>-0.33389988486263134</v>
      </c>
      <c r="BM19" s="14"/>
      <c r="BN19" s="13" t="s">
        <v>8</v>
      </c>
      <c r="BO19" s="10">
        <v>164</v>
      </c>
      <c r="BP19" s="12">
        <v>177323.80952340999</v>
      </c>
      <c r="BQ19" s="10">
        <f t="shared" si="17"/>
        <v>49</v>
      </c>
      <c r="BR19" s="12">
        <f t="shared" si="18"/>
        <v>61619.04761899999</v>
      </c>
      <c r="BS19" s="11">
        <f t="shared" si="19"/>
        <v>0.53255411968184019</v>
      </c>
      <c r="BU19" s="14"/>
      <c r="BV19" s="13" t="s">
        <v>8</v>
      </c>
      <c r="BW19" s="10">
        <v>183</v>
      </c>
      <c r="BX19" s="12">
        <v>189429</v>
      </c>
      <c r="BY19" s="10">
        <f t="shared" si="20"/>
        <v>19</v>
      </c>
      <c r="BZ19" s="12">
        <f t="shared" si="21"/>
        <v>12105.190476590011</v>
      </c>
      <c r="CA19" s="11">
        <f t="shared" si="22"/>
        <v>6.8266018585574684E-2</v>
      </c>
      <c r="CC19" s="14"/>
      <c r="CD19" s="13" t="s">
        <v>8</v>
      </c>
      <c r="CE19" s="10">
        <v>245</v>
      </c>
      <c r="CF19" s="12">
        <v>238287</v>
      </c>
      <c r="CG19" s="10">
        <f t="shared" si="23"/>
        <v>62</v>
      </c>
      <c r="CH19" s="12">
        <f t="shared" si="24"/>
        <v>48858</v>
      </c>
      <c r="CI19" s="11">
        <f t="shared" si="25"/>
        <v>0.25792249338802403</v>
      </c>
      <c r="CK19" s="14"/>
      <c r="CL19" s="13" t="s">
        <v>8</v>
      </c>
      <c r="CN19" s="12"/>
      <c r="CO19" s="10">
        <f t="shared" si="26"/>
        <v>-245</v>
      </c>
      <c r="CP19" s="12">
        <f t="shared" si="27"/>
        <v>-238287</v>
      </c>
      <c r="CQ19" s="11">
        <f t="shared" si="28"/>
        <v>-1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>
        <v>34</v>
      </c>
      <c r="AJ20" s="45">
        <v>205390.47619046</v>
      </c>
      <c r="AK20" s="10">
        <f t="shared" si="7"/>
        <v>12</v>
      </c>
      <c r="AL20" s="12">
        <f t="shared" si="7"/>
        <v>64171.428571430006</v>
      </c>
      <c r="AM20" s="11">
        <f t="shared" si="8"/>
        <v>0.454410574588683</v>
      </c>
      <c r="AO20" s="14"/>
      <c r="AP20" s="13" t="s">
        <v>7</v>
      </c>
      <c r="AQ20" s="10">
        <v>25</v>
      </c>
      <c r="AR20" s="12">
        <v>161190.47619043</v>
      </c>
      <c r="AS20" s="10">
        <f t="shared" si="9"/>
        <v>-9</v>
      </c>
      <c r="AT20" s="12">
        <f t="shared" si="9"/>
        <v>-44200.000000030006</v>
      </c>
      <c r="AU20" s="11">
        <f t="shared" si="10"/>
        <v>-0.21519985161845109</v>
      </c>
      <c r="AW20" s="14"/>
      <c r="AX20" s="13" t="s">
        <v>7</v>
      </c>
      <c r="AY20" s="10">
        <v>39</v>
      </c>
      <c r="AZ20" s="12">
        <v>243914.28571423999</v>
      </c>
      <c r="BA20" s="10">
        <f t="shared" si="11"/>
        <v>14</v>
      </c>
      <c r="BB20" s="12">
        <f t="shared" si="12"/>
        <v>82723.809523809992</v>
      </c>
      <c r="BC20" s="11">
        <f t="shared" si="13"/>
        <v>0.51320531757769794</v>
      </c>
      <c r="BE20" s="14"/>
      <c r="BF20" s="13" t="s">
        <v>7</v>
      </c>
      <c r="BG20" s="10">
        <v>42</v>
      </c>
      <c r="BH20" s="12">
        <v>253409.52380945001</v>
      </c>
      <c r="BI20" s="10">
        <f t="shared" si="14"/>
        <v>3</v>
      </c>
      <c r="BJ20" s="12">
        <f t="shared" si="15"/>
        <v>9495.2380952100211</v>
      </c>
      <c r="BK20" s="11">
        <f t="shared" si="16"/>
        <v>3.8928585373364535E-2</v>
      </c>
      <c r="BM20" s="14"/>
      <c r="BN20" s="13" t="s">
        <v>7</v>
      </c>
      <c r="BO20" s="10">
        <v>36</v>
      </c>
      <c r="BP20" s="12">
        <v>221085.71428565</v>
      </c>
      <c r="BQ20" s="10">
        <f t="shared" si="17"/>
        <v>-6</v>
      </c>
      <c r="BR20" s="12">
        <f t="shared" si="18"/>
        <v>-32323.80952380001</v>
      </c>
      <c r="BS20" s="11">
        <f t="shared" si="19"/>
        <v>-0.12755562236921186</v>
      </c>
      <c r="BU20" s="14"/>
      <c r="BV20" s="13" t="s">
        <v>7</v>
      </c>
      <c r="BW20" s="10">
        <v>23</v>
      </c>
      <c r="BX20" s="12">
        <v>131210</v>
      </c>
      <c r="BY20" s="10">
        <f t="shared" si="20"/>
        <v>-13</v>
      </c>
      <c r="BZ20" s="12">
        <f t="shared" si="21"/>
        <v>-89875.71428565</v>
      </c>
      <c r="CA20" s="11">
        <f t="shared" si="22"/>
        <v>-0.40651977255087424</v>
      </c>
      <c r="CC20" s="14"/>
      <c r="CD20" s="13" t="s">
        <v>7</v>
      </c>
      <c r="CE20" s="10">
        <v>33</v>
      </c>
      <c r="CF20" s="12">
        <v>232638</v>
      </c>
      <c r="CG20" s="10">
        <f t="shared" si="23"/>
        <v>10</v>
      </c>
      <c r="CH20" s="12">
        <f t="shared" si="24"/>
        <v>101428</v>
      </c>
      <c r="CI20" s="11">
        <f t="shared" si="25"/>
        <v>0.77302034905876071</v>
      </c>
      <c r="CK20" s="14"/>
      <c r="CL20" s="13" t="s">
        <v>7</v>
      </c>
      <c r="CN20" s="12"/>
      <c r="CO20" s="10">
        <f t="shared" si="26"/>
        <v>-33</v>
      </c>
      <c r="CP20" s="12">
        <f t="shared" si="27"/>
        <v>-232638</v>
      </c>
      <c r="CQ20" s="11">
        <f t="shared" si="28"/>
        <v>-1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>
        <v>19</v>
      </c>
      <c r="AJ21" s="45">
        <v>193238.09523804003</v>
      </c>
      <c r="AK21" s="10">
        <f t="shared" si="7"/>
        <v>3</v>
      </c>
      <c r="AL21" s="12">
        <f t="shared" si="7"/>
        <v>-16666.666666659992</v>
      </c>
      <c r="AM21" s="11">
        <f t="shared" si="8"/>
        <v>-7.9401088929211217E-2</v>
      </c>
      <c r="AO21" s="14"/>
      <c r="AP21" s="13" t="s">
        <v>6</v>
      </c>
      <c r="AQ21" s="10">
        <v>21</v>
      </c>
      <c r="AR21" s="12">
        <v>262476.19047610002</v>
      </c>
      <c r="AS21" s="10">
        <f t="shared" si="9"/>
        <v>2</v>
      </c>
      <c r="AT21" s="12">
        <f t="shared" si="9"/>
        <v>69238.095238059992</v>
      </c>
      <c r="AU21" s="11">
        <f t="shared" si="10"/>
        <v>0.358304583538609</v>
      </c>
      <c r="AW21" s="14"/>
      <c r="AX21" s="13" t="s">
        <v>6</v>
      </c>
      <c r="AY21" s="10">
        <v>16</v>
      </c>
      <c r="AZ21" s="12">
        <v>169904.76190467001</v>
      </c>
      <c r="BA21" s="10">
        <f t="shared" si="11"/>
        <v>-5</v>
      </c>
      <c r="BB21" s="12">
        <f t="shared" si="12"/>
        <v>-92571.428571430006</v>
      </c>
      <c r="BC21" s="11">
        <f t="shared" si="13"/>
        <v>-0.35268505079838536</v>
      </c>
      <c r="BE21" s="14"/>
      <c r="BF21" s="13" t="s">
        <v>6</v>
      </c>
      <c r="BG21" s="10">
        <v>12</v>
      </c>
      <c r="BH21" s="12">
        <v>101428.5714285</v>
      </c>
      <c r="BI21" s="10">
        <f t="shared" si="14"/>
        <v>-4</v>
      </c>
      <c r="BJ21" s="12">
        <f t="shared" si="15"/>
        <v>-68476.190476170013</v>
      </c>
      <c r="BK21" s="11">
        <f t="shared" si="16"/>
        <v>-0.40302690582969397</v>
      </c>
      <c r="BM21" s="14"/>
      <c r="BN21" s="13" t="s">
        <v>6</v>
      </c>
      <c r="BO21" s="10">
        <v>8</v>
      </c>
      <c r="BP21" s="12">
        <v>67809.523809480001</v>
      </c>
      <c r="BQ21" s="10">
        <f t="shared" si="17"/>
        <v>-4</v>
      </c>
      <c r="BR21" s="12">
        <f t="shared" si="18"/>
        <v>-33619.047619019999</v>
      </c>
      <c r="BS21" s="11">
        <f t="shared" si="19"/>
        <v>-0.33145539906099397</v>
      </c>
      <c r="BU21" s="14"/>
      <c r="BV21" s="13" t="s">
        <v>6</v>
      </c>
      <c r="BW21" s="10">
        <v>1</v>
      </c>
      <c r="BX21" s="12">
        <v>7524</v>
      </c>
      <c r="BY21" s="10">
        <f t="shared" si="20"/>
        <v>-7</v>
      </c>
      <c r="BZ21" s="12">
        <f t="shared" si="21"/>
        <v>-60285.523809480001</v>
      </c>
      <c r="CA21" s="11">
        <f t="shared" si="22"/>
        <v>-0.88904213483138894</v>
      </c>
      <c r="CC21" s="14"/>
      <c r="CD21" s="13" t="s">
        <v>6</v>
      </c>
      <c r="CE21" s="10">
        <v>1</v>
      </c>
      <c r="CF21" s="12">
        <v>13238</v>
      </c>
      <c r="CG21" s="10">
        <f t="shared" si="23"/>
        <v>0</v>
      </c>
      <c r="CH21" s="12">
        <f t="shared" si="24"/>
        <v>5714</v>
      </c>
      <c r="CI21" s="11">
        <f t="shared" si="25"/>
        <v>0.7594364699627858</v>
      </c>
      <c r="CK21" s="14"/>
      <c r="CL21" s="13" t="s">
        <v>6</v>
      </c>
      <c r="CN21" s="12"/>
      <c r="CO21" s="10">
        <f t="shared" si="26"/>
        <v>-1</v>
      </c>
      <c r="CP21" s="12">
        <f t="shared" si="27"/>
        <v>-13238</v>
      </c>
      <c r="CQ21" s="11">
        <f t="shared" si="28"/>
        <v>-1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>
        <v>19</v>
      </c>
      <c r="AJ22" s="45">
        <v>67390</v>
      </c>
      <c r="AK22" s="10">
        <f t="shared" si="7"/>
        <v>6</v>
      </c>
      <c r="AL22" s="12">
        <f t="shared" si="7"/>
        <v>26060</v>
      </c>
      <c r="AM22" s="11">
        <f t="shared" si="8"/>
        <v>0.63053472054197923</v>
      </c>
      <c r="AO22" s="14"/>
      <c r="AP22" s="13" t="s">
        <v>5</v>
      </c>
      <c r="AQ22" s="10">
        <v>21</v>
      </c>
      <c r="AR22" s="12">
        <v>73180</v>
      </c>
      <c r="AS22" s="10">
        <f t="shared" si="9"/>
        <v>2</v>
      </c>
      <c r="AT22" s="12">
        <f t="shared" si="9"/>
        <v>5790</v>
      </c>
      <c r="AU22" s="11">
        <f t="shared" si="10"/>
        <v>8.5917791957263692E-2</v>
      </c>
      <c r="AW22" s="14"/>
      <c r="AX22" s="13" t="s">
        <v>5</v>
      </c>
      <c r="AY22" s="10">
        <v>14</v>
      </c>
      <c r="AZ22" s="12">
        <v>48220</v>
      </c>
      <c r="BA22" s="10">
        <f t="shared" si="11"/>
        <v>-7</v>
      </c>
      <c r="BB22" s="12">
        <f t="shared" si="12"/>
        <v>-24960</v>
      </c>
      <c r="BC22" s="11">
        <f t="shared" si="13"/>
        <v>-0.34107679693905441</v>
      </c>
      <c r="BE22" s="14"/>
      <c r="BF22" s="13" t="s">
        <v>5</v>
      </c>
      <c r="BG22" s="10">
        <v>10</v>
      </c>
      <c r="BH22" s="12">
        <v>39648</v>
      </c>
      <c r="BI22" s="10">
        <f t="shared" si="14"/>
        <v>-4</v>
      </c>
      <c r="BJ22" s="12">
        <f t="shared" si="15"/>
        <v>-8572</v>
      </c>
      <c r="BK22" s="11">
        <f t="shared" si="16"/>
        <v>-0.1777685607631688</v>
      </c>
      <c r="BM22" s="14"/>
      <c r="BN22" s="13" t="s">
        <v>5</v>
      </c>
      <c r="BO22" s="10">
        <v>14</v>
      </c>
      <c r="BP22" s="12">
        <v>78308</v>
      </c>
      <c r="BQ22" s="10">
        <f t="shared" si="17"/>
        <v>4</v>
      </c>
      <c r="BR22" s="12">
        <f t="shared" si="18"/>
        <v>38660</v>
      </c>
      <c r="BS22" s="11">
        <f t="shared" si="19"/>
        <v>0.97508071025020182</v>
      </c>
      <c r="BU22" s="14"/>
      <c r="BV22" s="13" t="s">
        <v>5</v>
      </c>
      <c r="BW22" s="10">
        <v>12</v>
      </c>
      <c r="BX22" s="12">
        <v>67380</v>
      </c>
      <c r="BY22" s="10">
        <f t="shared" si="20"/>
        <v>-2</v>
      </c>
      <c r="BZ22" s="12">
        <f t="shared" si="21"/>
        <v>-10928</v>
      </c>
      <c r="CA22" s="11">
        <f t="shared" si="22"/>
        <v>-0.13955151453235939</v>
      </c>
      <c r="CC22" s="14"/>
      <c r="CD22" s="13" t="s">
        <v>5</v>
      </c>
      <c r="CE22" s="10">
        <v>18</v>
      </c>
      <c r="CF22" s="12">
        <v>90450</v>
      </c>
      <c r="CG22" s="10">
        <f t="shared" si="23"/>
        <v>6</v>
      </c>
      <c r="CH22" s="12">
        <f t="shared" si="24"/>
        <v>23070</v>
      </c>
      <c r="CI22" s="11">
        <f t="shared" si="25"/>
        <v>0.34238646482635798</v>
      </c>
      <c r="CK22" s="14"/>
      <c r="CL22" s="13" t="s">
        <v>5</v>
      </c>
      <c r="CN22" s="12"/>
      <c r="CO22" s="10">
        <f t="shared" si="26"/>
        <v>-18</v>
      </c>
      <c r="CP22" s="12">
        <f t="shared" si="27"/>
        <v>-90450</v>
      </c>
      <c r="CQ22" s="11">
        <f t="shared" si="28"/>
        <v>-1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>
        <v>13</v>
      </c>
      <c r="AJ23" s="45">
        <v>600428.57142853003</v>
      </c>
      <c r="AK23" s="10">
        <f t="shared" si="7"/>
        <v>0</v>
      </c>
      <c r="AL23" s="12">
        <f t="shared" si="7"/>
        <v>171333.33333334001</v>
      </c>
      <c r="AM23" s="11">
        <f t="shared" si="8"/>
        <v>0.39928975696377128</v>
      </c>
      <c r="AO23" s="14"/>
      <c r="AP23" s="13" t="s">
        <v>4</v>
      </c>
      <c r="AQ23" s="10">
        <v>10</v>
      </c>
      <c r="AR23" s="12">
        <v>327357.14285708999</v>
      </c>
      <c r="AS23" s="10">
        <f t="shared" si="9"/>
        <v>-3</v>
      </c>
      <c r="AT23" s="12">
        <f t="shared" si="9"/>
        <v>-273071.42857144005</v>
      </c>
      <c r="AU23" s="11">
        <f t="shared" si="10"/>
        <v>-0.45479419462293885</v>
      </c>
      <c r="AW23" s="14"/>
      <c r="AX23" s="13" t="s">
        <v>4</v>
      </c>
      <c r="AY23" s="10">
        <v>5</v>
      </c>
      <c r="AZ23" s="12">
        <v>200395.23809520999</v>
      </c>
      <c r="BA23" s="10">
        <f t="shared" si="11"/>
        <v>-5</v>
      </c>
      <c r="BB23" s="12">
        <f t="shared" si="12"/>
        <v>-126961.90476188</v>
      </c>
      <c r="BC23" s="11">
        <f t="shared" si="13"/>
        <v>-0.3878391155720286</v>
      </c>
      <c r="BE23" s="14"/>
      <c r="BF23" s="13" t="s">
        <v>4</v>
      </c>
      <c r="BG23" s="10">
        <v>11</v>
      </c>
      <c r="BH23" s="12">
        <v>431752.38095234003</v>
      </c>
      <c r="BI23" s="10">
        <f t="shared" si="14"/>
        <v>6</v>
      </c>
      <c r="BJ23" s="12">
        <f t="shared" si="15"/>
        <v>231357.14285713003</v>
      </c>
      <c r="BK23" s="11">
        <f t="shared" si="16"/>
        <v>1.1545041940927243</v>
      </c>
      <c r="BM23" s="14"/>
      <c r="BN23" s="13" t="s">
        <v>4</v>
      </c>
      <c r="BO23" s="10">
        <v>16</v>
      </c>
      <c r="BP23" s="12">
        <v>555333.33333324001</v>
      </c>
      <c r="BQ23" s="10">
        <f t="shared" si="17"/>
        <v>5</v>
      </c>
      <c r="BR23" s="12">
        <f t="shared" si="18"/>
        <v>123580.95238089998</v>
      </c>
      <c r="BS23" s="11">
        <f t="shared" si="19"/>
        <v>0.28623108483689347</v>
      </c>
      <c r="BU23" s="14"/>
      <c r="BV23" s="13" t="s">
        <v>4</v>
      </c>
      <c r="BW23" s="10">
        <v>24</v>
      </c>
      <c r="BX23" s="12">
        <v>731464</v>
      </c>
      <c r="BY23" s="10">
        <f t="shared" si="20"/>
        <v>8</v>
      </c>
      <c r="BZ23" s="12">
        <f t="shared" si="21"/>
        <v>176130.66666675999</v>
      </c>
      <c r="CA23" s="11">
        <f t="shared" si="22"/>
        <v>0.31716206482615172</v>
      </c>
      <c r="CC23" s="14"/>
      <c r="CD23" s="13" t="s">
        <v>4</v>
      </c>
      <c r="CE23" s="10">
        <v>24</v>
      </c>
      <c r="CF23" s="12">
        <v>838090</v>
      </c>
      <c r="CG23" s="10">
        <f t="shared" si="23"/>
        <v>0</v>
      </c>
      <c r="CH23" s="12">
        <f t="shared" si="24"/>
        <v>106626</v>
      </c>
      <c r="CI23" s="11">
        <f t="shared" si="25"/>
        <v>0.14577067360799711</v>
      </c>
      <c r="CK23" s="14"/>
      <c r="CL23" s="13" t="s">
        <v>4</v>
      </c>
      <c r="CN23" s="12"/>
      <c r="CO23" s="10">
        <f t="shared" si="26"/>
        <v>-24</v>
      </c>
      <c r="CP23" s="12">
        <f t="shared" si="27"/>
        <v>-838090</v>
      </c>
      <c r="CQ23" s="11">
        <f t="shared" si="28"/>
        <v>-1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>
        <v>22</v>
      </c>
      <c r="AJ24" s="45">
        <v>390952.38095231005</v>
      </c>
      <c r="AK24" s="10">
        <f t="shared" si="7"/>
        <v>-1</v>
      </c>
      <c r="AL24" s="12">
        <f t="shared" si="7"/>
        <v>-176095.23809520993</v>
      </c>
      <c r="AM24" s="11">
        <f t="shared" si="8"/>
        <v>-0.31054753107155314</v>
      </c>
      <c r="AO24" s="14"/>
      <c r="AP24" s="13" t="s">
        <v>3</v>
      </c>
      <c r="AQ24" s="10">
        <v>24</v>
      </c>
      <c r="AR24" s="12">
        <v>609904.76190465991</v>
      </c>
      <c r="AS24" s="10">
        <f t="shared" si="9"/>
        <v>2</v>
      </c>
      <c r="AT24" s="12">
        <f t="shared" si="9"/>
        <v>218952.38095234986</v>
      </c>
      <c r="AU24" s="11">
        <f t="shared" si="10"/>
        <v>0.56004872107188564</v>
      </c>
      <c r="AW24" s="14"/>
      <c r="AX24" s="13" t="s">
        <v>3</v>
      </c>
      <c r="AY24" s="10">
        <v>13</v>
      </c>
      <c r="AZ24" s="12">
        <v>258857.14285708999</v>
      </c>
      <c r="BA24" s="10">
        <f t="shared" si="11"/>
        <v>-11</v>
      </c>
      <c r="BB24" s="12">
        <f t="shared" si="12"/>
        <v>-351047.61904756993</v>
      </c>
      <c r="BC24" s="11">
        <f t="shared" si="13"/>
        <v>-0.57557776389757975</v>
      </c>
      <c r="BE24" s="14"/>
      <c r="BF24" s="13" t="s">
        <v>3</v>
      </c>
      <c r="BG24" s="10">
        <v>16</v>
      </c>
      <c r="BH24" s="12">
        <v>330571.42857133999</v>
      </c>
      <c r="BI24" s="10">
        <f t="shared" si="14"/>
        <v>3</v>
      </c>
      <c r="BJ24" s="12">
        <f t="shared" si="15"/>
        <v>71714.28571425</v>
      </c>
      <c r="BK24" s="11">
        <f t="shared" si="16"/>
        <v>0.2770419426047751</v>
      </c>
      <c r="BM24" s="14"/>
      <c r="BN24" s="13" t="s">
        <v>3</v>
      </c>
      <c r="BO24" s="10">
        <v>28</v>
      </c>
      <c r="BP24" s="12">
        <v>591904.76190464001</v>
      </c>
      <c r="BQ24" s="10">
        <f t="shared" si="17"/>
        <v>12</v>
      </c>
      <c r="BR24" s="12">
        <f t="shared" si="18"/>
        <v>261333.33333330002</v>
      </c>
      <c r="BS24" s="11">
        <f t="shared" si="19"/>
        <v>0.79055027369645214</v>
      </c>
      <c r="BU24" s="14"/>
      <c r="BV24" s="13" t="s">
        <v>3</v>
      </c>
      <c r="BW24" s="10">
        <v>28</v>
      </c>
      <c r="BX24" s="12">
        <v>737238</v>
      </c>
      <c r="BY24" s="10">
        <f t="shared" si="20"/>
        <v>0</v>
      </c>
      <c r="BZ24" s="12">
        <f t="shared" si="21"/>
        <v>145333.23809535999</v>
      </c>
      <c r="CA24" s="11">
        <f t="shared" si="22"/>
        <v>0.2455348350766845</v>
      </c>
      <c r="CC24" s="14"/>
      <c r="CD24" s="13" t="s">
        <v>3</v>
      </c>
      <c r="CE24" s="10">
        <v>61</v>
      </c>
      <c r="CF24" s="12">
        <v>1395048</v>
      </c>
      <c r="CG24" s="10">
        <f t="shared" si="23"/>
        <v>33</v>
      </c>
      <c r="CH24" s="12">
        <f t="shared" si="24"/>
        <v>657810</v>
      </c>
      <c r="CI24" s="11">
        <f t="shared" si="25"/>
        <v>0.89226274283202978</v>
      </c>
      <c r="CK24" s="14"/>
      <c r="CL24" s="13" t="s">
        <v>3</v>
      </c>
      <c r="CN24" s="12"/>
      <c r="CO24" s="10">
        <f t="shared" si="26"/>
        <v>-61</v>
      </c>
      <c r="CP24" s="12">
        <f t="shared" si="27"/>
        <v>-1395048</v>
      </c>
      <c r="CQ24" s="11">
        <f t="shared" si="28"/>
        <v>-1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>
        <v>27</v>
      </c>
      <c r="AJ25" s="45">
        <v>928857.14285710989</v>
      </c>
      <c r="AK25" s="10">
        <f t="shared" si="7"/>
        <v>-13</v>
      </c>
      <c r="AL25" s="12">
        <f t="shared" si="7"/>
        <v>-500666.66666665999</v>
      </c>
      <c r="AM25" s="11">
        <f t="shared" si="8"/>
        <v>-0.35023317788141745</v>
      </c>
      <c r="AO25" s="14"/>
      <c r="AP25" s="13" t="s">
        <v>2</v>
      </c>
      <c r="AQ25" s="10">
        <v>57</v>
      </c>
      <c r="AR25" s="12">
        <v>2140285.7142856</v>
      </c>
      <c r="AS25" s="10">
        <f t="shared" si="9"/>
        <v>30</v>
      </c>
      <c r="AT25" s="12">
        <f t="shared" si="9"/>
        <v>1211428.5714284901</v>
      </c>
      <c r="AU25" s="11">
        <f t="shared" si="10"/>
        <v>1.3042140879728901</v>
      </c>
      <c r="AW25" s="14"/>
      <c r="AX25" s="13" t="s">
        <v>2</v>
      </c>
      <c r="AY25" s="10">
        <v>40</v>
      </c>
      <c r="AZ25" s="12">
        <v>1629523.80952367</v>
      </c>
      <c r="BA25" s="10">
        <f t="shared" si="11"/>
        <v>-17</v>
      </c>
      <c r="BB25" s="12">
        <f t="shared" si="12"/>
        <v>-510761.90476193</v>
      </c>
      <c r="BC25" s="11">
        <f t="shared" si="13"/>
        <v>-0.23864192586662</v>
      </c>
      <c r="BE25" s="14"/>
      <c r="BF25" s="13" t="s">
        <v>2</v>
      </c>
      <c r="BG25" s="10">
        <v>33</v>
      </c>
      <c r="BH25" s="12">
        <v>1169238.0952380199</v>
      </c>
      <c r="BI25" s="10">
        <f t="shared" si="14"/>
        <v>-7</v>
      </c>
      <c r="BJ25" s="12">
        <f t="shared" si="15"/>
        <v>-460285.71428565006</v>
      </c>
      <c r="BK25" s="11">
        <f t="shared" si="16"/>
        <v>-0.282466393921668</v>
      </c>
      <c r="BM25" s="14"/>
      <c r="BN25" s="13" t="s">
        <v>2</v>
      </c>
      <c r="BO25" s="10">
        <v>34</v>
      </c>
      <c r="BP25" s="12">
        <v>1225333.3333332599</v>
      </c>
      <c r="BQ25" s="10">
        <f t="shared" si="17"/>
        <v>1</v>
      </c>
      <c r="BR25" s="12">
        <f t="shared" si="18"/>
        <v>56095.238095239969</v>
      </c>
      <c r="BS25" s="11">
        <f t="shared" si="19"/>
        <v>4.7975889875381414E-2</v>
      </c>
      <c r="BU25" s="14"/>
      <c r="BV25" s="13" t="s">
        <v>2</v>
      </c>
      <c r="BW25" s="10">
        <v>27</v>
      </c>
      <c r="BX25" s="12">
        <v>927717</v>
      </c>
      <c r="BY25" s="10">
        <f t="shared" si="20"/>
        <v>-7</v>
      </c>
      <c r="BZ25" s="12">
        <f t="shared" si="21"/>
        <v>-297616.33333325991</v>
      </c>
      <c r="CA25" s="11">
        <f t="shared" si="22"/>
        <v>-0.24288601741018315</v>
      </c>
      <c r="CC25" s="14"/>
      <c r="CD25" s="13" t="s">
        <v>2</v>
      </c>
      <c r="CE25" s="10">
        <v>54</v>
      </c>
      <c r="CF25" s="12">
        <v>1783098</v>
      </c>
      <c r="CG25" s="10">
        <f t="shared" si="23"/>
        <v>27</v>
      </c>
      <c r="CH25" s="12">
        <f t="shared" si="24"/>
        <v>855381</v>
      </c>
      <c r="CI25" s="11">
        <f t="shared" si="25"/>
        <v>0.92202794602233229</v>
      </c>
      <c r="CK25" s="14"/>
      <c r="CL25" s="13" t="s">
        <v>2</v>
      </c>
      <c r="CN25" s="12"/>
      <c r="CO25" s="10">
        <f t="shared" si="26"/>
        <v>-54</v>
      </c>
      <c r="CP25" s="12">
        <f t="shared" si="27"/>
        <v>-1783098</v>
      </c>
      <c r="CQ25" s="11">
        <f t="shared" si="28"/>
        <v>-1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>
        <v>376</v>
      </c>
      <c r="AJ26" s="46">
        <v>2625037.6190468799</v>
      </c>
      <c r="AK26" s="27">
        <f t="shared" si="7"/>
        <v>-70</v>
      </c>
      <c r="AL26" s="28">
        <f t="shared" si="7"/>
        <v>-526994.28571408009</v>
      </c>
      <c r="AM26" s="29">
        <f t="shared" si="8"/>
        <v>-0.1671919262359261</v>
      </c>
      <c r="AO26" s="9" t="s">
        <v>12</v>
      </c>
      <c r="AP26" s="9"/>
      <c r="AQ26" s="8">
        <v>462</v>
      </c>
      <c r="AR26" s="7">
        <v>3867402.8571415101</v>
      </c>
      <c r="AS26" s="27">
        <f t="shared" si="9"/>
        <v>86</v>
      </c>
      <c r="AT26" s="28">
        <f t="shared" si="9"/>
        <v>1242365.2380946302</v>
      </c>
      <c r="AU26" s="29">
        <f t="shared" si="10"/>
        <v>0.47327521292655544</v>
      </c>
      <c r="AW26" s="9" t="s">
        <v>12</v>
      </c>
      <c r="AX26" s="9"/>
      <c r="AY26" s="8">
        <v>408</v>
      </c>
      <c r="AZ26" s="7">
        <v>2839655.2380939601</v>
      </c>
      <c r="BA26" s="27">
        <f t="shared" si="11"/>
        <v>-54</v>
      </c>
      <c r="BB26" s="28">
        <f t="shared" si="12"/>
        <v>-1027747.61904755</v>
      </c>
      <c r="BC26" s="29">
        <f t="shared" si="13"/>
        <v>-0.26574620152377476</v>
      </c>
      <c r="BE26" s="9" t="s">
        <v>12</v>
      </c>
      <c r="BF26" s="9"/>
      <c r="BG26" s="8">
        <v>363</v>
      </c>
      <c r="BH26" s="7">
        <v>2564228.95237969</v>
      </c>
      <c r="BI26" s="27">
        <f t="shared" si="14"/>
        <v>-45</v>
      </c>
      <c r="BJ26" s="28">
        <f t="shared" si="15"/>
        <v>-275426.28571427008</v>
      </c>
      <c r="BK26" s="29">
        <f t="shared" si="16"/>
        <v>-9.6992860971088293E-2</v>
      </c>
      <c r="BM26" s="9" t="s">
        <v>12</v>
      </c>
      <c r="BN26" s="9"/>
      <c r="BO26" s="8">
        <v>429</v>
      </c>
      <c r="BP26" s="7">
        <v>3033555.61904631</v>
      </c>
      <c r="BQ26" s="27">
        <f t="shared" si="17"/>
        <v>66</v>
      </c>
      <c r="BR26" s="28">
        <f t="shared" si="18"/>
        <v>469326.66666661995</v>
      </c>
      <c r="BS26" s="29">
        <f t="shared" si="19"/>
        <v>0.18302837826983787</v>
      </c>
      <c r="BU26" s="9" t="s">
        <v>12</v>
      </c>
      <c r="BV26" s="9"/>
      <c r="BW26" s="8">
        <v>437</v>
      </c>
      <c r="BX26" s="7">
        <v>2932496</v>
      </c>
      <c r="BY26" s="27">
        <f t="shared" si="20"/>
        <v>8</v>
      </c>
      <c r="BZ26" s="28">
        <f t="shared" si="21"/>
        <v>-101059.61904630996</v>
      </c>
      <c r="CA26" s="29">
        <f t="shared" si="22"/>
        <v>-3.331391665008638E-2</v>
      </c>
      <c r="CC26" s="9" t="s">
        <v>12</v>
      </c>
      <c r="CD26" s="9"/>
      <c r="CE26" s="8">
        <v>575</v>
      </c>
      <c r="CF26" s="7">
        <v>4747750</v>
      </c>
      <c r="CG26" s="27">
        <f t="shared" si="23"/>
        <v>138</v>
      </c>
      <c r="CH26" s="28">
        <f t="shared" si="24"/>
        <v>1815254</v>
      </c>
      <c r="CI26" s="29">
        <f t="shared" si="25"/>
        <v>0.61901329106672265</v>
      </c>
      <c r="CK26" s="9" t="s">
        <v>12</v>
      </c>
      <c r="CL26" s="9"/>
      <c r="CM26" s="8"/>
      <c r="CN26" s="7"/>
      <c r="CO26" s="27">
        <f t="shared" si="26"/>
        <v>-575</v>
      </c>
      <c r="CP26" s="28">
        <f t="shared" si="27"/>
        <v>-4747750</v>
      </c>
      <c r="CQ26" s="29">
        <f t="shared" si="28"/>
        <v>-1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>
        <v>3211</v>
      </c>
      <c r="AJ27" s="47"/>
      <c r="AK27" s="10">
        <f t="shared" si="7"/>
        <v>175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37</v>
      </c>
      <c r="AQ27" s="1">
        <v>3328</v>
      </c>
      <c r="AR27" s="35"/>
      <c r="AS27" s="10">
        <f t="shared" si="9"/>
        <v>117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37</v>
      </c>
      <c r="AY27" s="1">
        <v>3174</v>
      </c>
      <c r="AZ27" s="35"/>
      <c r="BA27" s="10">
        <f t="shared" si="11"/>
        <v>-154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G27" s="1">
        <v>3534</v>
      </c>
      <c r="BH27" s="35"/>
      <c r="BI27" s="10">
        <f t="shared" si="14"/>
        <v>360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37</v>
      </c>
      <c r="BO27" s="1">
        <v>3175</v>
      </c>
      <c r="BP27" s="35"/>
      <c r="BQ27" s="10">
        <f t="shared" si="17"/>
        <v>-359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37</v>
      </c>
      <c r="BW27" s="15">
        <v>2744</v>
      </c>
      <c r="BX27" s="33"/>
      <c r="BY27" s="10">
        <f t="shared" si="20"/>
        <v>-431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37</v>
      </c>
      <c r="CE27" s="15">
        <v>4471</v>
      </c>
      <c r="CF27" s="33"/>
      <c r="CG27" s="10">
        <f t="shared" si="23"/>
        <v>1727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-4471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>
        <v>2</v>
      </c>
      <c r="AJ28" s="47"/>
      <c r="AK28" s="10">
        <f t="shared" si="7"/>
        <v>-3</v>
      </c>
      <c r="AL28" s="12">
        <f t="shared" si="7"/>
        <v>0</v>
      </c>
      <c r="AM28" s="11" t="e">
        <f t="shared" si="8"/>
        <v>#DIV/0!</v>
      </c>
      <c r="AO28" s="14"/>
      <c r="AP28" s="32" t="s">
        <v>38</v>
      </c>
      <c r="AQ28" s="1">
        <v>3</v>
      </c>
      <c r="AR28" s="35"/>
      <c r="AS28" s="10">
        <f t="shared" si="9"/>
        <v>1</v>
      </c>
      <c r="AT28" s="12">
        <f t="shared" si="9"/>
        <v>0</v>
      </c>
      <c r="AU28" s="11" t="e">
        <f t="shared" si="10"/>
        <v>#DIV/0!</v>
      </c>
      <c r="AW28" s="14"/>
      <c r="AX28" s="32" t="s">
        <v>38</v>
      </c>
      <c r="AY28" s="1">
        <v>4</v>
      </c>
      <c r="AZ28" s="35"/>
      <c r="BA28" s="10">
        <f t="shared" si="11"/>
        <v>1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G28" s="1">
        <v>5</v>
      </c>
      <c r="BH28" s="35"/>
      <c r="BI28" s="10">
        <f t="shared" si="14"/>
        <v>1</v>
      </c>
      <c r="BJ28" s="12">
        <f t="shared" si="15"/>
        <v>0</v>
      </c>
      <c r="BK28" s="11" t="e">
        <f t="shared" si="16"/>
        <v>#DIV/0!</v>
      </c>
      <c r="BM28" s="14"/>
      <c r="BN28" s="32" t="s">
        <v>38</v>
      </c>
      <c r="BO28" s="1">
        <v>0</v>
      </c>
      <c r="BP28" s="35"/>
      <c r="BQ28" s="10">
        <f t="shared" si="17"/>
        <v>-5</v>
      </c>
      <c r="BR28" s="12">
        <f t="shared" si="18"/>
        <v>0</v>
      </c>
      <c r="BS28" s="11" t="e">
        <f t="shared" si="19"/>
        <v>#DIV/0!</v>
      </c>
      <c r="BU28" s="14"/>
      <c r="BV28" s="32" t="s">
        <v>38</v>
      </c>
      <c r="BW28" s="15">
        <v>4</v>
      </c>
      <c r="BX28" s="33"/>
      <c r="BY28" s="10">
        <f t="shared" si="20"/>
        <v>4</v>
      </c>
      <c r="BZ28" s="12">
        <f t="shared" si="21"/>
        <v>0</v>
      </c>
      <c r="CA28" s="11" t="e">
        <f t="shared" si="22"/>
        <v>#DIV/0!</v>
      </c>
      <c r="CC28" s="14"/>
      <c r="CD28" s="32" t="s">
        <v>38</v>
      </c>
      <c r="CE28" s="15">
        <v>1</v>
      </c>
      <c r="CF28" s="33"/>
      <c r="CG28" s="10">
        <f t="shared" si="23"/>
        <v>-3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-1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>
        <v>95</v>
      </c>
      <c r="AJ29" s="45">
        <v>88453.333332949987</v>
      </c>
      <c r="AK29" s="10">
        <f t="shared" si="7"/>
        <v>27</v>
      </c>
      <c r="AL29" s="12">
        <f t="shared" si="7"/>
        <v>23607.619047489978</v>
      </c>
      <c r="AM29" s="11">
        <f t="shared" si="8"/>
        <v>0.36405827752264242</v>
      </c>
      <c r="AO29" s="14"/>
      <c r="AP29" s="13" t="s">
        <v>9</v>
      </c>
      <c r="AQ29" s="10">
        <v>96</v>
      </c>
      <c r="AR29" s="12">
        <v>86227.619047240034</v>
      </c>
      <c r="AS29" s="10">
        <f t="shared" si="9"/>
        <v>1</v>
      </c>
      <c r="AT29" s="12">
        <f t="shared" si="9"/>
        <v>-2225.7142857099534</v>
      </c>
      <c r="AU29" s="11">
        <f t="shared" si="10"/>
        <v>-2.5162582367948442E-2</v>
      </c>
      <c r="AW29" s="14"/>
      <c r="AX29" s="13" t="s">
        <v>9</v>
      </c>
      <c r="AY29" s="10">
        <v>92</v>
      </c>
      <c r="AZ29" s="12">
        <v>82476.19047580006</v>
      </c>
      <c r="BA29" s="10">
        <f t="shared" si="11"/>
        <v>-4</v>
      </c>
      <c r="BB29" s="12">
        <f t="shared" si="12"/>
        <v>-3751.4285714399739</v>
      </c>
      <c r="BC29" s="11">
        <f t="shared" si="13"/>
        <v>-4.3506113387924393E-2</v>
      </c>
      <c r="BE29" s="14"/>
      <c r="BF29" s="13" t="s">
        <v>9</v>
      </c>
      <c r="BG29" s="10">
        <v>99</v>
      </c>
      <c r="BH29" s="12">
        <v>102610.47619004</v>
      </c>
      <c r="BI29" s="10">
        <f t="shared" si="14"/>
        <v>7</v>
      </c>
      <c r="BJ29" s="12">
        <f t="shared" si="15"/>
        <v>20134.285714239944</v>
      </c>
      <c r="BK29" s="11">
        <f t="shared" si="16"/>
        <v>0.24412240184817571</v>
      </c>
      <c r="BM29" s="14"/>
      <c r="BN29" s="13" t="s">
        <v>9</v>
      </c>
      <c r="BO29" s="10">
        <v>66</v>
      </c>
      <c r="BP29" s="12">
        <v>56596.190475900003</v>
      </c>
      <c r="BQ29" s="10">
        <f t="shared" si="17"/>
        <v>-33</v>
      </c>
      <c r="BR29" s="12">
        <f t="shared" si="18"/>
        <v>-46014.285714140002</v>
      </c>
      <c r="BS29" s="11">
        <f t="shared" si="19"/>
        <v>-0.44843652834160053</v>
      </c>
      <c r="BU29" s="14"/>
      <c r="BV29" s="13" t="s">
        <v>9</v>
      </c>
      <c r="BW29" s="10">
        <v>86</v>
      </c>
      <c r="BX29" s="12">
        <v>95122</v>
      </c>
      <c r="BY29" s="10">
        <f t="shared" si="20"/>
        <v>20</v>
      </c>
      <c r="BZ29" s="12">
        <f t="shared" si="21"/>
        <v>38525.809524099997</v>
      </c>
      <c r="CA29" s="11">
        <f t="shared" si="22"/>
        <v>0.68071382897237931</v>
      </c>
      <c r="CC29" s="14"/>
      <c r="CD29" s="13" t="s">
        <v>9</v>
      </c>
      <c r="CE29" s="10">
        <v>56</v>
      </c>
      <c r="CF29" s="12">
        <v>55918</v>
      </c>
      <c r="CG29" s="10">
        <f t="shared" si="23"/>
        <v>-30</v>
      </c>
      <c r="CH29" s="12">
        <f t="shared" si="24"/>
        <v>-39204</v>
      </c>
      <c r="CI29" s="11">
        <f t="shared" si="25"/>
        <v>-0.41214440402851077</v>
      </c>
      <c r="CK29" s="14"/>
      <c r="CL29" s="13" t="s">
        <v>9</v>
      </c>
      <c r="CN29" s="12"/>
      <c r="CO29" s="10">
        <f t="shared" si="26"/>
        <v>-56</v>
      </c>
      <c r="CP29" s="12">
        <f t="shared" si="27"/>
        <v>-55918</v>
      </c>
      <c r="CQ29" s="11">
        <f t="shared" si="28"/>
        <v>-1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>
        <v>65</v>
      </c>
      <c r="AJ30" s="45">
        <v>60828.571428500007</v>
      </c>
      <c r="AK30" s="10">
        <f t="shared" si="7"/>
        <v>9</v>
      </c>
      <c r="AL30" s="12">
        <f t="shared" si="7"/>
        <v>-9420.9523809099846</v>
      </c>
      <c r="AM30" s="11">
        <f t="shared" si="8"/>
        <v>-0.13410699276011376</v>
      </c>
      <c r="AO30" s="14"/>
      <c r="AP30" s="13" t="s">
        <v>8</v>
      </c>
      <c r="AQ30" s="10">
        <v>88</v>
      </c>
      <c r="AR30" s="12">
        <v>72116.190475950003</v>
      </c>
      <c r="AS30" s="10">
        <f t="shared" si="9"/>
        <v>23</v>
      </c>
      <c r="AT30" s="12">
        <f t="shared" si="9"/>
        <v>11287.619047449996</v>
      </c>
      <c r="AU30" s="11">
        <f t="shared" si="10"/>
        <v>0.18556442774129345</v>
      </c>
      <c r="AW30" s="14"/>
      <c r="AX30" s="13" t="s">
        <v>8</v>
      </c>
      <c r="AY30" s="10">
        <v>54</v>
      </c>
      <c r="AZ30" s="12">
        <v>51580.952380770002</v>
      </c>
      <c r="BA30" s="10">
        <f t="shared" si="11"/>
        <v>-34</v>
      </c>
      <c r="BB30" s="12">
        <f t="shared" si="12"/>
        <v>-20535.238095180001</v>
      </c>
      <c r="BC30" s="11">
        <f t="shared" si="13"/>
        <v>-0.28475211959550595</v>
      </c>
      <c r="BE30" s="14"/>
      <c r="BF30" s="13" t="s">
        <v>8</v>
      </c>
      <c r="BG30" s="10">
        <v>90</v>
      </c>
      <c r="BH30" s="12">
        <v>91561.904761619997</v>
      </c>
      <c r="BI30" s="10">
        <f t="shared" si="14"/>
        <v>36</v>
      </c>
      <c r="BJ30" s="12">
        <f t="shared" si="15"/>
        <v>39980.952380849994</v>
      </c>
      <c r="BK30" s="11">
        <f t="shared" si="16"/>
        <v>0.77511078286633905</v>
      </c>
      <c r="BM30" s="14"/>
      <c r="BN30" s="13" t="s">
        <v>8</v>
      </c>
      <c r="BO30" s="10">
        <v>66</v>
      </c>
      <c r="BP30" s="12">
        <v>72428.571428359995</v>
      </c>
      <c r="BQ30" s="10">
        <f t="shared" si="17"/>
        <v>-24</v>
      </c>
      <c r="BR30" s="12">
        <f t="shared" si="18"/>
        <v>-19133.333333260001</v>
      </c>
      <c r="BS30" s="11">
        <f t="shared" si="19"/>
        <v>-0.20896609111696987</v>
      </c>
      <c r="BU30" s="14"/>
      <c r="BV30" s="13" t="s">
        <v>8</v>
      </c>
      <c r="BW30" s="10">
        <v>61</v>
      </c>
      <c r="BX30" s="12">
        <v>52987</v>
      </c>
      <c r="BY30" s="10">
        <f t="shared" si="20"/>
        <v>-5</v>
      </c>
      <c r="BZ30" s="12">
        <f t="shared" si="21"/>
        <v>-19441.571428359995</v>
      </c>
      <c r="CA30" s="11">
        <f t="shared" si="22"/>
        <v>-0.26842406311423522</v>
      </c>
      <c r="CC30" s="14"/>
      <c r="CD30" s="13" t="s">
        <v>8</v>
      </c>
      <c r="CE30" s="10">
        <v>77</v>
      </c>
      <c r="CF30" s="12">
        <v>71239</v>
      </c>
      <c r="CG30" s="10">
        <f t="shared" si="23"/>
        <v>16</v>
      </c>
      <c r="CH30" s="12">
        <f t="shared" si="24"/>
        <v>18252</v>
      </c>
      <c r="CI30" s="11">
        <f t="shared" si="25"/>
        <v>0.34446184913280614</v>
      </c>
      <c r="CK30" s="14"/>
      <c r="CL30" s="13" t="s">
        <v>8</v>
      </c>
      <c r="CN30" s="12"/>
      <c r="CO30" s="10">
        <f t="shared" si="26"/>
        <v>-77</v>
      </c>
      <c r="CP30" s="12">
        <f t="shared" si="27"/>
        <v>-71239</v>
      </c>
      <c r="CQ30" s="11">
        <f t="shared" si="28"/>
        <v>-1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>
        <v>11</v>
      </c>
      <c r="AJ31" s="45">
        <v>62752.380952370004</v>
      </c>
      <c r="AK31" s="10">
        <f t="shared" si="7"/>
        <v>1</v>
      </c>
      <c r="AL31" s="12">
        <f t="shared" si="7"/>
        <v>-10009.523809519989</v>
      </c>
      <c r="AM31" s="11">
        <f t="shared" si="8"/>
        <v>-0.13756544502615342</v>
      </c>
      <c r="AO31" s="14"/>
      <c r="AP31" s="13" t="s">
        <v>7</v>
      </c>
      <c r="AQ31" s="10">
        <v>24</v>
      </c>
      <c r="AR31" s="12">
        <v>156914.28571423999</v>
      </c>
      <c r="AS31" s="10">
        <f t="shared" si="9"/>
        <v>13</v>
      </c>
      <c r="AT31" s="12">
        <f t="shared" si="9"/>
        <v>94161.904761869984</v>
      </c>
      <c r="AU31" s="11">
        <f t="shared" si="10"/>
        <v>1.5005311883439176</v>
      </c>
      <c r="AW31" s="14"/>
      <c r="AX31" s="13" t="s">
        <v>7</v>
      </c>
      <c r="AY31" s="10">
        <v>15</v>
      </c>
      <c r="AZ31" s="12">
        <v>99024.761904739993</v>
      </c>
      <c r="BA31" s="10">
        <f t="shared" si="11"/>
        <v>-9</v>
      </c>
      <c r="BB31" s="12">
        <f t="shared" si="12"/>
        <v>-57889.523809499995</v>
      </c>
      <c r="BC31" s="11">
        <f t="shared" si="13"/>
        <v>-0.36892449623690643</v>
      </c>
      <c r="BE31" s="14"/>
      <c r="BF31" s="13" t="s">
        <v>7</v>
      </c>
      <c r="BG31" s="10">
        <v>28</v>
      </c>
      <c r="BH31" s="12">
        <v>235447.61904753</v>
      </c>
      <c r="BI31" s="10">
        <f t="shared" si="14"/>
        <v>13</v>
      </c>
      <c r="BJ31" s="12">
        <f t="shared" si="15"/>
        <v>136422.85714278999</v>
      </c>
      <c r="BK31" s="11">
        <f t="shared" si="16"/>
        <v>1.3776640763249326</v>
      </c>
      <c r="BM31" s="14"/>
      <c r="BN31" s="13" t="s">
        <v>7</v>
      </c>
      <c r="BO31" s="10">
        <v>17</v>
      </c>
      <c r="BP31" s="12">
        <v>130314.28571421999</v>
      </c>
      <c r="BQ31" s="10">
        <f t="shared" si="17"/>
        <v>-11</v>
      </c>
      <c r="BR31" s="12">
        <f t="shared" si="18"/>
        <v>-105133.33333331</v>
      </c>
      <c r="BS31" s="11">
        <f t="shared" si="19"/>
        <v>-0.44652536202579585</v>
      </c>
      <c r="BU31" s="14"/>
      <c r="BV31" s="13" t="s">
        <v>7</v>
      </c>
      <c r="BW31" s="10">
        <v>16</v>
      </c>
      <c r="BX31" s="12">
        <v>102048</v>
      </c>
      <c r="BY31" s="10">
        <f t="shared" si="20"/>
        <v>-1</v>
      </c>
      <c r="BZ31" s="12">
        <f t="shared" si="21"/>
        <v>-28266.285714219994</v>
      </c>
      <c r="CA31" s="11">
        <f t="shared" si="22"/>
        <v>-0.21690857268103458</v>
      </c>
      <c r="CC31" s="14"/>
      <c r="CD31" s="13" t="s">
        <v>7</v>
      </c>
      <c r="CE31" s="10">
        <v>13</v>
      </c>
      <c r="CF31" s="12">
        <v>84733</v>
      </c>
      <c r="CG31" s="10">
        <f t="shared" si="23"/>
        <v>-3</v>
      </c>
      <c r="CH31" s="12">
        <f t="shared" si="24"/>
        <v>-17315</v>
      </c>
      <c r="CI31" s="11">
        <f t="shared" si="25"/>
        <v>-0.16967505487613671</v>
      </c>
      <c r="CK31" s="14"/>
      <c r="CL31" s="13" t="s">
        <v>7</v>
      </c>
      <c r="CN31" s="12"/>
      <c r="CO31" s="10">
        <f t="shared" si="26"/>
        <v>-13</v>
      </c>
      <c r="CP31" s="12">
        <f t="shared" si="27"/>
        <v>-84733</v>
      </c>
      <c r="CQ31" s="11">
        <f t="shared" si="28"/>
        <v>-1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>
        <v>12</v>
      </c>
      <c r="AJ32" s="45">
        <v>159809.52380948002</v>
      </c>
      <c r="AK32" s="10">
        <f t="shared" si="7"/>
        <v>-1</v>
      </c>
      <c r="AL32" s="12">
        <f t="shared" si="7"/>
        <v>8666.6666666600213</v>
      </c>
      <c r="AM32" s="11">
        <f t="shared" si="8"/>
        <v>5.7340894769976426E-2</v>
      </c>
      <c r="AO32" s="14"/>
      <c r="AP32" s="13" t="s">
        <v>6</v>
      </c>
      <c r="AQ32" s="10">
        <v>8</v>
      </c>
      <c r="AR32" s="12">
        <v>99904.761904709987</v>
      </c>
      <c r="AS32" s="10">
        <f t="shared" si="9"/>
        <v>-4</v>
      </c>
      <c r="AT32" s="12">
        <f t="shared" si="9"/>
        <v>-59904.761904770028</v>
      </c>
      <c r="AU32" s="11">
        <f t="shared" si="10"/>
        <v>-0.37485101311099978</v>
      </c>
      <c r="AW32" s="14"/>
      <c r="AX32" s="13" t="s">
        <v>6</v>
      </c>
      <c r="AY32" s="10">
        <v>14</v>
      </c>
      <c r="AZ32" s="12">
        <v>174285.71428565</v>
      </c>
      <c r="BA32" s="10">
        <f t="shared" si="11"/>
        <v>6</v>
      </c>
      <c r="BB32" s="12">
        <f t="shared" si="12"/>
        <v>74380.952380940013</v>
      </c>
      <c r="BC32" s="11">
        <f t="shared" si="13"/>
        <v>0.74451858913277025</v>
      </c>
      <c r="BE32" s="14"/>
      <c r="BF32" s="13" t="s">
        <v>6</v>
      </c>
      <c r="BG32" s="10">
        <v>8</v>
      </c>
      <c r="BH32" s="12">
        <v>91619.047619010002</v>
      </c>
      <c r="BI32" s="10">
        <f t="shared" si="14"/>
        <v>-6</v>
      </c>
      <c r="BJ32" s="12">
        <f t="shared" si="15"/>
        <v>-82666.666666639998</v>
      </c>
      <c r="BK32" s="11">
        <f t="shared" si="16"/>
        <v>-0.47431693989073231</v>
      </c>
      <c r="BM32" s="14"/>
      <c r="BN32" s="13" t="s">
        <v>6</v>
      </c>
      <c r="BO32" s="10">
        <v>8</v>
      </c>
      <c r="BP32" s="12">
        <v>83999.999999959997</v>
      </c>
      <c r="BQ32" s="10">
        <f t="shared" si="17"/>
        <v>0</v>
      </c>
      <c r="BR32" s="12">
        <f t="shared" si="18"/>
        <v>-7619.0476190500049</v>
      </c>
      <c r="BS32" s="11">
        <f t="shared" si="19"/>
        <v>-8.3160083160143339E-2</v>
      </c>
      <c r="BU32" s="14"/>
      <c r="BV32" s="13" t="s">
        <v>6</v>
      </c>
      <c r="BW32" s="10">
        <v>3</v>
      </c>
      <c r="BX32" s="12">
        <v>27333</v>
      </c>
      <c r="BY32" s="10">
        <f t="shared" si="20"/>
        <v>-5</v>
      </c>
      <c r="BZ32" s="12">
        <f t="shared" si="21"/>
        <v>-56666.999999959997</v>
      </c>
      <c r="CA32" s="11">
        <f t="shared" si="22"/>
        <v>-0.67460714285698786</v>
      </c>
      <c r="CC32" s="14"/>
      <c r="CD32" s="13" t="s">
        <v>6</v>
      </c>
      <c r="CE32" s="10">
        <v>1</v>
      </c>
      <c r="CF32" s="12">
        <v>7524</v>
      </c>
      <c r="CG32" s="10">
        <f t="shared" si="23"/>
        <v>-2</v>
      </c>
      <c r="CH32" s="12">
        <f t="shared" si="24"/>
        <v>-19809</v>
      </c>
      <c r="CI32" s="11">
        <f t="shared" si="25"/>
        <v>-0.72472835034573591</v>
      </c>
      <c r="CK32" s="14"/>
      <c r="CL32" s="13" t="s">
        <v>6</v>
      </c>
      <c r="CN32" s="12"/>
      <c r="CO32" s="10">
        <f t="shared" si="26"/>
        <v>-1</v>
      </c>
      <c r="CP32" s="12">
        <f t="shared" si="27"/>
        <v>-7524</v>
      </c>
      <c r="CQ32" s="11">
        <f t="shared" si="28"/>
        <v>-1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52">
        <v>0</v>
      </c>
      <c r="AJ33" s="45">
        <v>0</v>
      </c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Q33" s="10">
        <v>0</v>
      </c>
      <c r="AR33" s="12">
        <v>0</v>
      </c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Y33" s="10">
        <v>2</v>
      </c>
      <c r="AZ33" s="12">
        <v>18980</v>
      </c>
      <c r="BA33" s="10">
        <f t="shared" si="11"/>
        <v>2</v>
      </c>
      <c r="BB33" s="12">
        <f t="shared" si="12"/>
        <v>18980</v>
      </c>
      <c r="BC33" s="11" t="e">
        <f t="shared" si="13"/>
        <v>#DIV/0!</v>
      </c>
      <c r="BE33" s="14"/>
      <c r="BF33" s="13" t="s">
        <v>5</v>
      </c>
      <c r="BG33" s="10">
        <v>2</v>
      </c>
      <c r="BH33" s="12">
        <v>11280</v>
      </c>
      <c r="BI33" s="10">
        <f t="shared" si="14"/>
        <v>0</v>
      </c>
      <c r="BJ33" s="12">
        <f t="shared" si="15"/>
        <v>-7700</v>
      </c>
      <c r="BK33" s="11">
        <f t="shared" si="16"/>
        <v>-0.40569020021074814</v>
      </c>
      <c r="BM33" s="14"/>
      <c r="BN33" s="13" t="s">
        <v>5</v>
      </c>
      <c r="BO33" s="10">
        <v>1</v>
      </c>
      <c r="BP33" s="12">
        <v>990</v>
      </c>
      <c r="BQ33" s="10">
        <f t="shared" si="17"/>
        <v>-1</v>
      </c>
      <c r="BR33" s="12">
        <f t="shared" si="18"/>
        <v>-10290</v>
      </c>
      <c r="BS33" s="11">
        <f t="shared" si="19"/>
        <v>-0.91223404255319152</v>
      </c>
      <c r="BU33" s="14"/>
      <c r="BV33" s="13" t="s">
        <v>5</v>
      </c>
      <c r="BW33" s="10">
        <v>0</v>
      </c>
      <c r="BX33" s="12">
        <v>0</v>
      </c>
      <c r="BY33" s="10">
        <f t="shared" si="20"/>
        <v>-1</v>
      </c>
      <c r="BZ33" s="12">
        <f t="shared" si="21"/>
        <v>-990</v>
      </c>
      <c r="CA33" s="11">
        <f t="shared" si="22"/>
        <v>-1</v>
      </c>
      <c r="CC33" s="14"/>
      <c r="CD33" s="13" t="s">
        <v>5</v>
      </c>
      <c r="CE33" s="10">
        <v>5</v>
      </c>
      <c r="CF33" s="12">
        <v>20650</v>
      </c>
      <c r="CG33" s="10">
        <f t="shared" si="23"/>
        <v>5</v>
      </c>
      <c r="CH33" s="12">
        <f t="shared" si="24"/>
        <v>20650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-5</v>
      </c>
      <c r="CP33" s="12">
        <f t="shared" si="27"/>
        <v>-20650</v>
      </c>
      <c r="CQ33" s="11">
        <f t="shared" si="28"/>
        <v>-1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>
        <v>2</v>
      </c>
      <c r="AJ34" s="45">
        <v>56952.380952370004</v>
      </c>
      <c r="AK34" s="10">
        <f t="shared" si="7"/>
        <v>0</v>
      </c>
      <c r="AL34" s="12">
        <f t="shared" si="7"/>
        <v>-65238.095238089998</v>
      </c>
      <c r="AM34" s="11">
        <f t="shared" si="8"/>
        <v>-0.53390491036635679</v>
      </c>
      <c r="AO34" s="14"/>
      <c r="AP34" s="13" t="s">
        <v>4</v>
      </c>
      <c r="AQ34" s="10">
        <v>2</v>
      </c>
      <c r="AR34" s="12">
        <v>49333.333333319999</v>
      </c>
      <c r="AS34" s="10">
        <f t="shared" si="9"/>
        <v>0</v>
      </c>
      <c r="AT34" s="12">
        <f t="shared" si="9"/>
        <v>-7619.0476190500049</v>
      </c>
      <c r="AU34" s="11">
        <f t="shared" si="10"/>
        <v>-0.13377926421411443</v>
      </c>
      <c r="AW34" s="14"/>
      <c r="AX34" s="13" t="s">
        <v>4</v>
      </c>
      <c r="AY34" s="10">
        <v>2</v>
      </c>
      <c r="AZ34" s="12">
        <v>128735.23809523</v>
      </c>
      <c r="BA34" s="10">
        <f t="shared" si="11"/>
        <v>0</v>
      </c>
      <c r="BB34" s="12">
        <f t="shared" si="12"/>
        <v>79401.904761910002</v>
      </c>
      <c r="BC34" s="11">
        <f t="shared" si="13"/>
        <v>1.6094980694986107</v>
      </c>
      <c r="BE34" s="14"/>
      <c r="BF34" s="13" t="s">
        <v>4</v>
      </c>
      <c r="BG34" s="10">
        <v>5</v>
      </c>
      <c r="BH34" s="12">
        <v>210856.19047617001</v>
      </c>
      <c r="BI34" s="10">
        <f t="shared" si="14"/>
        <v>3</v>
      </c>
      <c r="BJ34" s="12">
        <f t="shared" si="15"/>
        <v>82120.952380940013</v>
      </c>
      <c r="BK34" s="11">
        <f t="shared" si="16"/>
        <v>0.63790577930335002</v>
      </c>
      <c r="BM34" s="14"/>
      <c r="BN34" s="13" t="s">
        <v>4</v>
      </c>
      <c r="BO34" s="10">
        <v>3</v>
      </c>
      <c r="BP34" s="12">
        <v>70190.476190460002</v>
      </c>
      <c r="BQ34" s="10">
        <f t="shared" si="17"/>
        <v>-2</v>
      </c>
      <c r="BR34" s="12">
        <f t="shared" si="18"/>
        <v>-140665.71428571001</v>
      </c>
      <c r="BS34" s="11">
        <f t="shared" si="19"/>
        <v>-0.66711683431275592</v>
      </c>
      <c r="BU34" s="14"/>
      <c r="BV34" s="13" t="s">
        <v>4</v>
      </c>
      <c r="BW34" s="10">
        <v>6</v>
      </c>
      <c r="BX34" s="12">
        <v>173517</v>
      </c>
      <c r="BY34" s="10">
        <f t="shared" ref="BY34:BY60" si="32">BW34-BO34</f>
        <v>3</v>
      </c>
      <c r="BZ34" s="12">
        <f t="shared" si="21"/>
        <v>103326.52380954</v>
      </c>
      <c r="CA34" s="11">
        <f t="shared" si="22"/>
        <v>1.4720875169612215</v>
      </c>
      <c r="CC34" s="14"/>
      <c r="CD34" s="13" t="s">
        <v>4</v>
      </c>
      <c r="CE34" s="10">
        <v>4</v>
      </c>
      <c r="CF34" s="12">
        <v>116713</v>
      </c>
      <c r="CG34" s="10">
        <f t="shared" si="23"/>
        <v>-2</v>
      </c>
      <c r="CH34" s="12">
        <f t="shared" si="24"/>
        <v>-56804</v>
      </c>
      <c r="CI34" s="11">
        <f t="shared" si="25"/>
        <v>-0.32736849991643469</v>
      </c>
      <c r="CK34" s="14"/>
      <c r="CL34" s="13" t="s">
        <v>4</v>
      </c>
      <c r="CN34" s="12"/>
      <c r="CO34" s="10">
        <f t="shared" si="26"/>
        <v>-4</v>
      </c>
      <c r="CP34" s="12">
        <f t="shared" si="27"/>
        <v>-116713</v>
      </c>
      <c r="CQ34" s="11">
        <f t="shared" si="28"/>
        <v>-1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>
        <v>7</v>
      </c>
      <c r="AJ35" s="45">
        <v>134571.4285714</v>
      </c>
      <c r="AK35" s="10">
        <f t="shared" si="7"/>
        <v>1</v>
      </c>
      <c r="AL35" s="12">
        <f t="shared" si="7"/>
        <v>-95.23809523001546</v>
      </c>
      <c r="AM35" s="11">
        <f t="shared" si="8"/>
        <v>-7.0721357844090134E-4</v>
      </c>
      <c r="AO35" s="14"/>
      <c r="AP35" s="13" t="s">
        <v>3</v>
      </c>
      <c r="AQ35" s="10">
        <v>13</v>
      </c>
      <c r="AR35" s="12">
        <v>359714.28571423999</v>
      </c>
      <c r="AS35" s="10">
        <f t="shared" si="9"/>
        <v>6</v>
      </c>
      <c r="AT35" s="12">
        <f t="shared" si="9"/>
        <v>225142.85714283999</v>
      </c>
      <c r="AU35" s="11">
        <f t="shared" si="10"/>
        <v>1.6730360934184867</v>
      </c>
      <c r="AW35" s="14"/>
      <c r="AX35" s="13" t="s">
        <v>3</v>
      </c>
      <c r="AY35" s="10">
        <v>3</v>
      </c>
      <c r="AZ35" s="12">
        <v>52095.238095219996</v>
      </c>
      <c r="BA35" s="10">
        <f t="shared" si="11"/>
        <v>-10</v>
      </c>
      <c r="BB35" s="12">
        <f t="shared" si="12"/>
        <v>-307619.04761901998</v>
      </c>
      <c r="BC35" s="11">
        <f t="shared" si="13"/>
        <v>-0.85517606566060911</v>
      </c>
      <c r="BE35" s="14"/>
      <c r="BF35" s="13" t="s">
        <v>3</v>
      </c>
      <c r="BG35" s="10">
        <v>9</v>
      </c>
      <c r="BH35" s="12">
        <v>225619.04761899999</v>
      </c>
      <c r="BI35" s="10">
        <f t="shared" si="14"/>
        <v>6</v>
      </c>
      <c r="BJ35" s="12">
        <f t="shared" si="15"/>
        <v>173523.80952377999</v>
      </c>
      <c r="BK35" s="11">
        <f t="shared" si="16"/>
        <v>3.330895795247391</v>
      </c>
      <c r="BM35" s="14"/>
      <c r="BN35" s="13" t="s">
        <v>3</v>
      </c>
      <c r="BO35" s="10">
        <v>5</v>
      </c>
      <c r="BP35" s="12">
        <v>160476.19047617001</v>
      </c>
      <c r="BQ35" s="10">
        <f t="shared" si="17"/>
        <v>-4</v>
      </c>
      <c r="BR35" s="12">
        <f t="shared" si="18"/>
        <v>-65142.857142829977</v>
      </c>
      <c r="BS35" s="11">
        <f t="shared" si="19"/>
        <v>-0.28872942169685906</v>
      </c>
      <c r="BU35" s="14"/>
      <c r="BV35" s="13" t="s">
        <v>3</v>
      </c>
      <c r="BW35" s="10">
        <v>6</v>
      </c>
      <c r="BX35" s="12">
        <v>121143</v>
      </c>
      <c r="BY35" s="10">
        <f t="shared" si="32"/>
        <v>1</v>
      </c>
      <c r="BZ35" s="12">
        <f t="shared" si="21"/>
        <v>-39333.190476170013</v>
      </c>
      <c r="CA35" s="11">
        <f t="shared" si="22"/>
        <v>-0.24510296735895418</v>
      </c>
      <c r="CC35" s="14"/>
      <c r="CD35" s="13" t="s">
        <v>3</v>
      </c>
      <c r="CE35" s="10">
        <v>9</v>
      </c>
      <c r="CF35" s="12">
        <v>247714</v>
      </c>
      <c r="CG35" s="10">
        <f t="shared" si="23"/>
        <v>3</v>
      </c>
      <c r="CH35" s="12">
        <f t="shared" si="24"/>
        <v>126571</v>
      </c>
      <c r="CI35" s="11">
        <f t="shared" si="25"/>
        <v>1.044806550935671</v>
      </c>
      <c r="CK35" s="14"/>
      <c r="CL35" s="13" t="s">
        <v>3</v>
      </c>
      <c r="CN35" s="12"/>
      <c r="CO35" s="10">
        <f t="shared" si="26"/>
        <v>-9</v>
      </c>
      <c r="CP35" s="12">
        <f t="shared" si="27"/>
        <v>-247714</v>
      </c>
      <c r="CQ35" s="11">
        <f t="shared" si="28"/>
        <v>-1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>
        <v>19</v>
      </c>
      <c r="AJ36" s="45">
        <v>767812.38095233997</v>
      </c>
      <c r="AK36" s="10">
        <f t="shared" si="7"/>
        <v>6</v>
      </c>
      <c r="AL36" s="12">
        <f t="shared" si="7"/>
        <v>327145.71428568999</v>
      </c>
      <c r="AM36" s="11">
        <f t="shared" si="8"/>
        <v>0.74238815647284961</v>
      </c>
      <c r="AO36" s="14"/>
      <c r="AP36" s="13" t="s">
        <v>2</v>
      </c>
      <c r="AQ36" s="10">
        <v>10</v>
      </c>
      <c r="AR36" s="12">
        <v>352479.04761903</v>
      </c>
      <c r="AS36" s="10">
        <f t="shared" si="9"/>
        <v>-9</v>
      </c>
      <c r="AT36" s="12">
        <f t="shared" si="9"/>
        <v>-415333.33333330997</v>
      </c>
      <c r="AU36" s="11">
        <f t="shared" si="10"/>
        <v>-0.54093075813411606</v>
      </c>
      <c r="AW36" s="14"/>
      <c r="AX36" s="13" t="s">
        <v>2</v>
      </c>
      <c r="AY36" s="10">
        <v>16</v>
      </c>
      <c r="AZ36" s="12">
        <v>648098.09523805999</v>
      </c>
      <c r="BA36" s="10">
        <f t="shared" si="11"/>
        <v>6</v>
      </c>
      <c r="BB36" s="12">
        <f t="shared" si="12"/>
        <v>295619.04761903</v>
      </c>
      <c r="BC36" s="11">
        <f t="shared" si="13"/>
        <v>0.83868544702419867</v>
      </c>
      <c r="BE36" s="14"/>
      <c r="BF36" s="13" t="s">
        <v>2</v>
      </c>
      <c r="BG36" s="10">
        <v>8</v>
      </c>
      <c r="BH36" s="12">
        <v>314476.19047615997</v>
      </c>
      <c r="BI36" s="10">
        <f t="shared" si="14"/>
        <v>-8</v>
      </c>
      <c r="BJ36" s="12">
        <f t="shared" si="15"/>
        <v>-333621.90476190002</v>
      </c>
      <c r="BK36" s="11">
        <f t="shared" si="16"/>
        <v>-0.51477069167955769</v>
      </c>
      <c r="BM36" s="14"/>
      <c r="BN36" s="13" t="s">
        <v>2</v>
      </c>
      <c r="BO36" s="10">
        <v>8</v>
      </c>
      <c r="BP36" s="12">
        <v>280190.47619045997</v>
      </c>
      <c r="BQ36" s="10">
        <f t="shared" si="17"/>
        <v>0</v>
      </c>
      <c r="BR36" s="12">
        <f t="shared" si="18"/>
        <v>-34285.7142857</v>
      </c>
      <c r="BS36" s="11">
        <f t="shared" si="19"/>
        <v>-0.1090248334342474</v>
      </c>
      <c r="BU36" s="14"/>
      <c r="BV36" s="13" t="s">
        <v>2</v>
      </c>
      <c r="BW36" s="10">
        <v>9</v>
      </c>
      <c r="BX36" s="12">
        <v>324290</v>
      </c>
      <c r="BY36" s="10">
        <f t="shared" si="32"/>
        <v>1</v>
      </c>
      <c r="BZ36" s="12">
        <f t="shared" si="21"/>
        <v>44099.523809540027</v>
      </c>
      <c r="CA36" s="11">
        <f t="shared" si="22"/>
        <v>0.15739123045553946</v>
      </c>
      <c r="CC36" s="14"/>
      <c r="CD36" s="13" t="s">
        <v>2</v>
      </c>
      <c r="CE36" s="10">
        <v>4</v>
      </c>
      <c r="CF36" s="12">
        <v>142476</v>
      </c>
      <c r="CG36" s="10">
        <f t="shared" si="23"/>
        <v>-5</v>
      </c>
      <c r="CH36" s="12">
        <f t="shared" si="24"/>
        <v>-181814</v>
      </c>
      <c r="CI36" s="11">
        <f t="shared" si="25"/>
        <v>-0.56065250238983622</v>
      </c>
      <c r="CK36" s="14"/>
      <c r="CL36" s="13" t="s">
        <v>2</v>
      </c>
      <c r="CN36" s="12"/>
      <c r="CO36" s="10">
        <f t="shared" si="26"/>
        <v>-4</v>
      </c>
      <c r="CP36" s="12">
        <f t="shared" si="27"/>
        <v>-142476</v>
      </c>
      <c r="CQ36" s="11">
        <f t="shared" si="28"/>
        <v>-1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>
        <v>211</v>
      </c>
      <c r="AJ37" s="46">
        <v>1331179.99999941</v>
      </c>
      <c r="AK37" s="27">
        <f t="shared" si="7"/>
        <v>42</v>
      </c>
      <c r="AL37" s="28">
        <f t="shared" si="7"/>
        <v>269766.19047608995</v>
      </c>
      <c r="AM37" s="29">
        <f t="shared" si="8"/>
        <v>0.25415741537906095</v>
      </c>
      <c r="AO37" s="9" t="s">
        <v>11</v>
      </c>
      <c r="AP37" s="9"/>
      <c r="AQ37" s="8">
        <v>241</v>
      </c>
      <c r="AR37" s="7">
        <v>1176689.5238087301</v>
      </c>
      <c r="AS37" s="27">
        <f t="shared" si="9"/>
        <v>30</v>
      </c>
      <c r="AT37" s="28">
        <f t="shared" si="9"/>
        <v>-154490.47619067994</v>
      </c>
      <c r="AU37" s="29">
        <f t="shared" si="10"/>
        <v>-0.1160552864306468</v>
      </c>
      <c r="AW37" s="9" t="s">
        <v>11</v>
      </c>
      <c r="AX37" s="9"/>
      <c r="AY37" s="8">
        <v>198</v>
      </c>
      <c r="AZ37" s="7">
        <v>1255276.1904754699</v>
      </c>
      <c r="BA37" s="27">
        <f t="shared" si="11"/>
        <v>-43</v>
      </c>
      <c r="BB37" s="28">
        <f t="shared" si="12"/>
        <v>78586.666666739853</v>
      </c>
      <c r="BC37" s="29">
        <f t="shared" si="13"/>
        <v>6.6786238065899575E-2</v>
      </c>
      <c r="BE37" s="9" t="s">
        <v>11</v>
      </c>
      <c r="BF37" s="9"/>
      <c r="BG37" s="8">
        <v>249</v>
      </c>
      <c r="BH37" s="7">
        <v>1283470.47618953</v>
      </c>
      <c r="BI37" s="27">
        <f t="shared" si="14"/>
        <v>51</v>
      </c>
      <c r="BJ37" s="28">
        <f t="shared" si="15"/>
        <v>28194.285714060068</v>
      </c>
      <c r="BK37" s="29">
        <f t="shared" si="16"/>
        <v>2.2460623349655599E-2</v>
      </c>
      <c r="BM37" s="9" t="s">
        <v>11</v>
      </c>
      <c r="BN37" s="9"/>
      <c r="BO37" s="8">
        <v>174</v>
      </c>
      <c r="BP37" s="7">
        <v>855186.19047552999</v>
      </c>
      <c r="BQ37" s="27">
        <f t="shared" si="17"/>
        <v>-75</v>
      </c>
      <c r="BR37" s="28">
        <f t="shared" si="18"/>
        <v>-428284.285714</v>
      </c>
      <c r="BS37" s="29">
        <f t="shared" si="19"/>
        <v>-0.33369235495429916</v>
      </c>
      <c r="BU37" s="9" t="s">
        <v>11</v>
      </c>
      <c r="BV37" s="9"/>
      <c r="BW37" s="8">
        <v>187</v>
      </c>
      <c r="BX37" s="7">
        <v>896440</v>
      </c>
      <c r="BY37" s="27">
        <f t="shared" si="32"/>
        <v>13</v>
      </c>
      <c r="BZ37" s="28">
        <f t="shared" si="21"/>
        <v>41253.809524470009</v>
      </c>
      <c r="CA37" s="29">
        <f t="shared" si="22"/>
        <v>4.8239564651448186E-2</v>
      </c>
      <c r="CC37" s="9" t="s">
        <v>11</v>
      </c>
      <c r="CD37" s="9"/>
      <c r="CE37" s="8">
        <v>169</v>
      </c>
      <c r="CF37" s="7">
        <v>746967</v>
      </c>
      <c r="CG37" s="27">
        <f t="shared" si="23"/>
        <v>-18</v>
      </c>
      <c r="CH37" s="28">
        <f t="shared" si="24"/>
        <v>-149473</v>
      </c>
      <c r="CI37" s="29">
        <f t="shared" si="25"/>
        <v>-0.16674066306724378</v>
      </c>
      <c r="CK37" s="9" t="s">
        <v>11</v>
      </c>
      <c r="CL37" s="9"/>
      <c r="CM37" s="8"/>
      <c r="CN37" s="7"/>
      <c r="CO37" s="27">
        <f t="shared" si="26"/>
        <v>-169</v>
      </c>
      <c r="CP37" s="28">
        <f t="shared" si="27"/>
        <v>-746967</v>
      </c>
      <c r="CQ37" s="29">
        <f t="shared" si="28"/>
        <v>-1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>
        <v>1633</v>
      </c>
      <c r="AJ38" s="47"/>
      <c r="AK38" s="10">
        <f t="shared" si="7"/>
        <v>202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37</v>
      </c>
      <c r="AQ38" s="1">
        <v>2066</v>
      </c>
      <c r="AR38" s="35"/>
      <c r="AS38" s="10">
        <f t="shared" si="9"/>
        <v>433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37</v>
      </c>
      <c r="AY38" s="1">
        <v>1711</v>
      </c>
      <c r="AZ38" s="35"/>
      <c r="BA38" s="10">
        <f t="shared" si="11"/>
        <v>-355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G38" s="1">
        <v>1804</v>
      </c>
      <c r="BH38" s="35"/>
      <c r="BI38" s="10">
        <f t="shared" si="14"/>
        <v>93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37</v>
      </c>
      <c r="BO38" s="1">
        <v>1672</v>
      </c>
      <c r="BP38" s="35"/>
      <c r="BQ38" s="10">
        <f t="shared" si="17"/>
        <v>-132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37</v>
      </c>
      <c r="BW38" s="15">
        <v>1732</v>
      </c>
      <c r="BX38" s="33"/>
      <c r="BY38" s="10">
        <f t="shared" si="32"/>
        <v>60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37</v>
      </c>
      <c r="CE38" s="15">
        <v>2314</v>
      </c>
      <c r="CF38" s="33"/>
      <c r="CG38" s="10">
        <f t="shared" si="23"/>
        <v>582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-2314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>
        <v>5</v>
      </c>
      <c r="AJ39" s="47"/>
      <c r="AK39" s="10">
        <f t="shared" si="7"/>
        <v>4</v>
      </c>
      <c r="AL39" s="12">
        <f t="shared" si="7"/>
        <v>0</v>
      </c>
      <c r="AM39" s="11" t="e">
        <f t="shared" si="8"/>
        <v>#DIV/0!</v>
      </c>
      <c r="AO39" s="14"/>
      <c r="AP39" s="32" t="s">
        <v>38</v>
      </c>
      <c r="AQ39" s="1">
        <v>7</v>
      </c>
      <c r="AR39" s="35"/>
      <c r="AS39" s="10">
        <f t="shared" si="9"/>
        <v>2</v>
      </c>
      <c r="AT39" s="12">
        <f t="shared" si="9"/>
        <v>0</v>
      </c>
      <c r="AU39" s="11" t="e">
        <f t="shared" si="10"/>
        <v>#DIV/0!</v>
      </c>
      <c r="AW39" s="14"/>
      <c r="AX39" s="32" t="s">
        <v>38</v>
      </c>
      <c r="AY39" s="1">
        <v>2</v>
      </c>
      <c r="AZ39" s="35"/>
      <c r="BA39" s="10">
        <f t="shared" si="11"/>
        <v>-5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G39" s="1">
        <v>1</v>
      </c>
      <c r="BH39" s="35"/>
      <c r="BI39" s="10">
        <f t="shared" si="14"/>
        <v>-1</v>
      </c>
      <c r="BJ39" s="12">
        <f t="shared" si="15"/>
        <v>0</v>
      </c>
      <c r="BK39" s="11" t="e">
        <f t="shared" si="16"/>
        <v>#DIV/0!</v>
      </c>
      <c r="BM39" s="14"/>
      <c r="BN39" s="32" t="s">
        <v>38</v>
      </c>
      <c r="BO39" s="1">
        <v>2</v>
      </c>
      <c r="BP39" s="35"/>
      <c r="BQ39" s="10">
        <f t="shared" si="17"/>
        <v>1</v>
      </c>
      <c r="BR39" s="12">
        <f t="shared" si="18"/>
        <v>0</v>
      </c>
      <c r="BS39" s="11" t="e">
        <f t="shared" si="19"/>
        <v>#DIV/0!</v>
      </c>
      <c r="BU39" s="14"/>
      <c r="BV39" s="32" t="s">
        <v>38</v>
      </c>
      <c r="BW39" s="15">
        <v>1</v>
      </c>
      <c r="BX39" s="33"/>
      <c r="BY39" s="10">
        <f t="shared" si="32"/>
        <v>-1</v>
      </c>
      <c r="BZ39" s="12">
        <f t="shared" si="21"/>
        <v>0</v>
      </c>
      <c r="CA39" s="11" t="e">
        <f t="shared" si="22"/>
        <v>#DIV/0!</v>
      </c>
      <c r="CC39" s="14"/>
      <c r="CD39" s="32" t="s">
        <v>38</v>
      </c>
      <c r="CE39" s="15">
        <v>1</v>
      </c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-1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>
        <v>91</v>
      </c>
      <c r="AJ40" s="45">
        <v>82550.476190100031</v>
      </c>
      <c r="AK40" s="10">
        <f t="shared" si="7"/>
        <v>13</v>
      </c>
      <c r="AL40" s="12">
        <f t="shared" si="7"/>
        <v>15626.66666663003</v>
      </c>
      <c r="AM40" s="11">
        <f t="shared" si="8"/>
        <v>0.23349935961355875</v>
      </c>
      <c r="AO40" s="14"/>
      <c r="AP40" s="13" t="s">
        <v>9</v>
      </c>
      <c r="AQ40" s="10">
        <v>109</v>
      </c>
      <c r="AR40" s="12">
        <v>103550.4761899</v>
      </c>
      <c r="AS40" s="10">
        <f t="shared" si="9"/>
        <v>18</v>
      </c>
      <c r="AT40" s="12">
        <f t="shared" si="9"/>
        <v>20999.999999799969</v>
      </c>
      <c r="AU40" s="11">
        <f t="shared" si="10"/>
        <v>0.25438981056197008</v>
      </c>
      <c r="AW40" s="14"/>
      <c r="AX40" s="13" t="s">
        <v>9</v>
      </c>
      <c r="AY40" s="10">
        <v>97</v>
      </c>
      <c r="AZ40" s="12">
        <v>90916.190475729993</v>
      </c>
      <c r="BA40" s="10">
        <f t="shared" si="11"/>
        <v>-12</v>
      </c>
      <c r="BB40" s="12">
        <f t="shared" si="12"/>
        <v>-12634.285714170008</v>
      </c>
      <c r="BC40" s="11">
        <f t="shared" si="13"/>
        <v>-0.12201088955882868</v>
      </c>
      <c r="BE40" s="14"/>
      <c r="BF40" s="13" t="s">
        <v>9</v>
      </c>
      <c r="BG40" s="10">
        <v>101</v>
      </c>
      <c r="BH40" s="12">
        <v>96915.23809472</v>
      </c>
      <c r="BI40" s="10">
        <f t="shared" si="14"/>
        <v>4</v>
      </c>
      <c r="BJ40" s="12">
        <f t="shared" si="15"/>
        <v>5999.0476189900073</v>
      </c>
      <c r="BK40" s="11">
        <f t="shared" si="16"/>
        <v>6.5984370744080492E-2</v>
      </c>
      <c r="BM40" s="14"/>
      <c r="BN40" s="13" t="s">
        <v>9</v>
      </c>
      <c r="BO40" s="10">
        <v>104</v>
      </c>
      <c r="BP40" s="12">
        <v>76006.666666129997</v>
      </c>
      <c r="BQ40" s="10">
        <f t="shared" si="17"/>
        <v>3</v>
      </c>
      <c r="BR40" s="12">
        <f t="shared" si="18"/>
        <v>-20908.571428590003</v>
      </c>
      <c r="BS40" s="11">
        <f t="shared" si="19"/>
        <v>-0.21574080443526367</v>
      </c>
      <c r="BU40" s="14"/>
      <c r="BV40" s="13" t="s">
        <v>9</v>
      </c>
      <c r="BW40" s="10">
        <v>79</v>
      </c>
      <c r="BX40" s="12">
        <v>66290</v>
      </c>
      <c r="BY40" s="10">
        <f t="shared" si="32"/>
        <v>-25</v>
      </c>
      <c r="BZ40" s="12">
        <f t="shared" si="21"/>
        <v>-9716.6666661299969</v>
      </c>
      <c r="CA40" s="11">
        <f t="shared" si="22"/>
        <v>-0.12783966318128154</v>
      </c>
      <c r="CC40" s="14"/>
      <c r="CD40" s="13" t="s">
        <v>9</v>
      </c>
      <c r="CE40" s="10">
        <v>105</v>
      </c>
      <c r="CF40" s="12">
        <v>99201</v>
      </c>
      <c r="CG40" s="10">
        <f t="shared" si="23"/>
        <v>26</v>
      </c>
      <c r="CH40" s="12">
        <f t="shared" si="24"/>
        <v>32911</v>
      </c>
      <c r="CI40" s="11">
        <f t="shared" si="25"/>
        <v>0.49647005581535675</v>
      </c>
      <c r="CK40" s="14"/>
      <c r="CL40" s="13" t="s">
        <v>9</v>
      </c>
      <c r="CN40" s="12"/>
      <c r="CO40" s="10">
        <f t="shared" si="26"/>
        <v>-105</v>
      </c>
      <c r="CP40" s="12">
        <f t="shared" si="27"/>
        <v>-99201</v>
      </c>
      <c r="CQ40" s="11">
        <f t="shared" si="28"/>
        <v>-1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>
        <v>68</v>
      </c>
      <c r="AJ41" s="45">
        <v>62773.333333250011</v>
      </c>
      <c r="AK41" s="10">
        <f t="shared" si="7"/>
        <v>-1</v>
      </c>
      <c r="AL41" s="12">
        <f t="shared" si="7"/>
        <v>-131.42857142999856</v>
      </c>
      <c r="AM41" s="11">
        <f t="shared" si="8"/>
        <v>-2.0893262680042111E-3</v>
      </c>
      <c r="AO41" s="14"/>
      <c r="AP41" s="13" t="s">
        <v>8</v>
      </c>
      <c r="AQ41" s="10">
        <v>79</v>
      </c>
      <c r="AR41" s="12">
        <v>104352.38095211</v>
      </c>
      <c r="AS41" s="10">
        <f t="shared" si="9"/>
        <v>11</v>
      </c>
      <c r="AT41" s="12">
        <f t="shared" si="9"/>
        <v>41579.047618859993</v>
      </c>
      <c r="AU41" s="11">
        <f t="shared" si="10"/>
        <v>0.66236800582384003</v>
      </c>
      <c r="AW41" s="14"/>
      <c r="AX41" s="13" t="s">
        <v>8</v>
      </c>
      <c r="AY41" s="10">
        <v>64</v>
      </c>
      <c r="AZ41" s="12">
        <v>71868.571428339987</v>
      </c>
      <c r="BA41" s="10">
        <f t="shared" si="11"/>
        <v>-15</v>
      </c>
      <c r="BB41" s="12">
        <f t="shared" si="12"/>
        <v>-32483.809523770018</v>
      </c>
      <c r="BC41" s="11">
        <f t="shared" si="13"/>
        <v>-0.31128958656609546</v>
      </c>
      <c r="BE41" s="14"/>
      <c r="BF41" s="13" t="s">
        <v>8</v>
      </c>
      <c r="BG41" s="10">
        <v>83</v>
      </c>
      <c r="BH41" s="12">
        <v>102161.90476165</v>
      </c>
      <c r="BI41" s="10">
        <f t="shared" si="14"/>
        <v>19</v>
      </c>
      <c r="BJ41" s="12">
        <f t="shared" si="15"/>
        <v>30293.333333310016</v>
      </c>
      <c r="BK41" s="11">
        <f t="shared" si="16"/>
        <v>0.42151016405711417</v>
      </c>
      <c r="BM41" s="14"/>
      <c r="BN41" s="13" t="s">
        <v>8</v>
      </c>
      <c r="BO41" s="10">
        <v>66</v>
      </c>
      <c r="BP41" s="12">
        <v>85561.90476166</v>
      </c>
      <c r="BQ41" s="10">
        <f t="shared" si="17"/>
        <v>-17</v>
      </c>
      <c r="BR41" s="12">
        <f t="shared" si="18"/>
        <v>-16599.999999990003</v>
      </c>
      <c r="BS41" s="11">
        <f t="shared" si="19"/>
        <v>-0.16248718187781269</v>
      </c>
      <c r="BU41" s="14"/>
      <c r="BV41" s="13" t="s">
        <v>8</v>
      </c>
      <c r="BW41" s="10">
        <v>98</v>
      </c>
      <c r="BX41" s="12">
        <v>87552</v>
      </c>
      <c r="BY41" s="10">
        <f t="shared" si="32"/>
        <v>32</v>
      </c>
      <c r="BZ41" s="12">
        <f t="shared" si="21"/>
        <v>1990.0952383399999</v>
      </c>
      <c r="CA41" s="11">
        <f t="shared" si="22"/>
        <v>2.3259127340416047E-2</v>
      </c>
      <c r="CC41" s="14"/>
      <c r="CD41" s="13" t="s">
        <v>8</v>
      </c>
      <c r="CE41" s="10">
        <v>103</v>
      </c>
      <c r="CF41" s="12">
        <v>116981</v>
      </c>
      <c r="CG41" s="10">
        <f t="shared" si="23"/>
        <v>5</v>
      </c>
      <c r="CH41" s="12">
        <f t="shared" si="24"/>
        <v>29429</v>
      </c>
      <c r="CI41" s="11">
        <f t="shared" si="25"/>
        <v>0.33613167032163743</v>
      </c>
      <c r="CK41" s="14"/>
      <c r="CL41" s="13" t="s">
        <v>8</v>
      </c>
      <c r="CN41" s="12"/>
      <c r="CO41" s="10">
        <f t="shared" si="26"/>
        <v>-103</v>
      </c>
      <c r="CP41" s="12">
        <f t="shared" si="27"/>
        <v>-116981</v>
      </c>
      <c r="CQ41" s="11">
        <f t="shared" si="28"/>
        <v>-1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>
        <v>11</v>
      </c>
      <c r="AJ42" s="45">
        <v>61323.809523799995</v>
      </c>
      <c r="AK42" s="10">
        <f t="shared" si="7"/>
        <v>2</v>
      </c>
      <c r="AL42" s="12">
        <f t="shared" si="7"/>
        <v>5695.2380952399981</v>
      </c>
      <c r="AM42" s="11">
        <f t="shared" si="8"/>
        <v>0.10237972949842881</v>
      </c>
      <c r="AO42" s="14"/>
      <c r="AP42" s="13" t="s">
        <v>7</v>
      </c>
      <c r="AQ42" s="10">
        <v>22</v>
      </c>
      <c r="AR42" s="12">
        <v>154076.19047616</v>
      </c>
      <c r="AS42" s="10">
        <f t="shared" si="9"/>
        <v>11</v>
      </c>
      <c r="AT42" s="12">
        <f t="shared" si="9"/>
        <v>92752.380952360007</v>
      </c>
      <c r="AU42" s="11">
        <f t="shared" si="10"/>
        <v>1.5125019412951257</v>
      </c>
      <c r="AW42" s="14"/>
      <c r="AX42" s="13" t="s">
        <v>7</v>
      </c>
      <c r="AY42" s="10">
        <v>12</v>
      </c>
      <c r="AZ42" s="12">
        <v>94171.4285714</v>
      </c>
      <c r="BA42" s="10">
        <f t="shared" si="11"/>
        <v>-10</v>
      </c>
      <c r="BB42" s="12">
        <f t="shared" si="12"/>
        <v>-59904.761904760002</v>
      </c>
      <c r="BC42" s="11">
        <f t="shared" si="13"/>
        <v>-0.38879960440110301</v>
      </c>
      <c r="BE42" s="14"/>
      <c r="BF42" s="13" t="s">
        <v>7</v>
      </c>
      <c r="BG42" s="10">
        <v>11</v>
      </c>
      <c r="BH42" s="12">
        <v>77038.095238080001</v>
      </c>
      <c r="BI42" s="10">
        <f t="shared" si="14"/>
        <v>-1</v>
      </c>
      <c r="BJ42" s="12">
        <f t="shared" si="15"/>
        <v>-17133.333333319999</v>
      </c>
      <c r="BK42" s="11">
        <f t="shared" si="16"/>
        <v>-0.18193770226528577</v>
      </c>
      <c r="BM42" s="14"/>
      <c r="BN42" s="13" t="s">
        <v>7</v>
      </c>
      <c r="BO42" s="10">
        <v>4</v>
      </c>
      <c r="BP42" s="12">
        <v>27104.761904750001</v>
      </c>
      <c r="BQ42" s="10">
        <f t="shared" si="17"/>
        <v>-7</v>
      </c>
      <c r="BR42" s="12">
        <f t="shared" si="18"/>
        <v>-49933.333333329996</v>
      </c>
      <c r="BS42" s="11">
        <f t="shared" si="19"/>
        <v>-0.64816417356912925</v>
      </c>
      <c r="BU42" s="14"/>
      <c r="BV42" s="13" t="s">
        <v>7</v>
      </c>
      <c r="BW42" s="10">
        <v>11</v>
      </c>
      <c r="BX42" s="12">
        <v>61324</v>
      </c>
      <c r="BY42" s="10">
        <f t="shared" si="32"/>
        <v>7</v>
      </c>
      <c r="BZ42" s="12">
        <f t="shared" si="21"/>
        <v>34219.238095249995</v>
      </c>
      <c r="CA42" s="11">
        <f t="shared" si="22"/>
        <v>1.2624806746320547</v>
      </c>
      <c r="CC42" s="14"/>
      <c r="CD42" s="13" t="s">
        <v>7</v>
      </c>
      <c r="CE42" s="10">
        <v>10</v>
      </c>
      <c r="CF42" s="12">
        <v>75905</v>
      </c>
      <c r="CG42" s="10">
        <f t="shared" si="23"/>
        <v>-1</v>
      </c>
      <c r="CH42" s="12">
        <f t="shared" si="24"/>
        <v>14581</v>
      </c>
      <c r="CI42" s="11">
        <f t="shared" si="25"/>
        <v>0.23776987802491684</v>
      </c>
      <c r="CK42" s="14"/>
      <c r="CL42" s="13" t="s">
        <v>7</v>
      </c>
      <c r="CN42" s="12"/>
      <c r="CO42" s="10">
        <f t="shared" si="26"/>
        <v>-10</v>
      </c>
      <c r="CP42" s="12">
        <f t="shared" si="27"/>
        <v>-75905</v>
      </c>
      <c r="CQ42" s="11">
        <f t="shared" si="28"/>
        <v>-1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>
        <v>7</v>
      </c>
      <c r="AJ43" s="45">
        <v>65047.619047600005</v>
      </c>
      <c r="AK43" s="10">
        <f t="shared" si="7"/>
        <v>-7</v>
      </c>
      <c r="AL43" s="12">
        <f t="shared" si="7"/>
        <v>-105047.61904760999</v>
      </c>
      <c r="AM43" s="11">
        <f t="shared" si="8"/>
        <v>-0.61758118701012721</v>
      </c>
      <c r="AO43" s="14"/>
      <c r="AP43" s="13" t="s">
        <v>6</v>
      </c>
      <c r="AQ43" s="10">
        <v>12</v>
      </c>
      <c r="AR43" s="12">
        <v>109333.33333331</v>
      </c>
      <c r="AS43" s="10">
        <f t="shared" si="9"/>
        <v>5</v>
      </c>
      <c r="AT43" s="12">
        <f t="shared" si="9"/>
        <v>44285.714285709997</v>
      </c>
      <c r="AU43" s="11">
        <f t="shared" si="10"/>
        <v>0.68081991215240278</v>
      </c>
      <c r="AW43" s="14"/>
      <c r="AX43" s="13" t="s">
        <v>6</v>
      </c>
      <c r="AY43" s="10">
        <v>5</v>
      </c>
      <c r="AZ43" s="12">
        <v>54761.904761880003</v>
      </c>
      <c r="BA43" s="10">
        <f t="shared" si="11"/>
        <v>-7</v>
      </c>
      <c r="BB43" s="12">
        <f t="shared" si="12"/>
        <v>-54571.428571429999</v>
      </c>
      <c r="BC43" s="11">
        <f t="shared" si="13"/>
        <v>-0.49912891986074676</v>
      </c>
      <c r="BE43" s="14"/>
      <c r="BF43" s="13" t="s">
        <v>6</v>
      </c>
      <c r="BG43" s="10">
        <v>5</v>
      </c>
      <c r="BH43" s="12">
        <v>54761.904761880003</v>
      </c>
      <c r="BI43" s="10">
        <f t="shared" si="14"/>
        <v>0</v>
      </c>
      <c r="BJ43" s="12">
        <f t="shared" si="15"/>
        <v>0</v>
      </c>
      <c r="BK43" s="11">
        <f t="shared" si="16"/>
        <v>0</v>
      </c>
      <c r="BM43" s="14"/>
      <c r="BN43" s="13" t="s">
        <v>6</v>
      </c>
      <c r="BO43" s="10">
        <v>2</v>
      </c>
      <c r="BP43" s="12">
        <v>16952.380952380001</v>
      </c>
      <c r="BQ43" s="10">
        <f t="shared" si="17"/>
        <v>-3</v>
      </c>
      <c r="BR43" s="12">
        <f t="shared" si="18"/>
        <v>-37809.523809500002</v>
      </c>
      <c r="BS43" s="11">
        <f t="shared" si="19"/>
        <v>-0.69043478260857305</v>
      </c>
      <c r="BU43" s="14"/>
      <c r="BV43" s="13" t="s">
        <v>6</v>
      </c>
      <c r="BW43" s="10">
        <v>3</v>
      </c>
      <c r="BX43" s="12">
        <v>27333</v>
      </c>
      <c r="BY43" s="10">
        <f t="shared" si="32"/>
        <v>1</v>
      </c>
      <c r="BZ43" s="12">
        <f t="shared" si="21"/>
        <v>10380.619047619999</v>
      </c>
      <c r="CA43" s="11">
        <f t="shared" si="22"/>
        <v>0.61233988764053993</v>
      </c>
      <c r="CC43" s="14"/>
      <c r="CD43" s="13" t="s">
        <v>6</v>
      </c>
      <c r="CE43" s="10">
        <v>2</v>
      </c>
      <c r="CF43" s="12">
        <v>15048</v>
      </c>
      <c r="CG43" s="10">
        <f t="shared" si="23"/>
        <v>-1</v>
      </c>
      <c r="CH43" s="12">
        <f t="shared" si="24"/>
        <v>-12285</v>
      </c>
      <c r="CI43" s="11">
        <f t="shared" si="25"/>
        <v>-0.44945670069147187</v>
      </c>
      <c r="CK43" s="14"/>
      <c r="CL43" s="13" t="s">
        <v>6</v>
      </c>
      <c r="CN43" s="12"/>
      <c r="CO43" s="10">
        <f t="shared" si="26"/>
        <v>-2</v>
      </c>
      <c r="CP43" s="12">
        <f t="shared" si="27"/>
        <v>-15048</v>
      </c>
      <c r="CQ43" s="11">
        <f t="shared" si="28"/>
        <v>-1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>
        <v>1</v>
      </c>
      <c r="AJ44" s="45">
        <v>0</v>
      </c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Q44" s="10">
        <v>3</v>
      </c>
      <c r="AR44" s="12">
        <v>9490</v>
      </c>
      <c r="AS44" s="10">
        <f t="shared" si="9"/>
        <v>2</v>
      </c>
      <c r="AT44" s="12">
        <f t="shared" si="9"/>
        <v>9490</v>
      </c>
      <c r="AU44" s="11" t="e">
        <f t="shared" si="10"/>
        <v>#DIV/0!</v>
      </c>
      <c r="AW44" s="14"/>
      <c r="AX44" s="13" t="s">
        <v>5</v>
      </c>
      <c r="AY44" s="10">
        <v>0</v>
      </c>
      <c r="AZ44" s="12">
        <v>0</v>
      </c>
      <c r="BA44" s="10">
        <f t="shared" si="11"/>
        <v>-3</v>
      </c>
      <c r="BB44" s="12">
        <f t="shared" si="12"/>
        <v>-9490</v>
      </c>
      <c r="BC44" s="11">
        <f t="shared" si="13"/>
        <v>-1</v>
      </c>
      <c r="BE44" s="14"/>
      <c r="BF44" s="13" t="s">
        <v>5</v>
      </c>
      <c r="BG44" s="10">
        <v>3</v>
      </c>
      <c r="BH44" s="12">
        <v>15270</v>
      </c>
      <c r="BI44" s="10">
        <f t="shared" si="14"/>
        <v>3</v>
      </c>
      <c r="BJ44" s="12">
        <f t="shared" si="15"/>
        <v>15270</v>
      </c>
      <c r="BK44" s="11" t="e">
        <f t="shared" si="16"/>
        <v>#DIV/0!</v>
      </c>
      <c r="BM44" s="14"/>
      <c r="BN44" s="13" t="s">
        <v>5</v>
      </c>
      <c r="BO44" s="10">
        <v>2</v>
      </c>
      <c r="BP44" s="12">
        <v>4608</v>
      </c>
      <c r="BQ44" s="10">
        <f t="shared" si="17"/>
        <v>-1</v>
      </c>
      <c r="BR44" s="12">
        <f t="shared" si="18"/>
        <v>-10662</v>
      </c>
      <c r="BS44" s="11">
        <f t="shared" si="19"/>
        <v>-0.69823182711198428</v>
      </c>
      <c r="BU44" s="14"/>
      <c r="BV44" s="13" t="s">
        <v>5</v>
      </c>
      <c r="BW44" s="10">
        <v>2</v>
      </c>
      <c r="BX44" s="12">
        <v>10680</v>
      </c>
      <c r="BY44" s="10">
        <f t="shared" si="32"/>
        <v>0</v>
      </c>
      <c r="BZ44" s="12">
        <f t="shared" si="21"/>
        <v>6072</v>
      </c>
      <c r="CA44" s="11">
        <f t="shared" si="22"/>
        <v>1.3177083333333333</v>
      </c>
      <c r="CC44" s="14"/>
      <c r="CD44" s="13" t="s">
        <v>5</v>
      </c>
      <c r="CE44" s="50">
        <v>1</v>
      </c>
      <c r="CF44" s="50">
        <v>6990</v>
      </c>
      <c r="CG44" s="10">
        <f t="shared" si="23"/>
        <v>-1</v>
      </c>
      <c r="CH44" s="12">
        <f t="shared" si="24"/>
        <v>-3690</v>
      </c>
      <c r="CI44" s="11">
        <f t="shared" si="25"/>
        <v>-0.3455056179775281</v>
      </c>
      <c r="CK44" s="14"/>
      <c r="CL44" s="13" t="s">
        <v>5</v>
      </c>
      <c r="CN44" s="12"/>
      <c r="CO44" s="10">
        <f t="shared" si="26"/>
        <v>-1</v>
      </c>
      <c r="CP44" s="12">
        <f t="shared" si="27"/>
        <v>-6990</v>
      </c>
      <c r="CQ44" s="11">
        <f t="shared" si="28"/>
        <v>-1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>
        <v>3</v>
      </c>
      <c r="AJ45" s="45">
        <v>103228.57142856001</v>
      </c>
      <c r="AK45" s="10">
        <f t="shared" si="7"/>
        <v>-1</v>
      </c>
      <c r="AL45" s="12">
        <f t="shared" si="7"/>
        <v>-31597.142857139988</v>
      </c>
      <c r="AM45" s="11">
        <f t="shared" si="8"/>
        <v>-0.23435546419716816</v>
      </c>
      <c r="AO45" s="14"/>
      <c r="AP45" s="13" t="s">
        <v>4</v>
      </c>
      <c r="AQ45" s="10">
        <v>6</v>
      </c>
      <c r="AR45" s="12">
        <v>261334.28571425</v>
      </c>
      <c r="AS45" s="10">
        <f t="shared" si="9"/>
        <v>3</v>
      </c>
      <c r="AT45" s="12">
        <f t="shared" si="9"/>
        <v>158105.71428568999</v>
      </c>
      <c r="AU45" s="11">
        <f t="shared" si="10"/>
        <v>1.5316080819263109</v>
      </c>
      <c r="AW45" s="14"/>
      <c r="AX45" s="13" t="s">
        <v>4</v>
      </c>
      <c r="AY45" s="10">
        <v>2</v>
      </c>
      <c r="AZ45" s="12">
        <v>46476.190476180003</v>
      </c>
      <c r="BA45" s="10">
        <f t="shared" si="11"/>
        <v>-4</v>
      </c>
      <c r="BB45" s="12">
        <f t="shared" si="12"/>
        <v>-214858.09523807</v>
      </c>
      <c r="BC45" s="11">
        <f t="shared" si="13"/>
        <v>-0.82215808251429234</v>
      </c>
      <c r="BE45" s="14"/>
      <c r="BF45" s="13" t="s">
        <v>4</v>
      </c>
      <c r="BG45" s="10">
        <v>4</v>
      </c>
      <c r="BH45" s="12">
        <v>129160.95238094</v>
      </c>
      <c r="BI45" s="10">
        <f t="shared" si="14"/>
        <v>2</v>
      </c>
      <c r="BJ45" s="12">
        <f t="shared" si="15"/>
        <v>82684.761904760002</v>
      </c>
      <c r="BK45" s="11">
        <f t="shared" si="16"/>
        <v>1.779077868852819</v>
      </c>
      <c r="BM45" s="14"/>
      <c r="BN45" s="13" t="s">
        <v>4</v>
      </c>
      <c r="BO45" s="10">
        <v>7</v>
      </c>
      <c r="BP45" s="12">
        <v>214542.85714281001</v>
      </c>
      <c r="BQ45" s="10">
        <f t="shared" si="17"/>
        <v>3</v>
      </c>
      <c r="BR45" s="12">
        <f t="shared" si="18"/>
        <v>85381.904761870013</v>
      </c>
      <c r="BS45" s="11">
        <f t="shared" si="19"/>
        <v>0.66105044278435998</v>
      </c>
      <c r="BU45" s="14"/>
      <c r="BV45" s="13" t="s">
        <v>4</v>
      </c>
      <c r="BW45" s="10">
        <v>8</v>
      </c>
      <c r="BX45" s="12">
        <v>258722</v>
      </c>
      <c r="BY45" s="10">
        <f t="shared" si="32"/>
        <v>1</v>
      </c>
      <c r="BZ45" s="12">
        <f t="shared" si="21"/>
        <v>44179.142857189989</v>
      </c>
      <c r="CA45" s="11">
        <f t="shared" si="22"/>
        <v>0.20592222666160465</v>
      </c>
      <c r="CC45" s="14"/>
      <c r="CD45" s="13" t="s">
        <v>4</v>
      </c>
      <c r="CE45" s="50">
        <v>4</v>
      </c>
      <c r="CF45" s="50">
        <v>112952</v>
      </c>
      <c r="CG45" s="10">
        <f t="shared" si="23"/>
        <v>-4</v>
      </c>
      <c r="CH45" s="12">
        <f t="shared" si="24"/>
        <v>-145770</v>
      </c>
      <c r="CI45" s="11">
        <f t="shared" si="25"/>
        <v>-0.56342328831718991</v>
      </c>
      <c r="CK45" s="14"/>
      <c r="CL45" s="13" t="s">
        <v>4</v>
      </c>
      <c r="CN45" s="12"/>
      <c r="CO45" s="10">
        <f t="shared" si="26"/>
        <v>-4</v>
      </c>
      <c r="CP45" s="12">
        <f t="shared" si="27"/>
        <v>-112952</v>
      </c>
      <c r="CQ45" s="11">
        <f t="shared" si="28"/>
        <v>-1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>
        <v>7</v>
      </c>
      <c r="AJ46" s="45">
        <v>145999.99999997998</v>
      </c>
      <c r="AK46" s="10">
        <f t="shared" si="7"/>
        <v>5</v>
      </c>
      <c r="AL46" s="12">
        <f t="shared" si="7"/>
        <v>106380.95238093997</v>
      </c>
      <c r="AM46" s="11">
        <f t="shared" si="8"/>
        <v>2.6850961538463567</v>
      </c>
      <c r="AO46" s="14"/>
      <c r="AP46" s="13" t="s">
        <v>3</v>
      </c>
      <c r="AQ46" s="10">
        <v>8</v>
      </c>
      <c r="AR46" s="12">
        <v>179333.33333329999</v>
      </c>
      <c r="AS46" s="10">
        <f t="shared" si="9"/>
        <v>1</v>
      </c>
      <c r="AT46" s="12">
        <f t="shared" si="9"/>
        <v>33333.333333320013</v>
      </c>
      <c r="AU46" s="11">
        <f t="shared" si="10"/>
        <v>0.22831050228304511</v>
      </c>
      <c r="AW46" s="14"/>
      <c r="AX46" s="13" t="s">
        <v>3</v>
      </c>
      <c r="AY46" s="10">
        <v>7</v>
      </c>
      <c r="AZ46" s="12">
        <v>201142.85714281999</v>
      </c>
      <c r="BA46" s="10">
        <f t="shared" si="11"/>
        <v>-1</v>
      </c>
      <c r="BB46" s="12">
        <f t="shared" si="12"/>
        <v>21809.523809520004</v>
      </c>
      <c r="BC46" s="11">
        <f t="shared" si="13"/>
        <v>0.12161444503452078</v>
      </c>
      <c r="BE46" s="14"/>
      <c r="BF46" s="13" t="s">
        <v>3</v>
      </c>
      <c r="BG46" s="10">
        <v>9</v>
      </c>
      <c r="BH46" s="12">
        <v>215809.52380947</v>
      </c>
      <c r="BI46" s="10">
        <f t="shared" si="14"/>
        <v>2</v>
      </c>
      <c r="BJ46" s="12">
        <f t="shared" si="15"/>
        <v>14666.66666665001</v>
      </c>
      <c r="BK46" s="11">
        <f t="shared" si="16"/>
        <v>7.2916666666597324E-2</v>
      </c>
      <c r="BM46" s="14"/>
      <c r="BN46" s="13" t="s">
        <v>3</v>
      </c>
      <c r="BO46" s="10">
        <v>13</v>
      </c>
      <c r="BP46" s="12">
        <v>245238.09523802</v>
      </c>
      <c r="BQ46" s="10">
        <f t="shared" si="17"/>
        <v>4</v>
      </c>
      <c r="BR46" s="12">
        <f t="shared" si="18"/>
        <v>29428.57142855</v>
      </c>
      <c r="BS46" s="11">
        <f t="shared" si="19"/>
        <v>0.13636363636357107</v>
      </c>
      <c r="BU46" s="14"/>
      <c r="BV46" s="13" t="s">
        <v>3</v>
      </c>
      <c r="BW46" s="10">
        <v>9</v>
      </c>
      <c r="BX46" s="12">
        <v>187810</v>
      </c>
      <c r="BY46" s="10">
        <f t="shared" si="32"/>
        <v>-4</v>
      </c>
      <c r="BZ46" s="12">
        <f t="shared" si="21"/>
        <v>-57428.095238020003</v>
      </c>
      <c r="CA46" s="11">
        <f t="shared" si="22"/>
        <v>-0.23417281553374564</v>
      </c>
      <c r="CC46" s="14"/>
      <c r="CD46" s="13" t="s">
        <v>3</v>
      </c>
      <c r="CE46" s="50">
        <v>24</v>
      </c>
      <c r="CF46" s="50">
        <v>543524</v>
      </c>
      <c r="CG46" s="10">
        <f t="shared" si="23"/>
        <v>15</v>
      </c>
      <c r="CH46" s="12">
        <f t="shared" si="24"/>
        <v>355714</v>
      </c>
      <c r="CI46" s="11">
        <f t="shared" si="25"/>
        <v>1.894009903626005</v>
      </c>
      <c r="CK46" s="14"/>
      <c r="CL46" s="13" t="s">
        <v>3</v>
      </c>
      <c r="CN46" s="12"/>
      <c r="CO46" s="10">
        <f t="shared" si="26"/>
        <v>-24</v>
      </c>
      <c r="CP46" s="12">
        <f t="shared" si="27"/>
        <v>-543524</v>
      </c>
      <c r="CQ46" s="11">
        <f t="shared" si="28"/>
        <v>-1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>
        <v>19</v>
      </c>
      <c r="AJ47" s="45">
        <v>663904.76190473</v>
      </c>
      <c r="AK47" s="10">
        <f t="shared" si="7"/>
        <v>6</v>
      </c>
      <c r="AL47" s="12">
        <f t="shared" si="7"/>
        <v>187047.61904761003</v>
      </c>
      <c r="AM47" s="11">
        <f t="shared" si="8"/>
        <v>0.39225084881166361</v>
      </c>
      <c r="AO47" s="14"/>
      <c r="AP47" s="13" t="s">
        <v>2</v>
      </c>
      <c r="AQ47" s="10">
        <v>24</v>
      </c>
      <c r="AR47" s="12">
        <v>922476.19047615991</v>
      </c>
      <c r="AS47" s="10">
        <f t="shared" si="9"/>
        <v>5</v>
      </c>
      <c r="AT47" s="12">
        <f t="shared" si="9"/>
        <v>258571.42857142992</v>
      </c>
      <c r="AU47" s="11">
        <f t="shared" si="10"/>
        <v>0.38947066418019577</v>
      </c>
      <c r="AW47" s="14"/>
      <c r="AX47" s="13" t="s">
        <v>2</v>
      </c>
      <c r="AY47" s="10">
        <v>16</v>
      </c>
      <c r="AZ47" s="12">
        <v>650857.14285712002</v>
      </c>
      <c r="BA47" s="10">
        <f t="shared" si="11"/>
        <v>-8</v>
      </c>
      <c r="BB47" s="12">
        <f t="shared" si="12"/>
        <v>-271619.04761903989</v>
      </c>
      <c r="BC47" s="11">
        <f t="shared" si="13"/>
        <v>-0.29444559157547112</v>
      </c>
      <c r="BE47" s="14"/>
      <c r="BF47" s="13" t="s">
        <v>2</v>
      </c>
      <c r="BG47" s="10">
        <v>15</v>
      </c>
      <c r="BH47" s="12">
        <v>490952.38095235999</v>
      </c>
      <c r="BI47" s="10">
        <f t="shared" si="14"/>
        <v>-1</v>
      </c>
      <c r="BJ47" s="12">
        <f t="shared" si="15"/>
        <v>-159904.76190476003</v>
      </c>
      <c r="BK47" s="11">
        <f t="shared" si="16"/>
        <v>-0.24568334796605784</v>
      </c>
      <c r="BM47" s="14"/>
      <c r="BN47" s="13" t="s">
        <v>2</v>
      </c>
      <c r="BO47" s="10">
        <v>22</v>
      </c>
      <c r="BP47" s="12">
        <v>702493.33333330997</v>
      </c>
      <c r="BQ47" s="10">
        <f t="shared" si="17"/>
        <v>7</v>
      </c>
      <c r="BR47" s="12">
        <f t="shared" si="18"/>
        <v>211540.95238094998</v>
      </c>
      <c r="BS47" s="11">
        <f t="shared" si="19"/>
        <v>0.43087875848691942</v>
      </c>
      <c r="BU47" s="14"/>
      <c r="BV47" s="13" t="s">
        <v>2</v>
      </c>
      <c r="BW47" s="10">
        <v>15</v>
      </c>
      <c r="BX47" s="12">
        <v>498571</v>
      </c>
      <c r="BY47" s="10">
        <f t="shared" si="32"/>
        <v>-7</v>
      </c>
      <c r="BZ47" s="12">
        <f t="shared" si="21"/>
        <v>-203922.33333330997</v>
      </c>
      <c r="CA47" s="11">
        <f t="shared" si="22"/>
        <v>-0.29028365630988207</v>
      </c>
      <c r="CC47" s="14"/>
      <c r="CD47" s="13" t="s">
        <v>2</v>
      </c>
      <c r="CE47" s="50">
        <v>10</v>
      </c>
      <c r="CF47" s="50">
        <v>400000</v>
      </c>
      <c r="CG47" s="10">
        <f t="shared" si="23"/>
        <v>-5</v>
      </c>
      <c r="CH47" s="12">
        <f t="shared" si="24"/>
        <v>-98571</v>
      </c>
      <c r="CI47" s="11">
        <f t="shared" si="25"/>
        <v>-0.19770704673958173</v>
      </c>
      <c r="CK47" s="14"/>
      <c r="CL47" s="13" t="s">
        <v>2</v>
      </c>
      <c r="CN47" s="12"/>
      <c r="CO47" s="10">
        <f t="shared" si="26"/>
        <v>-10</v>
      </c>
      <c r="CP47" s="12">
        <f t="shared" si="27"/>
        <v>-400000</v>
      </c>
      <c r="CQ47" s="11">
        <f t="shared" si="28"/>
        <v>-1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>
        <v>207</v>
      </c>
      <c r="AJ48" s="46">
        <v>1184828.57142802</v>
      </c>
      <c r="AK48" s="27">
        <f t="shared" si="7"/>
        <v>17</v>
      </c>
      <c r="AL48" s="28">
        <f t="shared" si="7"/>
        <v>177974.28571424005</v>
      </c>
      <c r="AM48" s="29">
        <f t="shared" si="8"/>
        <v>0.17676270363995161</v>
      </c>
      <c r="AO48" s="9" t="s">
        <v>10</v>
      </c>
      <c r="AP48" s="9"/>
      <c r="AQ48" s="8">
        <v>263</v>
      </c>
      <c r="AR48" s="7">
        <v>1843946.1904751901</v>
      </c>
      <c r="AS48" s="27">
        <f t="shared" si="9"/>
        <v>56</v>
      </c>
      <c r="AT48" s="28">
        <f t="shared" si="9"/>
        <v>659117.61904717004</v>
      </c>
      <c r="AU48" s="29">
        <f t="shared" si="10"/>
        <v>0.55629787712898038</v>
      </c>
      <c r="AW48" s="9" t="s">
        <v>10</v>
      </c>
      <c r="AX48" s="9"/>
      <c r="AY48" s="8">
        <v>203</v>
      </c>
      <c r="AZ48" s="7">
        <v>1210194.2857134701</v>
      </c>
      <c r="BA48" s="27">
        <f t="shared" si="11"/>
        <v>-60</v>
      </c>
      <c r="BB48" s="28">
        <f t="shared" si="12"/>
        <v>-633751.90476171998</v>
      </c>
      <c r="BC48" s="29">
        <f t="shared" si="13"/>
        <v>-0.34369327480125672</v>
      </c>
      <c r="BE48" s="9" t="s">
        <v>10</v>
      </c>
      <c r="BF48" s="9"/>
      <c r="BG48" s="8">
        <v>231</v>
      </c>
      <c r="BH48" s="7">
        <v>1182069.9999991001</v>
      </c>
      <c r="BI48" s="27">
        <f t="shared" si="14"/>
        <v>28</v>
      </c>
      <c r="BJ48" s="28">
        <f t="shared" si="15"/>
        <v>-28124.285714369966</v>
      </c>
      <c r="BK48" s="29">
        <f t="shared" si="16"/>
        <v>-2.3239479847476964E-2</v>
      </c>
      <c r="BM48" s="9" t="s">
        <v>10</v>
      </c>
      <c r="BN48" s="9"/>
      <c r="BO48" s="8">
        <v>220</v>
      </c>
      <c r="BP48" s="7">
        <v>1372507.9999990601</v>
      </c>
      <c r="BQ48" s="27">
        <f t="shared" si="17"/>
        <v>-11</v>
      </c>
      <c r="BR48" s="28">
        <f t="shared" si="18"/>
        <v>190437.99999995995</v>
      </c>
      <c r="BS48" s="29">
        <f t="shared" si="19"/>
        <v>0.16110551828580788</v>
      </c>
      <c r="BU48" s="9" t="s">
        <v>10</v>
      </c>
      <c r="BV48" s="9"/>
      <c r="BW48" s="8">
        <v>225</v>
      </c>
      <c r="BX48" s="7">
        <v>1198282</v>
      </c>
      <c r="BY48" s="27">
        <f t="shared" si="32"/>
        <v>5</v>
      </c>
      <c r="BZ48" s="28">
        <f t="shared" si="21"/>
        <v>-174225.99999906006</v>
      </c>
      <c r="CA48" s="29">
        <f t="shared" si="22"/>
        <v>-0.12693987940265514</v>
      </c>
      <c r="CC48" s="9" t="s">
        <v>10</v>
      </c>
      <c r="CD48" s="9"/>
      <c r="CE48" s="51">
        <v>259</v>
      </c>
      <c r="CF48" s="51">
        <v>1370601</v>
      </c>
      <c r="CG48" s="27">
        <f t="shared" si="23"/>
        <v>34</v>
      </c>
      <c r="CH48" s="28">
        <f t="shared" si="24"/>
        <v>172319</v>
      </c>
      <c r="CI48" s="29">
        <f t="shared" si="25"/>
        <v>0.14380504755975637</v>
      </c>
      <c r="CK48" s="9" t="s">
        <v>10</v>
      </c>
      <c r="CL48" s="9"/>
      <c r="CM48" s="8"/>
      <c r="CN48" s="7"/>
      <c r="CO48" s="27">
        <f t="shared" si="26"/>
        <v>-259</v>
      </c>
      <c r="CP48" s="28">
        <f t="shared" si="27"/>
        <v>-1370601</v>
      </c>
      <c r="CQ48" s="29">
        <f t="shared" si="28"/>
        <v>-1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37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37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37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37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37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>
        <v>3</v>
      </c>
      <c r="AJ50" s="47"/>
      <c r="AK50" s="10">
        <f t="shared" si="7"/>
        <v>1</v>
      </c>
      <c r="AL50" s="12">
        <f t="shared" si="7"/>
        <v>0</v>
      </c>
      <c r="AM50" s="11" t="e">
        <f t="shared" si="8"/>
        <v>#DIV/0!</v>
      </c>
      <c r="AO50" s="14"/>
      <c r="AP50" s="32" t="s">
        <v>38</v>
      </c>
      <c r="AQ50" s="1">
        <v>3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38</v>
      </c>
      <c r="AY50" s="1">
        <v>3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G50" s="1">
        <v>2</v>
      </c>
      <c r="BH50" s="35"/>
      <c r="BI50" s="10">
        <f t="shared" si="14"/>
        <v>-1</v>
      </c>
      <c r="BJ50" s="12">
        <f t="shared" si="15"/>
        <v>0</v>
      </c>
      <c r="BK50" s="11" t="e">
        <f t="shared" si="16"/>
        <v>#DIV/0!</v>
      </c>
      <c r="BM50" s="14"/>
      <c r="BN50" s="32" t="s">
        <v>38</v>
      </c>
      <c r="BO50" s="1">
        <v>2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38</v>
      </c>
      <c r="BW50" s="15">
        <v>1</v>
      </c>
      <c r="BX50" s="33"/>
      <c r="BY50" s="10">
        <f t="shared" si="32"/>
        <v>-1</v>
      </c>
      <c r="BZ50" s="12">
        <f t="shared" si="21"/>
        <v>0</v>
      </c>
      <c r="CA50" s="11" t="e">
        <f t="shared" si="22"/>
        <v>#DIV/0!</v>
      </c>
      <c r="CC50" s="14"/>
      <c r="CD50" s="32" t="s">
        <v>38</v>
      </c>
      <c r="CE50" s="15">
        <v>2</v>
      </c>
      <c r="CF50" s="33"/>
      <c r="CG50" s="10">
        <f t="shared" si="23"/>
        <v>1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-2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>
        <v>122</v>
      </c>
      <c r="AJ51" s="45">
        <v>110514.28571370998</v>
      </c>
      <c r="AK51" s="10">
        <f t="shared" si="7"/>
        <v>11</v>
      </c>
      <c r="AL51" s="12">
        <f t="shared" si="7"/>
        <v>14978.095238020003</v>
      </c>
      <c r="AM51" s="11">
        <f t="shared" si="8"/>
        <v>0.15677928085097043</v>
      </c>
      <c r="AO51" s="14"/>
      <c r="AP51" s="13" t="s">
        <v>9</v>
      </c>
      <c r="AQ51" s="10">
        <v>104</v>
      </c>
      <c r="AR51" s="12">
        <v>107172.38095183999</v>
      </c>
      <c r="AS51" s="10">
        <f t="shared" si="9"/>
        <v>-18</v>
      </c>
      <c r="AT51" s="12">
        <f t="shared" si="9"/>
        <v>-3341.9047618699842</v>
      </c>
      <c r="AU51" s="11">
        <f t="shared" si="10"/>
        <v>-3.0239572561028646E-2</v>
      </c>
      <c r="AW51" s="14"/>
      <c r="AX51" s="13" t="s">
        <v>9</v>
      </c>
      <c r="AY51" s="10">
        <v>112</v>
      </c>
      <c r="AZ51" s="12">
        <v>111609.52380893</v>
      </c>
      <c r="BA51" s="10">
        <f t="shared" si="11"/>
        <v>8</v>
      </c>
      <c r="BB51" s="12">
        <f t="shared" si="12"/>
        <v>4437.1428570900025</v>
      </c>
      <c r="BC51" s="11">
        <f t="shared" si="13"/>
        <v>4.1401924802658994E-2</v>
      </c>
      <c r="BE51" s="14"/>
      <c r="BF51" s="13" t="s">
        <v>9</v>
      </c>
      <c r="BG51" s="10">
        <v>114</v>
      </c>
      <c r="BH51" s="12">
        <v>109647.61904706</v>
      </c>
      <c r="BI51" s="10">
        <f t="shared" si="14"/>
        <v>2</v>
      </c>
      <c r="BJ51" s="12">
        <f t="shared" si="15"/>
        <v>-1961.9047618699988</v>
      </c>
      <c r="BK51" s="11">
        <f t="shared" si="16"/>
        <v>-1.757829166289324E-2</v>
      </c>
      <c r="BM51" s="14"/>
      <c r="BN51" s="13" t="s">
        <v>9</v>
      </c>
      <c r="BO51" s="10">
        <v>109</v>
      </c>
      <c r="BP51" s="12">
        <v>108975.23809471</v>
      </c>
      <c r="BQ51" s="10">
        <f t="shared" si="17"/>
        <v>-5</v>
      </c>
      <c r="BR51" s="12">
        <f t="shared" si="18"/>
        <v>-672.38095234999491</v>
      </c>
      <c r="BS51" s="11">
        <f t="shared" si="19"/>
        <v>-6.1321983841839166E-3</v>
      </c>
      <c r="BU51" s="14"/>
      <c r="BV51" s="13" t="s">
        <v>9</v>
      </c>
      <c r="BW51" s="10">
        <v>104</v>
      </c>
      <c r="BX51" s="12">
        <v>95841</v>
      </c>
      <c r="BY51" s="10">
        <f t="shared" si="32"/>
        <v>-5</v>
      </c>
      <c r="BZ51" s="12">
        <f t="shared" si="21"/>
        <v>-13134.238094710003</v>
      </c>
      <c r="CA51" s="11">
        <f t="shared" si="22"/>
        <v>-0.1205249772732323</v>
      </c>
      <c r="CC51" s="14"/>
      <c r="CD51" s="13" t="s">
        <v>9</v>
      </c>
      <c r="CE51" s="10">
        <v>90</v>
      </c>
      <c r="CF51" s="12">
        <v>89890</v>
      </c>
      <c r="CG51" s="10">
        <f t="shared" si="23"/>
        <v>-14</v>
      </c>
      <c r="CH51" s="12">
        <f t="shared" si="24"/>
        <v>-5951</v>
      </c>
      <c r="CI51" s="11">
        <f t="shared" si="25"/>
        <v>-6.2092423910434992E-2</v>
      </c>
      <c r="CK51" s="14"/>
      <c r="CL51" s="13" t="s">
        <v>9</v>
      </c>
      <c r="CN51" s="12"/>
      <c r="CO51" s="10">
        <f t="shared" si="26"/>
        <v>-90</v>
      </c>
      <c r="CP51" s="12">
        <f t="shared" si="27"/>
        <v>-89890</v>
      </c>
      <c r="CQ51" s="11">
        <f t="shared" si="28"/>
        <v>-1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>
        <v>65</v>
      </c>
      <c r="AJ52" s="45">
        <v>67476.190476090007</v>
      </c>
      <c r="AK52" s="10">
        <f t="shared" si="7"/>
        <v>11</v>
      </c>
      <c r="AL52" s="12">
        <f t="shared" si="7"/>
        <v>-29066.666666699995</v>
      </c>
      <c r="AM52" s="11">
        <f t="shared" si="8"/>
        <v>-0.30107526881775892</v>
      </c>
      <c r="AO52" s="14"/>
      <c r="AP52" s="13" t="s">
        <v>8</v>
      </c>
      <c r="AQ52" s="10">
        <v>62</v>
      </c>
      <c r="AR52" s="12">
        <v>71790.476190239991</v>
      </c>
      <c r="AS52" s="10">
        <f t="shared" si="9"/>
        <v>-3</v>
      </c>
      <c r="AT52" s="12">
        <f t="shared" si="9"/>
        <v>4314.2857141499844</v>
      </c>
      <c r="AU52" s="11">
        <f t="shared" si="10"/>
        <v>6.3937896963503577E-2</v>
      </c>
      <c r="AW52" s="14"/>
      <c r="AX52" s="13" t="s">
        <v>8</v>
      </c>
      <c r="AY52" s="10">
        <v>68</v>
      </c>
      <c r="AZ52" s="12">
        <v>67161.904761679994</v>
      </c>
      <c r="BA52" s="10">
        <f t="shared" si="11"/>
        <v>6</v>
      </c>
      <c r="BB52" s="12">
        <f t="shared" si="12"/>
        <v>-4628.571428559997</v>
      </c>
      <c r="BC52" s="11">
        <f t="shared" si="13"/>
        <v>-6.4473335102202003E-2</v>
      </c>
      <c r="BE52" s="14"/>
      <c r="BF52" s="13" t="s">
        <v>8</v>
      </c>
      <c r="BG52" s="10">
        <v>71</v>
      </c>
      <c r="BH52" s="12">
        <v>81323.809523529999</v>
      </c>
      <c r="BI52" s="10">
        <f t="shared" si="14"/>
        <v>3</v>
      </c>
      <c r="BJ52" s="12">
        <f t="shared" si="15"/>
        <v>14161.904761850004</v>
      </c>
      <c r="BK52" s="11">
        <f t="shared" si="16"/>
        <v>0.21086216676109287</v>
      </c>
      <c r="BM52" s="14"/>
      <c r="BN52" s="13" t="s">
        <v>8</v>
      </c>
      <c r="BO52" s="10">
        <v>76</v>
      </c>
      <c r="BP52" s="12">
        <v>76523.809523589996</v>
      </c>
      <c r="BQ52" s="10">
        <f t="shared" si="17"/>
        <v>5</v>
      </c>
      <c r="BR52" s="12">
        <f t="shared" si="18"/>
        <v>-4799.9999999400025</v>
      </c>
      <c r="BS52" s="11">
        <f t="shared" si="19"/>
        <v>-5.9023304836097037E-2</v>
      </c>
      <c r="BU52" s="14"/>
      <c r="BV52" s="13" t="s">
        <v>8</v>
      </c>
      <c r="BW52" s="10">
        <v>63</v>
      </c>
      <c r="BX52" s="12">
        <v>89305</v>
      </c>
      <c r="BY52" s="10">
        <f t="shared" si="32"/>
        <v>-13</v>
      </c>
      <c r="BZ52" s="12">
        <f t="shared" si="21"/>
        <v>12781.190476410004</v>
      </c>
      <c r="CA52" s="11">
        <f t="shared" si="22"/>
        <v>0.167022401994636</v>
      </c>
      <c r="CC52" s="14"/>
      <c r="CD52" s="13" t="s">
        <v>8</v>
      </c>
      <c r="CE52" s="10">
        <v>77</v>
      </c>
      <c r="CF52" s="12">
        <v>75171</v>
      </c>
      <c r="CG52" s="10">
        <f t="shared" si="23"/>
        <v>14</v>
      </c>
      <c r="CH52" s="12">
        <f t="shared" si="24"/>
        <v>-14134</v>
      </c>
      <c r="CI52" s="11">
        <f t="shared" si="25"/>
        <v>-0.15826661441128717</v>
      </c>
      <c r="CK52" s="14"/>
      <c r="CL52" s="13" t="s">
        <v>8</v>
      </c>
      <c r="CN52" s="12"/>
      <c r="CO52" s="10">
        <f t="shared" si="26"/>
        <v>-77</v>
      </c>
      <c r="CP52" s="12">
        <f t="shared" si="27"/>
        <v>-75171</v>
      </c>
      <c r="CQ52" s="11">
        <f t="shared" si="28"/>
        <v>-1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>
        <v>17</v>
      </c>
      <c r="AJ53" s="45">
        <v>128409.52380950001</v>
      </c>
      <c r="AK53" s="10">
        <f t="shared" si="7"/>
        <v>11</v>
      </c>
      <c r="AL53" s="12">
        <f t="shared" si="7"/>
        <v>94180.952380940013</v>
      </c>
      <c r="AM53" s="11">
        <f t="shared" si="8"/>
        <v>2.7515303283255439</v>
      </c>
      <c r="AO53" s="14"/>
      <c r="AP53" s="13" t="s">
        <v>7</v>
      </c>
      <c r="AQ53" s="10">
        <v>16</v>
      </c>
      <c r="AR53" s="12">
        <v>92704.761904729981</v>
      </c>
      <c r="AS53" s="10">
        <f t="shared" si="9"/>
        <v>-1</v>
      </c>
      <c r="AT53" s="12">
        <f t="shared" si="9"/>
        <v>-35704.761904770028</v>
      </c>
      <c r="AU53" s="11">
        <f t="shared" si="10"/>
        <v>-0.27805384558344193</v>
      </c>
      <c r="AW53" s="14"/>
      <c r="AX53" s="13" t="s">
        <v>7</v>
      </c>
      <c r="AY53" s="10">
        <v>11</v>
      </c>
      <c r="AZ53" s="12">
        <v>62752.380952359992</v>
      </c>
      <c r="BA53" s="10">
        <f t="shared" si="11"/>
        <v>-5</v>
      </c>
      <c r="BB53" s="12">
        <f t="shared" si="12"/>
        <v>-29952.380952369989</v>
      </c>
      <c r="BC53" s="11">
        <f t="shared" si="13"/>
        <v>-0.32309430860899241</v>
      </c>
      <c r="BE53" s="14"/>
      <c r="BF53" s="13" t="s">
        <v>7</v>
      </c>
      <c r="BG53" s="10">
        <v>15</v>
      </c>
      <c r="BH53" s="12">
        <v>112238.09523806001</v>
      </c>
      <c r="BI53" s="10">
        <f t="shared" si="14"/>
        <v>4</v>
      </c>
      <c r="BJ53" s="12">
        <f t="shared" si="15"/>
        <v>49485.714285700014</v>
      </c>
      <c r="BK53" s="11">
        <f t="shared" si="16"/>
        <v>0.78858703900443727</v>
      </c>
      <c r="BM53" s="14"/>
      <c r="BN53" s="13" t="s">
        <v>7</v>
      </c>
      <c r="BO53" s="10">
        <v>7</v>
      </c>
      <c r="BP53" s="12">
        <v>51958.095238069996</v>
      </c>
      <c r="BQ53" s="10">
        <f t="shared" si="17"/>
        <v>-8</v>
      </c>
      <c r="BR53" s="12">
        <f t="shared" si="18"/>
        <v>-60279.99999999001</v>
      </c>
      <c r="BS53" s="11">
        <f t="shared" si="19"/>
        <v>-0.5370725498515857</v>
      </c>
      <c r="BU53" s="14"/>
      <c r="BV53" s="13" t="s">
        <v>7</v>
      </c>
      <c r="BW53" s="10">
        <v>6</v>
      </c>
      <c r="BX53" s="12">
        <v>35657</v>
      </c>
      <c r="BY53" s="10">
        <f t="shared" si="32"/>
        <v>-1</v>
      </c>
      <c r="BZ53" s="12">
        <f t="shared" si="21"/>
        <v>-16301.095238069996</v>
      </c>
      <c r="CA53" s="11">
        <f t="shared" si="22"/>
        <v>-0.31373542781695524</v>
      </c>
      <c r="CC53" s="14"/>
      <c r="CD53" s="13" t="s">
        <v>7</v>
      </c>
      <c r="CE53" s="10">
        <v>13</v>
      </c>
      <c r="CF53" s="12">
        <v>103781</v>
      </c>
      <c r="CG53" s="10">
        <f t="shared" si="23"/>
        <v>7</v>
      </c>
      <c r="CH53" s="12">
        <f t="shared" si="24"/>
        <v>68124</v>
      </c>
      <c r="CI53" s="11">
        <f t="shared" si="25"/>
        <v>1.9105365005468773</v>
      </c>
      <c r="CK53" s="14"/>
      <c r="CL53" s="13" t="s">
        <v>7</v>
      </c>
      <c r="CN53" s="12"/>
      <c r="CO53" s="10">
        <f t="shared" si="26"/>
        <v>-13</v>
      </c>
      <c r="CP53" s="12">
        <f t="shared" si="27"/>
        <v>-103781</v>
      </c>
      <c r="CQ53" s="11">
        <f t="shared" si="28"/>
        <v>-1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>
        <v>10</v>
      </c>
      <c r="AJ54" s="45">
        <v>139047.61904760002</v>
      </c>
      <c r="AK54" s="10">
        <f t="shared" si="7"/>
        <v>-1</v>
      </c>
      <c r="AL54" s="12">
        <f t="shared" si="7"/>
        <v>-5619.0476190400077</v>
      </c>
      <c r="AM54" s="11">
        <f t="shared" si="8"/>
        <v>-3.8841342988762968E-2</v>
      </c>
      <c r="AO54" s="14"/>
      <c r="AP54" s="13" t="s">
        <v>6</v>
      </c>
      <c r="AQ54" s="10">
        <v>15</v>
      </c>
      <c r="AR54" s="12">
        <v>187142.85714278999</v>
      </c>
      <c r="AS54" s="10">
        <f t="shared" si="9"/>
        <v>5</v>
      </c>
      <c r="AT54" s="12">
        <f t="shared" si="9"/>
        <v>48095.238095189969</v>
      </c>
      <c r="AU54" s="11">
        <f t="shared" si="10"/>
        <v>0.34589041095860534</v>
      </c>
      <c r="AW54" s="14"/>
      <c r="AX54" s="13" t="s">
        <v>6</v>
      </c>
      <c r="AY54" s="10">
        <v>8</v>
      </c>
      <c r="AZ54" s="12">
        <v>92571.428571390003</v>
      </c>
      <c r="BA54" s="10">
        <f t="shared" si="11"/>
        <v>-7</v>
      </c>
      <c r="BB54" s="12">
        <f t="shared" si="12"/>
        <v>-94571.428571399985</v>
      </c>
      <c r="BC54" s="11">
        <f t="shared" si="13"/>
        <v>-0.50534351145041023</v>
      </c>
      <c r="BE54" s="14"/>
      <c r="BF54" s="13" t="s">
        <v>6</v>
      </c>
      <c r="BG54" s="10">
        <v>11</v>
      </c>
      <c r="BH54" s="12">
        <v>124666.66666662</v>
      </c>
      <c r="BI54" s="10">
        <f t="shared" si="14"/>
        <v>3</v>
      </c>
      <c r="BJ54" s="12">
        <f t="shared" si="15"/>
        <v>32095.238095230001</v>
      </c>
      <c r="BK54" s="11">
        <f t="shared" si="16"/>
        <v>0.34670781893009817</v>
      </c>
      <c r="BM54" s="14"/>
      <c r="BN54" s="13" t="s">
        <v>6</v>
      </c>
      <c r="BO54" s="10">
        <v>3</v>
      </c>
      <c r="BP54" s="12">
        <v>22571.4285714</v>
      </c>
      <c r="BQ54" s="10">
        <f t="shared" si="17"/>
        <v>-8</v>
      </c>
      <c r="BR54" s="12">
        <f t="shared" si="18"/>
        <v>-102095.23809522</v>
      </c>
      <c r="BS54" s="11">
        <f t="shared" si="19"/>
        <v>-0.81894576012239217</v>
      </c>
      <c r="BU54" s="14"/>
      <c r="BV54" s="13" t="s">
        <v>6</v>
      </c>
      <c r="BW54" s="10">
        <v>2</v>
      </c>
      <c r="BX54" s="12">
        <v>15048</v>
      </c>
      <c r="BY54" s="10">
        <f t="shared" si="32"/>
        <v>-1</v>
      </c>
      <c r="BZ54" s="12">
        <f t="shared" si="21"/>
        <v>-7523.4285713999998</v>
      </c>
      <c r="CA54" s="11">
        <f t="shared" si="22"/>
        <v>-0.33331645569535862</v>
      </c>
      <c r="CC54" s="14"/>
      <c r="CD54" s="13" t="s">
        <v>6</v>
      </c>
      <c r="CE54" s="10">
        <v>1</v>
      </c>
      <c r="CF54" s="12">
        <v>7524</v>
      </c>
      <c r="CG54" s="10">
        <f t="shared" si="23"/>
        <v>-1</v>
      </c>
      <c r="CH54" s="12">
        <f t="shared" si="24"/>
        <v>-7524</v>
      </c>
      <c r="CI54" s="11">
        <f t="shared" si="25"/>
        <v>-0.5</v>
      </c>
      <c r="CK54" s="14"/>
      <c r="CL54" s="13" t="s">
        <v>6</v>
      </c>
      <c r="CN54" s="12"/>
      <c r="CO54" s="10">
        <f t="shared" si="26"/>
        <v>-1</v>
      </c>
      <c r="CP54" s="12">
        <f t="shared" si="27"/>
        <v>-7524</v>
      </c>
      <c r="CQ54" s="11">
        <f t="shared" si="28"/>
        <v>-1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>
        <v>7</v>
      </c>
      <c r="AJ55" s="45">
        <v>30030</v>
      </c>
      <c r="AK55" s="10">
        <f t="shared" si="7"/>
        <v>6</v>
      </c>
      <c r="AL55" s="12">
        <f t="shared" si="7"/>
        <v>29040</v>
      </c>
      <c r="AM55" s="11">
        <f t="shared" si="8"/>
        <v>29.333333333333332</v>
      </c>
      <c r="AO55" s="14"/>
      <c r="AP55" s="13" t="s">
        <v>5</v>
      </c>
      <c r="AQ55" s="10">
        <v>5</v>
      </c>
      <c r="AR55" s="12">
        <v>27550</v>
      </c>
      <c r="AS55" s="10">
        <f t="shared" si="9"/>
        <v>-2</v>
      </c>
      <c r="AT55" s="12">
        <f t="shared" si="9"/>
        <v>-2480</v>
      </c>
      <c r="AU55" s="11">
        <f t="shared" si="10"/>
        <v>-8.2584082584082591E-2</v>
      </c>
      <c r="AW55" s="14"/>
      <c r="AX55" s="13" t="s">
        <v>5</v>
      </c>
      <c r="AY55" s="10">
        <v>6</v>
      </c>
      <c r="AZ55" s="12">
        <v>14840</v>
      </c>
      <c r="BA55" s="10">
        <f t="shared" si="11"/>
        <v>1</v>
      </c>
      <c r="BB55" s="12">
        <f t="shared" si="12"/>
        <v>-12710</v>
      </c>
      <c r="BC55" s="11">
        <f t="shared" si="13"/>
        <v>-0.46134301270417422</v>
      </c>
      <c r="BE55" s="14"/>
      <c r="BF55" s="13" t="s">
        <v>5</v>
      </c>
      <c r="BG55" s="10">
        <v>3</v>
      </c>
      <c r="BH55" s="12">
        <v>11370</v>
      </c>
      <c r="BI55" s="10">
        <f t="shared" si="14"/>
        <v>-3</v>
      </c>
      <c r="BJ55" s="12">
        <f t="shared" si="15"/>
        <v>-3470</v>
      </c>
      <c r="BK55" s="11">
        <f t="shared" si="16"/>
        <v>-0.23382749326145552</v>
      </c>
      <c r="BM55" s="14"/>
      <c r="BN55" s="13" t="s">
        <v>5</v>
      </c>
      <c r="BO55" s="10">
        <v>2</v>
      </c>
      <c r="BP55" s="12">
        <v>9680</v>
      </c>
      <c r="BQ55" s="10">
        <f t="shared" si="17"/>
        <v>-1</v>
      </c>
      <c r="BR55" s="12">
        <f t="shared" si="18"/>
        <v>-1690</v>
      </c>
      <c r="BS55" s="11">
        <f t="shared" si="19"/>
        <v>-0.14863676341248899</v>
      </c>
      <c r="BU55" s="14"/>
      <c r="BV55" s="13" t="s">
        <v>5</v>
      </c>
      <c r="BW55" s="10">
        <v>3</v>
      </c>
      <c r="BX55" s="12">
        <v>13770</v>
      </c>
      <c r="BY55" s="10">
        <f t="shared" si="32"/>
        <v>1</v>
      </c>
      <c r="BZ55" s="12">
        <f t="shared" si="21"/>
        <v>4090</v>
      </c>
      <c r="CA55" s="11">
        <f t="shared" si="22"/>
        <v>0.4225206611570248</v>
      </c>
      <c r="CC55" s="14"/>
      <c r="CD55" s="13" t="s">
        <v>5</v>
      </c>
      <c r="CE55" s="50">
        <v>3</v>
      </c>
      <c r="CF55" s="50">
        <v>9970</v>
      </c>
      <c r="CG55" s="10">
        <f t="shared" si="23"/>
        <v>0</v>
      </c>
      <c r="CH55" s="12">
        <f t="shared" si="24"/>
        <v>-3800</v>
      </c>
      <c r="CI55" s="11">
        <f t="shared" si="25"/>
        <v>-0.27596223674655046</v>
      </c>
      <c r="CK55" s="14"/>
      <c r="CL55" s="13" t="s">
        <v>5</v>
      </c>
      <c r="CN55" s="12"/>
      <c r="CO55" s="10">
        <f t="shared" si="26"/>
        <v>-3</v>
      </c>
      <c r="CP55" s="12">
        <f t="shared" si="27"/>
        <v>-9970</v>
      </c>
      <c r="CQ55" s="11">
        <f t="shared" si="28"/>
        <v>-1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>
        <v>2</v>
      </c>
      <c r="AJ56" s="45">
        <v>69814.285714269994</v>
      </c>
      <c r="AK56" s="10">
        <f t="shared" si="7"/>
        <v>-3</v>
      </c>
      <c r="AL56" s="12">
        <f t="shared" si="7"/>
        <v>-144947.61904761</v>
      </c>
      <c r="AM56" s="11">
        <f t="shared" si="8"/>
        <v>-0.67492239467852799</v>
      </c>
      <c r="AO56" s="14"/>
      <c r="AP56" s="13" t="s">
        <v>4</v>
      </c>
      <c r="AQ56" s="10">
        <v>5</v>
      </c>
      <c r="AR56" s="12">
        <v>217819.04761902001</v>
      </c>
      <c r="AS56" s="10">
        <f t="shared" si="9"/>
        <v>3</v>
      </c>
      <c r="AT56" s="12">
        <f t="shared" si="9"/>
        <v>148004.76190475002</v>
      </c>
      <c r="AU56" s="11">
        <f t="shared" si="10"/>
        <v>2.1199781733854786</v>
      </c>
      <c r="AW56" s="14"/>
      <c r="AX56" s="13" t="s">
        <v>4</v>
      </c>
      <c r="AY56" s="10">
        <v>6</v>
      </c>
      <c r="AZ56" s="12">
        <v>383238.09523805999</v>
      </c>
      <c r="BA56" s="10">
        <f t="shared" si="11"/>
        <v>1</v>
      </c>
      <c r="BB56" s="12">
        <f t="shared" si="12"/>
        <v>165419.04761903998</v>
      </c>
      <c r="BC56" s="11">
        <f t="shared" si="13"/>
        <v>0.75943334353554282</v>
      </c>
      <c r="BE56" s="14"/>
      <c r="BF56" s="13" t="s">
        <v>4</v>
      </c>
      <c r="BG56" s="10">
        <v>6</v>
      </c>
      <c r="BH56" s="12">
        <v>191647.61904758</v>
      </c>
      <c r="BI56" s="10">
        <f t="shared" si="14"/>
        <v>0</v>
      </c>
      <c r="BJ56" s="12">
        <f t="shared" si="15"/>
        <v>-191590.47619048</v>
      </c>
      <c r="BK56" s="11">
        <f t="shared" si="16"/>
        <v>-0.49992544731615929</v>
      </c>
      <c r="BM56" s="14"/>
      <c r="BN56" s="13" t="s">
        <v>4</v>
      </c>
      <c r="BO56" s="10">
        <v>8</v>
      </c>
      <c r="BP56" s="12">
        <v>273257.1428571</v>
      </c>
      <c r="BQ56" s="10">
        <f t="shared" si="17"/>
        <v>2</v>
      </c>
      <c r="BR56" s="12">
        <f t="shared" si="18"/>
        <v>81609.523809520004</v>
      </c>
      <c r="BS56" s="11">
        <f t="shared" si="19"/>
        <v>0.42583113849830279</v>
      </c>
      <c r="BU56" s="14"/>
      <c r="BV56" s="13" t="s">
        <v>4</v>
      </c>
      <c r="BW56" s="10">
        <v>5</v>
      </c>
      <c r="BX56" s="12">
        <v>170368</v>
      </c>
      <c r="BY56" s="10">
        <f t="shared" si="32"/>
        <v>-3</v>
      </c>
      <c r="BZ56" s="12">
        <f t="shared" si="21"/>
        <v>-102889.1428571</v>
      </c>
      <c r="CA56" s="11">
        <f t="shared" si="22"/>
        <v>-0.37652864910069689</v>
      </c>
      <c r="CC56" s="14"/>
      <c r="CD56" s="13" t="s">
        <v>4</v>
      </c>
      <c r="CE56" s="50">
        <v>5</v>
      </c>
      <c r="CF56" s="50">
        <v>139524</v>
      </c>
      <c r="CG56" s="10">
        <f t="shared" si="23"/>
        <v>0</v>
      </c>
      <c r="CH56" s="12">
        <f t="shared" si="24"/>
        <v>-30844</v>
      </c>
      <c r="CI56" s="11">
        <f t="shared" si="25"/>
        <v>-0.18104338842975207</v>
      </c>
      <c r="CK56" s="14"/>
      <c r="CL56" s="13" t="s">
        <v>4</v>
      </c>
      <c r="CN56" s="12"/>
      <c r="CO56" s="10">
        <f t="shared" si="26"/>
        <v>-5</v>
      </c>
      <c r="CP56" s="12">
        <f t="shared" si="27"/>
        <v>-139524</v>
      </c>
      <c r="CQ56" s="11">
        <f t="shared" si="28"/>
        <v>-1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>
        <v>8</v>
      </c>
      <c r="AJ57" s="45">
        <v>183523.80952377</v>
      </c>
      <c r="AK57" s="10">
        <f t="shared" si="7"/>
        <v>0</v>
      </c>
      <c r="AL57" s="12">
        <f t="shared" si="7"/>
        <v>-8571.4285714399593</v>
      </c>
      <c r="AM57" s="11">
        <f t="shared" si="8"/>
        <v>-4.4620723847363784E-2</v>
      </c>
      <c r="AO57" s="14"/>
      <c r="AP57" s="13" t="s">
        <v>3</v>
      </c>
      <c r="AQ57" s="10">
        <v>13</v>
      </c>
      <c r="AR57" s="12">
        <v>341619.04761898</v>
      </c>
      <c r="AS57" s="10">
        <f t="shared" si="9"/>
        <v>5</v>
      </c>
      <c r="AT57" s="12">
        <f t="shared" si="9"/>
        <v>158095.23809520999</v>
      </c>
      <c r="AU57" s="11">
        <f t="shared" si="10"/>
        <v>0.86144265697979361</v>
      </c>
      <c r="AW57" s="14"/>
      <c r="AX57" s="13" t="s">
        <v>3</v>
      </c>
      <c r="AY57" s="10">
        <v>8</v>
      </c>
      <c r="AZ57" s="12">
        <v>200666.66666662</v>
      </c>
      <c r="BA57" s="10">
        <f t="shared" si="11"/>
        <v>-5</v>
      </c>
      <c r="BB57" s="12">
        <f t="shared" si="12"/>
        <v>-140952.38095235999</v>
      </c>
      <c r="BC57" s="11">
        <f t="shared" si="13"/>
        <v>-0.41260105938111874</v>
      </c>
      <c r="BE57" s="14"/>
      <c r="BF57" s="13" t="s">
        <v>3</v>
      </c>
      <c r="BG57" s="10">
        <v>17</v>
      </c>
      <c r="BH57" s="12">
        <v>399809.52380944003</v>
      </c>
      <c r="BI57" s="10">
        <f t="shared" si="14"/>
        <v>9</v>
      </c>
      <c r="BJ57" s="12">
        <f t="shared" si="15"/>
        <v>199142.85714282002</v>
      </c>
      <c r="BK57" s="11">
        <f t="shared" si="16"/>
        <v>0.9924062648315598</v>
      </c>
      <c r="BM57" s="14"/>
      <c r="BN57" s="13" t="s">
        <v>3</v>
      </c>
      <c r="BO57" s="10">
        <v>12</v>
      </c>
      <c r="BP57" s="12">
        <v>318857.14285708999</v>
      </c>
      <c r="BQ57" s="10">
        <f t="shared" si="17"/>
        <v>-5</v>
      </c>
      <c r="BR57" s="12">
        <f t="shared" si="18"/>
        <v>-80952.380952350039</v>
      </c>
      <c r="BS57" s="11">
        <f t="shared" si="19"/>
        <v>-0.20247737017623951</v>
      </c>
      <c r="BU57" s="14"/>
      <c r="BV57" s="13" t="s">
        <v>3</v>
      </c>
      <c r="BW57" s="10">
        <v>8</v>
      </c>
      <c r="BX57" s="12">
        <v>152095</v>
      </c>
      <c r="BY57" s="10">
        <f t="shared" si="32"/>
        <v>-4</v>
      </c>
      <c r="BZ57" s="12">
        <f t="shared" si="21"/>
        <v>-166762.14285708999</v>
      </c>
      <c r="CA57" s="11">
        <f t="shared" si="22"/>
        <v>-0.52299955197124703</v>
      </c>
      <c r="CC57" s="14"/>
      <c r="CD57" s="13" t="s">
        <v>3</v>
      </c>
      <c r="CE57" s="50">
        <v>10</v>
      </c>
      <c r="CF57" s="50">
        <v>218571</v>
      </c>
      <c r="CG57" s="10">
        <f t="shared" si="23"/>
        <v>2</v>
      </c>
      <c r="CH57" s="12">
        <f t="shared" si="24"/>
        <v>66476</v>
      </c>
      <c r="CI57" s="11">
        <f t="shared" si="25"/>
        <v>0.43706893717742201</v>
      </c>
      <c r="CK57" s="14"/>
      <c r="CL57" s="13" t="s">
        <v>3</v>
      </c>
      <c r="CN57" s="12"/>
      <c r="CO57" s="10">
        <f t="shared" si="26"/>
        <v>-10</v>
      </c>
      <c r="CP57" s="12">
        <f t="shared" si="27"/>
        <v>-218571</v>
      </c>
      <c r="CQ57" s="11">
        <f t="shared" si="28"/>
        <v>-1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>
        <v>18</v>
      </c>
      <c r="AJ58" s="45">
        <v>669714.28571425995</v>
      </c>
      <c r="AK58" s="10">
        <f t="shared" si="7"/>
        <v>-4</v>
      </c>
      <c r="AL58" s="12">
        <f t="shared" si="7"/>
        <v>-129240.95238093997</v>
      </c>
      <c r="AM58" s="11">
        <f t="shared" si="8"/>
        <v>-0.16176244452575977</v>
      </c>
      <c r="AO58" s="14"/>
      <c r="AP58" s="13" t="s">
        <v>2</v>
      </c>
      <c r="AQ58" s="10">
        <v>10</v>
      </c>
      <c r="AR58" s="12">
        <v>387619.04761901998</v>
      </c>
      <c r="AS58" s="10">
        <f t="shared" si="9"/>
        <v>-8</v>
      </c>
      <c r="AT58" s="12">
        <f t="shared" si="9"/>
        <v>-282095.23809523997</v>
      </c>
      <c r="AU58" s="11">
        <f t="shared" si="10"/>
        <v>-0.42121729237772093</v>
      </c>
      <c r="AW58" s="14"/>
      <c r="AX58" s="13" t="s">
        <v>2</v>
      </c>
      <c r="AY58" s="10">
        <v>19</v>
      </c>
      <c r="AZ58" s="12">
        <v>773428.57142853003</v>
      </c>
      <c r="BA58" s="10">
        <f t="shared" si="11"/>
        <v>9</v>
      </c>
      <c r="BB58" s="12">
        <f t="shared" si="12"/>
        <v>385809.52380951005</v>
      </c>
      <c r="BC58" s="11">
        <f t="shared" si="13"/>
        <v>0.99533169533173083</v>
      </c>
      <c r="BE58" s="14"/>
      <c r="BF58" s="13" t="s">
        <v>2</v>
      </c>
      <c r="BG58" s="10">
        <v>17</v>
      </c>
      <c r="BH58" s="12">
        <v>645047.61904757994</v>
      </c>
      <c r="BI58" s="10">
        <f t="shared" si="14"/>
        <v>-2</v>
      </c>
      <c r="BJ58" s="12">
        <f t="shared" si="15"/>
        <v>-128380.9523809501</v>
      </c>
      <c r="BK58" s="11">
        <f t="shared" si="16"/>
        <v>-0.16598941017116711</v>
      </c>
      <c r="BM58" s="14"/>
      <c r="BN58" s="13" t="s">
        <v>2</v>
      </c>
      <c r="BO58" s="10">
        <v>9</v>
      </c>
      <c r="BP58" s="12">
        <v>284857.14285712998</v>
      </c>
      <c r="BQ58" s="10">
        <f t="shared" si="17"/>
        <v>-8</v>
      </c>
      <c r="BR58" s="12">
        <f t="shared" si="18"/>
        <v>-360190.47619044996</v>
      </c>
      <c r="BS58" s="11">
        <f t="shared" si="19"/>
        <v>-0.55839362173334617</v>
      </c>
      <c r="BU58" s="14"/>
      <c r="BV58" s="13" t="s">
        <v>2</v>
      </c>
      <c r="BW58" s="10">
        <v>12</v>
      </c>
      <c r="BX58" s="12">
        <v>365524</v>
      </c>
      <c r="BY58" s="10">
        <f t="shared" si="32"/>
        <v>3</v>
      </c>
      <c r="BZ58" s="12">
        <f t="shared" si="21"/>
        <v>80666.857142870023</v>
      </c>
      <c r="CA58" s="11">
        <f t="shared" si="22"/>
        <v>0.28318355065201389</v>
      </c>
      <c r="CC58" s="14"/>
      <c r="CD58" s="13" t="s">
        <v>2</v>
      </c>
      <c r="CE58" s="50">
        <v>12</v>
      </c>
      <c r="CF58" s="50">
        <v>400672</v>
      </c>
      <c r="CG58" s="10">
        <f t="shared" si="23"/>
        <v>0</v>
      </c>
      <c r="CH58" s="12">
        <f t="shared" si="24"/>
        <v>35148</v>
      </c>
      <c r="CI58" s="11">
        <f t="shared" si="25"/>
        <v>9.6157844628533287E-2</v>
      </c>
      <c r="CK58" s="14"/>
      <c r="CL58" s="13" t="s">
        <v>2</v>
      </c>
      <c r="CN58" s="12"/>
      <c r="CO58" s="10">
        <f t="shared" si="26"/>
        <v>-12</v>
      </c>
      <c r="CP58" s="12">
        <f t="shared" si="27"/>
        <v>-400672</v>
      </c>
      <c r="CQ58" s="11">
        <f t="shared" si="28"/>
        <v>-1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>
        <v>249</v>
      </c>
      <c r="AJ59" s="46">
        <v>1398529.9999992</v>
      </c>
      <c r="AK59" s="27">
        <f t="shared" si="7"/>
        <v>31</v>
      </c>
      <c r="AL59" s="28">
        <f t="shared" si="7"/>
        <v>-179246.66666676989</v>
      </c>
      <c r="AM59" s="29">
        <f t="shared" si="8"/>
        <v>-0.1136071222586524</v>
      </c>
      <c r="AO59" s="9" t="s">
        <v>1</v>
      </c>
      <c r="AP59" s="9"/>
      <c r="AQ59" s="8">
        <v>230</v>
      </c>
      <c r="AR59" s="7">
        <v>1433417.6190466201</v>
      </c>
      <c r="AS59" s="27">
        <f t="shared" si="9"/>
        <v>-19</v>
      </c>
      <c r="AT59" s="28">
        <f t="shared" si="9"/>
        <v>34887.619047420099</v>
      </c>
      <c r="AU59" s="29">
        <f t="shared" si="10"/>
        <v>2.4945921108192215E-2</v>
      </c>
      <c r="AW59" s="9" t="s">
        <v>1</v>
      </c>
      <c r="AX59" s="9"/>
      <c r="AY59" s="8">
        <v>238</v>
      </c>
      <c r="AZ59" s="7">
        <v>1706268.57142757</v>
      </c>
      <c r="BA59" s="27">
        <f t="shared" si="11"/>
        <v>8</v>
      </c>
      <c r="BB59" s="28">
        <f t="shared" si="12"/>
        <v>272850.95238094986</v>
      </c>
      <c r="BC59" s="29">
        <f t="shared" si="13"/>
        <v>0.19034993623311652</v>
      </c>
      <c r="BE59" s="9" t="s">
        <v>1</v>
      </c>
      <c r="BF59" s="9"/>
      <c r="BG59" s="8">
        <v>254</v>
      </c>
      <c r="BH59" s="7">
        <v>1675750.95237987</v>
      </c>
      <c r="BI59" s="27">
        <f t="shared" si="14"/>
        <v>16</v>
      </c>
      <c r="BJ59" s="28">
        <f t="shared" si="15"/>
        <v>-30517.619047699962</v>
      </c>
      <c r="BK59" s="29">
        <f t="shared" si="16"/>
        <v>-1.7885589384188817E-2</v>
      </c>
      <c r="BM59" s="9" t="s">
        <v>1</v>
      </c>
      <c r="BN59" s="9"/>
      <c r="BO59" s="8">
        <v>226</v>
      </c>
      <c r="BP59" s="7">
        <v>1146679.9999990901</v>
      </c>
      <c r="BQ59" s="27">
        <f t="shared" si="17"/>
        <v>-28</v>
      </c>
      <c r="BR59" s="28">
        <f t="shared" si="18"/>
        <v>-529070.9523807799</v>
      </c>
      <c r="BS59" s="29">
        <f t="shared" si="19"/>
        <v>-0.31572170770925312</v>
      </c>
      <c r="BU59" s="9" t="s">
        <v>1</v>
      </c>
      <c r="BV59" s="9"/>
      <c r="BW59" s="8">
        <v>203</v>
      </c>
      <c r="BX59" s="7">
        <v>937608</v>
      </c>
      <c r="BY59" s="27">
        <f t="shared" si="32"/>
        <v>-23</v>
      </c>
      <c r="BZ59" s="28">
        <f t="shared" si="21"/>
        <v>-209071.9999990901</v>
      </c>
      <c r="CA59" s="29">
        <f t="shared" si="22"/>
        <v>-0.18232811246315972</v>
      </c>
      <c r="CC59" s="9" t="s">
        <v>1</v>
      </c>
      <c r="CD59" s="9"/>
      <c r="CE59" s="51">
        <v>211</v>
      </c>
      <c r="CF59" s="51">
        <v>1045103</v>
      </c>
      <c r="CG59" s="27">
        <f t="shared" si="23"/>
        <v>8</v>
      </c>
      <c r="CH59" s="28">
        <f t="shared" si="24"/>
        <v>107495</v>
      </c>
      <c r="CI59" s="29">
        <f t="shared" si="25"/>
        <v>0.1146481258692332</v>
      </c>
      <c r="CK59" s="9" t="s">
        <v>1</v>
      </c>
      <c r="CL59" s="9"/>
      <c r="CM59" s="8"/>
      <c r="CN59" s="7"/>
      <c r="CO59" s="27">
        <f t="shared" si="26"/>
        <v>-211</v>
      </c>
      <c r="CP59" s="28">
        <f t="shared" si="27"/>
        <v>-1045103</v>
      </c>
      <c r="CQ59" s="29">
        <f t="shared" si="28"/>
        <v>-1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>
        <v>1879</v>
      </c>
      <c r="AJ60" s="48">
        <v>14443175.714281667</v>
      </c>
      <c r="AK60" s="6">
        <f t="shared" si="7"/>
        <v>136</v>
      </c>
      <c r="AL60" s="5">
        <f t="shared" si="7"/>
        <v>134092.38095224835</v>
      </c>
      <c r="AM60" s="30">
        <f t="shared" si="8"/>
        <v>9.3711370483050994E-3</v>
      </c>
      <c r="AO60" s="4" t="s">
        <v>0</v>
      </c>
      <c r="AP60" s="4"/>
      <c r="AQ60" s="3">
        <v>2026</v>
      </c>
      <c r="AR60" s="2">
        <v>17977621.428564832</v>
      </c>
      <c r="AS60" s="6">
        <f t="shared" si="9"/>
        <v>147</v>
      </c>
      <c r="AT60" s="5">
        <f t="shared" si="9"/>
        <v>3534445.7142831646</v>
      </c>
      <c r="AU60" s="30">
        <f t="shared" si="10"/>
        <v>0.24471389008916108</v>
      </c>
      <c r="AW60" s="4" t="s">
        <v>0</v>
      </c>
      <c r="AX60" s="4"/>
      <c r="AY60" s="3">
        <v>1800</v>
      </c>
      <c r="AZ60" s="2">
        <v>14724800.95237501</v>
      </c>
      <c r="BA60" s="6">
        <f t="shared" si="11"/>
        <v>-226</v>
      </c>
      <c r="BB60" s="5">
        <f t="shared" si="12"/>
        <v>-3252820.476189822</v>
      </c>
      <c r="BC60" s="30">
        <f t="shared" si="13"/>
        <v>-0.18093719956864712</v>
      </c>
      <c r="BE60" s="4" t="s">
        <v>0</v>
      </c>
      <c r="BF60" s="4"/>
      <c r="BG60" s="3">
        <v>1717</v>
      </c>
      <c r="BH60" s="2">
        <v>10998812.76189879</v>
      </c>
      <c r="BI60" s="6">
        <f t="shared" si="14"/>
        <v>-83</v>
      </c>
      <c r="BJ60" s="5">
        <f t="shared" si="15"/>
        <v>-3725988.1904762201</v>
      </c>
      <c r="BK60" s="30">
        <f t="shared" si="16"/>
        <v>-0.2530416677636137</v>
      </c>
      <c r="BM60" s="4" t="s">
        <v>0</v>
      </c>
      <c r="BN60" s="4"/>
      <c r="BO60" s="3">
        <v>1693</v>
      </c>
      <c r="BP60" s="2">
        <v>10316829.33332772</v>
      </c>
      <c r="BQ60" s="6">
        <f t="shared" si="17"/>
        <v>-24</v>
      </c>
      <c r="BR60" s="5">
        <f t="shared" si="18"/>
        <v>-681983.42857106961</v>
      </c>
      <c r="BS60" s="30">
        <f t="shared" si="19"/>
        <v>-6.2005185771826413E-2</v>
      </c>
      <c r="BU60" s="4" t="s">
        <v>0</v>
      </c>
      <c r="BV60" s="4"/>
      <c r="BW60" s="3">
        <v>1694</v>
      </c>
      <c r="BX60" s="2">
        <v>11194351</v>
      </c>
      <c r="BY60" s="6">
        <f t="shared" si="32"/>
        <v>1</v>
      </c>
      <c r="BZ60" s="5">
        <f t="shared" si="21"/>
        <v>877521.66667228006</v>
      </c>
      <c r="CA60" s="30">
        <f t="shared" si="22"/>
        <v>8.5057301843456321E-2</v>
      </c>
      <c r="CC60" s="4" t="s">
        <v>0</v>
      </c>
      <c r="CD60" s="4"/>
      <c r="CE60" s="3">
        <v>1721</v>
      </c>
      <c r="CF60" s="2">
        <v>11523227</v>
      </c>
      <c r="CG60" s="6">
        <f t="shared" si="23"/>
        <v>27</v>
      </c>
      <c r="CH60" s="5">
        <f t="shared" si="24"/>
        <v>328876</v>
      </c>
      <c r="CI60" s="30">
        <f t="shared" si="25"/>
        <v>2.937874647668275E-2</v>
      </c>
      <c r="CK60" s="4" t="s">
        <v>0</v>
      </c>
      <c r="CL60" s="4"/>
      <c r="CM60" s="3"/>
      <c r="CN60" s="2"/>
      <c r="CO60" s="6">
        <f t="shared" si="26"/>
        <v>-1721</v>
      </c>
      <c r="CP60" s="5">
        <f t="shared" si="27"/>
        <v>-11523227</v>
      </c>
      <c r="CQ60" s="30">
        <f t="shared" si="28"/>
        <v>-1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2026-09-14T06:09:42Z</dcterms:modified>
</cp:coreProperties>
</file>