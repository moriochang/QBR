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0D1F727-1718-BF43-8B32-9F3868ABB800}" xr6:coauthVersionLast="47" xr6:coauthVersionMax="47" xr10:uidLastSave="{00000000-0000-0000-0000-000000000000}"/>
  <bookViews>
    <workbookView xWindow="15640" yWindow="32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<sst xmlns="http://schemas.openxmlformats.org/spreadsheetml/2006/main" count="838" uniqueCount="48">
  <si>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</si>
  <si>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</si>
  <si>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</si>
  <si>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</si>
  <si>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</si>
  <si>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</si>
  <si>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</si>
  <si>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</si>
  <si>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</si>
  <si>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</si>
  <si>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</si>
  <si>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</si>
  <si>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</si>
  <si>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</si>
  <si>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</si>
  <si>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</si>
  <si>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</si>
  <si>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</si>
  <si>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</si>
  <si>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</si>
  <si>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</si>
  <si>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</si>
  <si>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</si>
  <si>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</si>
  <si>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</si>
  <si>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</si>
  <si>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</si>
  <si>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</si>
  <si>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</si>
  <si>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</si>
  <si>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</si>
  <si>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</si>
  <si>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</si>
  <si>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</si>
  <si>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</si>
  <si>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</si>
  <si>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</si>
  <si>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</si>
  <si>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</si>
  <si>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</si>
  <si>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</si>
  <si>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</si>
  <si>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</si>
  <si>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</si>
  <si>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</si>
  <si>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</si>
  <si>
    <t>26Q4W10</t>
  </si>
  <si>
    <t>08/30-09/05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</si>
</sst>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40" zoomScale="75" workbookViewId="0">
      <pane xSplit="1" topLeftCell="BK1" activePane="topRight" state="frozen"/>
      <selection pane="topRight" activeCell="BM1" sqref="BM1:BP6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 t="s">
        <v>46</v>
      </c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U2" s="20" t="s">
        <v>47</v>
      </c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33</v>
      </c>
      <c r="BV4" s="19" t="s">
        <v>34</v>
      </c>
      <c r="BW4" s="18" t="s">
        <v>35</v>
      </c>
      <c r="BX4" s="17" t="s">
        <v>36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37</v>
      </c>
      <c r="BW5" s="15">
        <v>5042</v>
      </c>
      <c r="BX5" s="33"/>
      <c r="BY5" s="10">
        <f t="shared" ref="BY5:BY33" si="20">BW5-BO5</f>
        <v>-1220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-5042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38</v>
      </c>
      <c r="BX6" s="33"/>
      <c r="BY6" s="10">
        <f t="shared" si="20"/>
        <v>-10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W7" s="10">
        <v>198</v>
      </c>
      <c r="BX7" s="12">
        <v>205488</v>
      </c>
      <c r="BY7" s="10">
        <f t="shared" si="20"/>
        <v>-11</v>
      </c>
      <c r="BZ7" s="12">
        <f t="shared" si="21"/>
        <v>-4779.6190467200067</v>
      </c>
      <c r="CA7" s="11">
        <f t="shared" si="22"/>
        <v>-2.2731122692068E-2</v>
      </c>
      <c r="CC7" s="14"/>
      <c r="CD7" s="13" t="s">
        <v>9</v>
      </c>
      <c r="CF7" s="12"/>
      <c r="CG7" s="10">
        <f t="shared" si="23"/>
        <v>-198</v>
      </c>
      <c r="CH7" s="12">
        <f t="shared" si="24"/>
        <v>-205488</v>
      </c>
      <c r="CI7" s="11">
        <f t="shared" si="25"/>
        <v>-1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W8" s="10">
        <v>204</v>
      </c>
      <c r="BX8" s="12">
        <v>339810</v>
      </c>
      <c r="BY8" s="10">
        <f t="shared" si="20"/>
        <v>-67</v>
      </c>
      <c r="BZ8" s="12">
        <f t="shared" si="21"/>
        <v>2723.3333338199882</v>
      </c>
      <c r="CA8" s="11">
        <f t="shared" si="22"/>
        <v>8.0790301222947204E-3</v>
      </c>
      <c r="CC8" s="14"/>
      <c r="CD8" s="13" t="s">
        <v>8</v>
      </c>
      <c r="CF8" s="12"/>
      <c r="CG8" s="10">
        <f t="shared" si="23"/>
        <v>-204</v>
      </c>
      <c r="CH8" s="12">
        <f t="shared" si="24"/>
        <v>-339810</v>
      </c>
      <c r="CI8" s="11">
        <f t="shared" si="25"/>
        <v>-1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W9" s="10">
        <v>57</v>
      </c>
      <c r="BX9" s="12">
        <v>396124</v>
      </c>
      <c r="BY9" s="10">
        <f t="shared" si="20"/>
        <v>4</v>
      </c>
      <c r="BZ9" s="12">
        <f t="shared" si="21"/>
        <v>19485.904761969985</v>
      </c>
      <c r="CA9" s="11">
        <f t="shared" si="22"/>
        <v>5.1736414898910225E-2</v>
      </c>
      <c r="CC9" s="14"/>
      <c r="CD9" s="13" t="s">
        <v>7</v>
      </c>
      <c r="CF9" s="12"/>
      <c r="CG9" s="10">
        <f t="shared" si="23"/>
        <v>-57</v>
      </c>
      <c r="CH9" s="12">
        <f t="shared" si="24"/>
        <v>-396124</v>
      </c>
      <c r="CI9" s="11">
        <f t="shared" si="25"/>
        <v>-1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W10" s="10">
        <v>59</v>
      </c>
      <c r="BX10" s="12">
        <v>495333</v>
      </c>
      <c r="BY10" s="10">
        <f t="shared" si="20"/>
        <v>54</v>
      </c>
      <c r="BZ10" s="12">
        <f t="shared" si="21"/>
        <v>454856.80952383002</v>
      </c>
      <c r="CA10" s="11">
        <f t="shared" si="22"/>
        <v>11.237638823535603</v>
      </c>
      <c r="CC10" s="14"/>
      <c r="CD10" s="13" t="s">
        <v>6</v>
      </c>
      <c r="CF10" s="12"/>
      <c r="CG10" s="10">
        <f t="shared" si="23"/>
        <v>-59</v>
      </c>
      <c r="CH10" s="12">
        <f t="shared" si="24"/>
        <v>-495333</v>
      </c>
      <c r="CI10" s="11">
        <f t="shared" si="25"/>
        <v>-1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W11" s="10">
        <v>6</v>
      </c>
      <c r="BX11" s="12">
        <v>32240</v>
      </c>
      <c r="BY11" s="10">
        <f t="shared" si="20"/>
        <v>1</v>
      </c>
      <c r="BZ11" s="12">
        <f t="shared" si="21"/>
        <v>11090</v>
      </c>
      <c r="CA11" s="11">
        <f t="shared" si="22"/>
        <v>0.52434988179669029</v>
      </c>
      <c r="CC11" s="14"/>
      <c r="CD11" s="13" t="s">
        <v>5</v>
      </c>
      <c r="CF11" s="12"/>
      <c r="CG11" s="10">
        <f t="shared" si="23"/>
        <v>-6</v>
      </c>
      <c r="CH11" s="12">
        <f t="shared" si="24"/>
        <v>-32240</v>
      </c>
      <c r="CI11" s="11">
        <f t="shared" si="25"/>
        <v>-1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W12" s="10">
        <v>29</v>
      </c>
      <c r="BX12" s="12">
        <v>1151102</v>
      </c>
      <c r="BY12" s="10">
        <f t="shared" si="20"/>
        <v>5</v>
      </c>
      <c r="BZ12" s="12">
        <f t="shared" si="21"/>
        <v>352678.19047627004</v>
      </c>
      <c r="CA12" s="11">
        <f t="shared" si="22"/>
        <v>0.44171802778106917</v>
      </c>
      <c r="CC12" s="14"/>
      <c r="CD12" s="13" t="s">
        <v>4</v>
      </c>
      <c r="CF12" s="12"/>
      <c r="CG12" s="10">
        <f t="shared" si="23"/>
        <v>-29</v>
      </c>
      <c r="CH12" s="12">
        <f t="shared" si="24"/>
        <v>-1151102</v>
      </c>
      <c r="CI12" s="11">
        <f t="shared" si="25"/>
        <v>-1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W13" s="10">
        <v>49</v>
      </c>
      <c r="BX13" s="12">
        <v>1278952</v>
      </c>
      <c r="BY13" s="10">
        <f t="shared" si="20"/>
        <v>4</v>
      </c>
      <c r="BZ13" s="12">
        <f t="shared" si="21"/>
        <v>297713.90476208006</v>
      </c>
      <c r="CA13" s="11">
        <f t="shared" si="22"/>
        <v>0.30340638648960488</v>
      </c>
      <c r="CC13" s="14"/>
      <c r="CD13" s="13" t="s">
        <v>3</v>
      </c>
      <c r="CF13" s="12"/>
      <c r="CG13" s="10">
        <f t="shared" si="23"/>
        <v>-49</v>
      </c>
      <c r="CH13" s="12">
        <f t="shared" si="24"/>
        <v>-1278952</v>
      </c>
      <c r="CI13" s="11">
        <f t="shared" si="25"/>
        <v>-1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W14" s="10">
        <v>40</v>
      </c>
      <c r="BX14" s="12">
        <v>1330476</v>
      </c>
      <c r="BY14" s="10">
        <f t="shared" si="20"/>
        <v>8</v>
      </c>
      <c r="BZ14" s="12">
        <f t="shared" si="21"/>
        <v>186856.95238101995</v>
      </c>
      <c r="CA14" s="11">
        <f t="shared" si="22"/>
        <v>0.16339090606269366</v>
      </c>
      <c r="CC14" s="14"/>
      <c r="CD14" s="13" t="s">
        <v>2</v>
      </c>
      <c r="CF14" s="12"/>
      <c r="CG14" s="10">
        <f t="shared" si="23"/>
        <v>-40</v>
      </c>
      <c r="CH14" s="12">
        <f t="shared" si="24"/>
        <v>-1330476</v>
      </c>
      <c r="CI14" s="11">
        <f t="shared" si="25"/>
        <v>-1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39</v>
      </c>
      <c r="BV15" s="9"/>
      <c r="BW15" s="8">
        <v>642</v>
      </c>
      <c r="BX15" s="7">
        <v>5229525</v>
      </c>
      <c r="BY15" s="27">
        <f t="shared" si="20"/>
        <v>-2</v>
      </c>
      <c r="BZ15" s="28">
        <f t="shared" si="21"/>
        <v>1320625.4761922699</v>
      </c>
      <c r="CA15" s="29">
        <f t="shared" si="22"/>
        <v>0.33785096499636413</v>
      </c>
      <c r="CC15" s="9" t="s">
        <v>18</v>
      </c>
      <c r="CD15" s="9"/>
      <c r="CE15" s="8"/>
      <c r="CF15" s="7"/>
      <c r="CG15" s="27">
        <f t="shared" si="23"/>
        <v>-642</v>
      </c>
      <c r="CH15" s="28">
        <f t="shared" si="24"/>
        <v>-5229525</v>
      </c>
      <c r="CI15" s="29">
        <f t="shared" si="25"/>
        <v>-1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37</v>
      </c>
      <c r="BW16" s="15">
        <v>3854</v>
      </c>
      <c r="BX16" s="33"/>
      <c r="BY16" s="10">
        <f t="shared" si="20"/>
        <v>-82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-3854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38</v>
      </c>
      <c r="BW17" s="15"/>
      <c r="BX17" s="33"/>
      <c r="BY17" s="10">
        <f t="shared" si="20"/>
        <v>-6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W18" s="10">
        <v>139</v>
      </c>
      <c r="BX18" s="12">
        <v>140534</v>
      </c>
      <c r="BY18" s="10">
        <f t="shared" si="20"/>
        <v>10</v>
      </c>
      <c r="BZ18" s="12">
        <f t="shared" si="21"/>
        <v>24076.857143369998</v>
      </c>
      <c r="CA18" s="11">
        <f t="shared" si="22"/>
        <v>0.20674435721826814</v>
      </c>
      <c r="CC18" s="14"/>
      <c r="CD18" s="13" t="s">
        <v>9</v>
      </c>
      <c r="CF18" s="12"/>
      <c r="CG18" s="10">
        <f t="shared" si="23"/>
        <v>-139</v>
      </c>
      <c r="CH18" s="12">
        <f t="shared" si="24"/>
        <v>-140534</v>
      </c>
      <c r="CI18" s="11">
        <f t="shared" si="25"/>
        <v>-1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W19" s="10">
        <v>183</v>
      </c>
      <c r="BX19" s="12">
        <v>189429</v>
      </c>
      <c r="BY19" s="10">
        <f t="shared" si="20"/>
        <v>19</v>
      </c>
      <c r="BZ19" s="12">
        <f t="shared" si="21"/>
        <v>12105.190476590011</v>
      </c>
      <c r="CA19" s="11">
        <f t="shared" si="22"/>
        <v>6.8266018585574684E-2</v>
      </c>
      <c r="CC19" s="14"/>
      <c r="CD19" s="13" t="s">
        <v>8</v>
      </c>
      <c r="CF19" s="12"/>
      <c r="CG19" s="10">
        <f t="shared" si="23"/>
        <v>-183</v>
      </c>
      <c r="CH19" s="12">
        <f t="shared" si="24"/>
        <v>-189429</v>
      </c>
      <c r="CI19" s="11">
        <f t="shared" si="25"/>
        <v>-1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W20" s="10">
        <v>23</v>
      </c>
      <c r="BX20" s="12">
        <v>131210</v>
      </c>
      <c r="BY20" s="10">
        <f t="shared" si="20"/>
        <v>-13</v>
      </c>
      <c r="BZ20" s="12">
        <f t="shared" si="21"/>
        <v>-89875.71428565</v>
      </c>
      <c r="CA20" s="11">
        <f t="shared" si="22"/>
        <v>-0.40651977255087424</v>
      </c>
      <c r="CC20" s="14"/>
      <c r="CD20" s="13" t="s">
        <v>7</v>
      </c>
      <c r="CF20" s="12"/>
      <c r="CG20" s="10">
        <f t="shared" si="23"/>
        <v>-23</v>
      </c>
      <c r="CH20" s="12">
        <f t="shared" si="24"/>
        <v>-131210</v>
      </c>
      <c r="CI20" s="11">
        <f t="shared" si="25"/>
        <v>-1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W21" s="10">
        <v>1</v>
      </c>
      <c r="BX21" s="12">
        <v>7524</v>
      </c>
      <c r="BY21" s="10">
        <f t="shared" si="20"/>
        <v>-7</v>
      </c>
      <c r="BZ21" s="12">
        <f t="shared" si="21"/>
        <v>-60285.523809480001</v>
      </c>
      <c r="CA21" s="11">
        <f t="shared" si="22"/>
        <v>-0.88904213483138894</v>
      </c>
      <c r="CC21" s="14"/>
      <c r="CD21" s="13" t="s">
        <v>6</v>
      </c>
      <c r="CF21" s="12"/>
      <c r="CG21" s="10">
        <f t="shared" si="23"/>
        <v>-1</v>
      </c>
      <c r="CH21" s="12">
        <f t="shared" si="24"/>
        <v>-7524</v>
      </c>
      <c r="CI21" s="11">
        <f t="shared" si="25"/>
        <v>-1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W22" s="10">
        <v>12</v>
      </c>
      <c r="BX22" s="12">
        <v>67380</v>
      </c>
      <c r="BY22" s="10">
        <f t="shared" si="20"/>
        <v>-2</v>
      </c>
      <c r="BZ22" s="12">
        <f t="shared" si="21"/>
        <v>-10928</v>
      </c>
      <c r="CA22" s="11">
        <f t="shared" si="22"/>
        <v>-0.13955151453235939</v>
      </c>
      <c r="CC22" s="14"/>
      <c r="CD22" s="13" t="s">
        <v>5</v>
      </c>
      <c r="CF22" s="12"/>
      <c r="CG22" s="10">
        <f t="shared" si="23"/>
        <v>-12</v>
      </c>
      <c r="CH22" s="12">
        <f t="shared" si="24"/>
        <v>-67380</v>
      </c>
      <c r="CI22" s="11">
        <f t="shared" si="25"/>
        <v>-1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W23" s="10">
        <v>24</v>
      </c>
      <c r="BX23" s="12">
        <v>731464</v>
      </c>
      <c r="BY23" s="10">
        <f t="shared" si="20"/>
        <v>8</v>
      </c>
      <c r="BZ23" s="12">
        <f t="shared" si="21"/>
        <v>176130.66666675999</v>
      </c>
      <c r="CA23" s="11">
        <f t="shared" si="22"/>
        <v>0.31716206482615172</v>
      </c>
      <c r="CC23" s="14"/>
      <c r="CD23" s="13" t="s">
        <v>4</v>
      </c>
      <c r="CF23" s="12"/>
      <c r="CG23" s="10">
        <f t="shared" si="23"/>
        <v>-24</v>
      </c>
      <c r="CH23" s="12">
        <f t="shared" si="24"/>
        <v>-731464</v>
      </c>
      <c r="CI23" s="11">
        <f t="shared" si="25"/>
        <v>-1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W24" s="10">
        <v>28</v>
      </c>
      <c r="BX24" s="12">
        <v>737238</v>
      </c>
      <c r="BY24" s="10">
        <f t="shared" si="20"/>
        <v>0</v>
      </c>
      <c r="BZ24" s="12">
        <f t="shared" si="21"/>
        <v>145333.23809535999</v>
      </c>
      <c r="CA24" s="11">
        <f t="shared" si="22"/>
        <v>0.2455348350766845</v>
      </c>
      <c r="CC24" s="14"/>
      <c r="CD24" s="13" t="s">
        <v>3</v>
      </c>
      <c r="CF24" s="12"/>
      <c r="CG24" s="10">
        <f t="shared" si="23"/>
        <v>-28</v>
      </c>
      <c r="CH24" s="12">
        <f t="shared" si="24"/>
        <v>-737238</v>
      </c>
      <c r="CI24" s="11">
        <f t="shared" si="25"/>
        <v>-1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W25" s="10">
        <v>27</v>
      </c>
      <c r="BX25" s="12">
        <v>927717</v>
      </c>
      <c r="BY25" s="10">
        <f t="shared" si="20"/>
        <v>-7</v>
      </c>
      <c r="BZ25" s="12">
        <f t="shared" si="21"/>
        <v>-297616.33333325991</v>
      </c>
      <c r="CA25" s="11">
        <f t="shared" si="22"/>
        <v>-0.24288601741018315</v>
      </c>
      <c r="CC25" s="14"/>
      <c r="CD25" s="13" t="s">
        <v>2</v>
      </c>
      <c r="CF25" s="12"/>
      <c r="CG25" s="10">
        <f t="shared" si="23"/>
        <v>-27</v>
      </c>
      <c r="CH25" s="12">
        <f t="shared" si="24"/>
        <v>-927717</v>
      </c>
      <c r="CI25" s="11">
        <f t="shared" si="25"/>
        <v>-1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>
        <v>437</v>
      </c>
      <c r="BX26" s="7">
        <v>2932496</v>
      </c>
      <c r="BY26" s="27">
        <f t="shared" si="20"/>
        <v>8</v>
      </c>
      <c r="BZ26" s="28">
        <f t="shared" si="21"/>
        <v>-101059.61904630996</v>
      </c>
      <c r="CA26" s="29">
        <f t="shared" si="22"/>
        <v>-3.331391665008638E-2</v>
      </c>
      <c r="CC26" s="9" t="s">
        <v>12</v>
      </c>
      <c r="CD26" s="9"/>
      <c r="CE26" s="8"/>
      <c r="CF26" s="7"/>
      <c r="CG26" s="27">
        <f t="shared" si="23"/>
        <v>-437</v>
      </c>
      <c r="CH26" s="28">
        <f t="shared" si="24"/>
        <v>-2932496</v>
      </c>
      <c r="CI26" s="29">
        <f t="shared" si="25"/>
        <v>-1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37</v>
      </c>
      <c r="BW27" s="15">
        <v>2744</v>
      </c>
      <c r="BX27" s="33"/>
      <c r="BY27" s="10">
        <f t="shared" si="20"/>
        <v>-431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-2744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38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W29" s="10">
        <v>86</v>
      </c>
      <c r="BX29" s="12">
        <v>95122</v>
      </c>
      <c r="BY29" s="10">
        <f t="shared" si="20"/>
        <v>20</v>
      </c>
      <c r="BZ29" s="12">
        <f t="shared" si="21"/>
        <v>38525.809524099997</v>
      </c>
      <c r="CA29" s="11">
        <f t="shared" si="22"/>
        <v>0.68071382897237931</v>
      </c>
      <c r="CC29" s="14"/>
      <c r="CD29" s="13" t="s">
        <v>9</v>
      </c>
      <c r="CF29" s="12"/>
      <c r="CG29" s="10">
        <f t="shared" si="23"/>
        <v>-86</v>
      </c>
      <c r="CH29" s="12">
        <f t="shared" si="24"/>
        <v>-95122</v>
      </c>
      <c r="CI29" s="11">
        <f t="shared" si="25"/>
        <v>-1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W30" s="10">
        <v>61</v>
      </c>
      <c r="BX30" s="12">
        <v>52987</v>
      </c>
      <c r="BY30" s="10">
        <f t="shared" si="20"/>
        <v>-5</v>
      </c>
      <c r="BZ30" s="12">
        <f t="shared" si="21"/>
        <v>-19441.571428359995</v>
      </c>
      <c r="CA30" s="11">
        <f t="shared" si="22"/>
        <v>-0.26842406311423522</v>
      </c>
      <c r="CC30" s="14"/>
      <c r="CD30" s="13" t="s">
        <v>8</v>
      </c>
      <c r="CF30" s="12"/>
      <c r="CG30" s="10">
        <f t="shared" si="23"/>
        <v>-61</v>
      </c>
      <c r="CH30" s="12">
        <f t="shared" si="24"/>
        <v>-52987</v>
      </c>
      <c r="CI30" s="11">
        <f t="shared" si="25"/>
        <v>-1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W31" s="10">
        <v>16</v>
      </c>
      <c r="BX31" s="12">
        <v>102048</v>
      </c>
      <c r="BY31" s="10">
        <f t="shared" si="20"/>
        <v>-1</v>
      </c>
      <c r="BZ31" s="12">
        <f t="shared" si="21"/>
        <v>-28266.285714219994</v>
      </c>
      <c r="CA31" s="11">
        <f t="shared" si="22"/>
        <v>-0.21690857268103458</v>
      </c>
      <c r="CC31" s="14"/>
      <c r="CD31" s="13" t="s">
        <v>7</v>
      </c>
      <c r="CF31" s="12"/>
      <c r="CG31" s="10">
        <f t="shared" si="23"/>
        <v>-16</v>
      </c>
      <c r="CH31" s="12">
        <f t="shared" si="24"/>
        <v>-102048</v>
      </c>
      <c r="CI31" s="11">
        <f t="shared" si="25"/>
        <v>-1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W32" s="10">
        <v>3</v>
      </c>
      <c r="BX32" s="12">
        <v>27333</v>
      </c>
      <c r="BY32" s="10">
        <f t="shared" si="20"/>
        <v>-5</v>
      </c>
      <c r="BZ32" s="12">
        <f t="shared" si="21"/>
        <v>-56666.999999959997</v>
      </c>
      <c r="CA32" s="11">
        <f t="shared" si="22"/>
        <v>-0.67460714285698786</v>
      </c>
      <c r="CC32" s="14"/>
      <c r="CD32" s="13" t="s">
        <v>6</v>
      </c>
      <c r="CF32" s="12"/>
      <c r="CG32" s="10">
        <f t="shared" si="23"/>
        <v>-3</v>
      </c>
      <c r="CH32" s="12">
        <f t="shared" si="24"/>
        <v>-27333</v>
      </c>
      <c r="CI32" s="11">
        <f t="shared" si="25"/>
        <v>-1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W33" s="10">
        <v>0</v>
      </c>
      <c r="BX33" s="12">
        <v>0</v>
      </c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W34" s="10">
        <v>6</v>
      </c>
      <c r="BX34" s="12">
        <v>173517</v>
      </c>
      <c r="BY34" s="10">
        <f t="shared" ref="BY34:BY60" si="32">BW34-BO34</f>
        <v>3</v>
      </c>
      <c r="BZ34" s="12">
        <f t="shared" si="21"/>
        <v>103326.52380954</v>
      </c>
      <c r="CA34" s="11">
        <f t="shared" si="22"/>
        <v>1.4720875169612215</v>
      </c>
      <c r="CC34" s="14"/>
      <c r="CD34" s="13" t="s">
        <v>4</v>
      </c>
      <c r="CF34" s="12"/>
      <c r="CG34" s="10">
        <f t="shared" si="23"/>
        <v>-6</v>
      </c>
      <c r="CH34" s="12">
        <f t="shared" si="24"/>
        <v>-173517</v>
      </c>
      <c r="CI34" s="11">
        <f t="shared" si="25"/>
        <v>-1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W35" s="10">
        <v>6</v>
      </c>
      <c r="BX35" s="12">
        <v>121143</v>
      </c>
      <c r="BY35" s="10">
        <f t="shared" si="32"/>
        <v>1</v>
      </c>
      <c r="BZ35" s="12">
        <f t="shared" si="21"/>
        <v>-39333.190476170013</v>
      </c>
      <c r="CA35" s="11">
        <f t="shared" si="22"/>
        <v>-0.24510296735895418</v>
      </c>
      <c r="CC35" s="14"/>
      <c r="CD35" s="13" t="s">
        <v>3</v>
      </c>
      <c r="CF35" s="12"/>
      <c r="CG35" s="10">
        <f t="shared" si="23"/>
        <v>-6</v>
      </c>
      <c r="CH35" s="12">
        <f t="shared" si="24"/>
        <v>-121143</v>
      </c>
      <c r="CI35" s="11">
        <f t="shared" si="25"/>
        <v>-1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W36" s="10">
        <v>9</v>
      </c>
      <c r="BX36" s="12">
        <v>324290</v>
      </c>
      <c r="BY36" s="10">
        <f t="shared" si="32"/>
        <v>1</v>
      </c>
      <c r="BZ36" s="12">
        <f t="shared" si="21"/>
        <v>44099.523809540027</v>
      </c>
      <c r="CA36" s="11">
        <f t="shared" si="22"/>
        <v>0.15739123045553946</v>
      </c>
      <c r="CC36" s="14"/>
      <c r="CD36" s="13" t="s">
        <v>2</v>
      </c>
      <c r="CF36" s="12"/>
      <c r="CG36" s="10">
        <f t="shared" si="23"/>
        <v>-9</v>
      </c>
      <c r="CH36" s="12">
        <f t="shared" si="24"/>
        <v>-324290</v>
      </c>
      <c r="CI36" s="11">
        <f t="shared" si="25"/>
        <v>-1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>
        <v>187</v>
      </c>
      <c r="BX37" s="7">
        <v>896440</v>
      </c>
      <c r="BY37" s="27">
        <f t="shared" si="32"/>
        <v>13</v>
      </c>
      <c r="BZ37" s="28">
        <f t="shared" si="21"/>
        <v>41253.809524470009</v>
      </c>
      <c r="CA37" s="29">
        <f t="shared" si="22"/>
        <v>4.8239564651448186E-2</v>
      </c>
      <c r="CC37" s="9" t="s">
        <v>11</v>
      </c>
      <c r="CD37" s="9"/>
      <c r="CE37" s="8"/>
      <c r="CF37" s="7"/>
      <c r="CG37" s="27">
        <f t="shared" si="23"/>
        <v>-187</v>
      </c>
      <c r="CH37" s="28">
        <f t="shared" si="24"/>
        <v>-896440</v>
      </c>
      <c r="CI37" s="29">
        <f t="shared" si="25"/>
        <v>-1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37</v>
      </c>
      <c r="BW38" s="15">
        <v>1732</v>
      </c>
      <c r="BX38" s="33"/>
      <c r="BY38" s="10">
        <f t="shared" si="32"/>
        <v>60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-1732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38</v>
      </c>
      <c r="BW39" s="15"/>
      <c r="BX39" s="33"/>
      <c r="BY39" s="10">
        <f t="shared" si="32"/>
        <v>-2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W40" s="10">
        <v>79</v>
      </c>
      <c r="BX40" s="12">
        <v>66290</v>
      </c>
      <c r="BY40" s="10">
        <f t="shared" si="32"/>
        <v>-25</v>
      </c>
      <c r="BZ40" s="12">
        <f t="shared" si="21"/>
        <v>-9716.6666661299969</v>
      </c>
      <c r="CA40" s="11">
        <f t="shared" si="22"/>
        <v>-0.12783966318128154</v>
      </c>
      <c r="CC40" s="14"/>
      <c r="CD40" s="13" t="s">
        <v>9</v>
      </c>
      <c r="CF40" s="12"/>
      <c r="CG40" s="10">
        <f t="shared" si="23"/>
        <v>-79</v>
      </c>
      <c r="CH40" s="12">
        <f t="shared" si="24"/>
        <v>-66290</v>
      </c>
      <c r="CI40" s="11">
        <f t="shared" si="25"/>
        <v>-1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W41" s="10">
        <v>98</v>
      </c>
      <c r="BX41" s="12">
        <v>87552</v>
      </c>
      <c r="BY41" s="10">
        <f t="shared" si="32"/>
        <v>32</v>
      </c>
      <c r="BZ41" s="12">
        <f t="shared" si="21"/>
        <v>1990.0952383399999</v>
      </c>
      <c r="CA41" s="11">
        <f t="shared" si="22"/>
        <v>2.3259127340416047E-2</v>
      </c>
      <c r="CC41" s="14"/>
      <c r="CD41" s="13" t="s">
        <v>8</v>
      </c>
      <c r="CF41" s="12"/>
      <c r="CG41" s="10">
        <f t="shared" si="23"/>
        <v>-98</v>
      </c>
      <c r="CH41" s="12">
        <f t="shared" si="24"/>
        <v>-87552</v>
      </c>
      <c r="CI41" s="11">
        <f t="shared" si="25"/>
        <v>-1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W42" s="10">
        <v>11</v>
      </c>
      <c r="BX42" s="12">
        <v>61324</v>
      </c>
      <c r="BY42" s="10">
        <f t="shared" si="32"/>
        <v>7</v>
      </c>
      <c r="BZ42" s="12">
        <f t="shared" si="21"/>
        <v>34219.238095249995</v>
      </c>
      <c r="CA42" s="11">
        <f t="shared" si="22"/>
        <v>1.2624806746320547</v>
      </c>
      <c r="CC42" s="14"/>
      <c r="CD42" s="13" t="s">
        <v>7</v>
      </c>
      <c r="CF42" s="12"/>
      <c r="CG42" s="10">
        <f t="shared" si="23"/>
        <v>-11</v>
      </c>
      <c r="CH42" s="12">
        <f t="shared" si="24"/>
        <v>-61324</v>
      </c>
      <c r="CI42" s="11">
        <f t="shared" si="25"/>
        <v>-1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W43" s="10">
        <v>3</v>
      </c>
      <c r="BX43" s="12">
        <v>27333</v>
      </c>
      <c r="BY43" s="10">
        <f t="shared" si="32"/>
        <v>1</v>
      </c>
      <c r="BZ43" s="12">
        <f t="shared" si="21"/>
        <v>10380.619047619999</v>
      </c>
      <c r="CA43" s="11">
        <f t="shared" si="22"/>
        <v>0.61233988764053993</v>
      </c>
      <c r="CC43" s="14"/>
      <c r="CD43" s="13" t="s">
        <v>6</v>
      </c>
      <c r="CF43" s="12"/>
      <c r="CG43" s="10">
        <f t="shared" si="23"/>
        <v>-3</v>
      </c>
      <c r="CH43" s="12">
        <f t="shared" si="24"/>
        <v>-27333</v>
      </c>
      <c r="CI43" s="11">
        <f t="shared" si="25"/>
        <v>-1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W44" s="10">
        <v>2</v>
      </c>
      <c r="BX44" s="12">
        <v>10680</v>
      </c>
      <c r="BY44" s="10">
        <f t="shared" si="32"/>
        <v>0</v>
      </c>
      <c r="BZ44" s="12">
        <f t="shared" si="21"/>
        <v>6072</v>
      </c>
      <c r="CA44" s="11">
        <f t="shared" si="22"/>
        <v>1.3177083333333333</v>
      </c>
      <c r="CC44" s="14"/>
      <c r="CD44" s="13" t="s">
        <v>5</v>
      </c>
      <c r="CE44" s="50"/>
      <c r="CF44" s="50"/>
      <c r="CG44" s="10">
        <f t="shared" si="23"/>
        <v>-2</v>
      </c>
      <c r="CH44" s="12">
        <f t="shared" si="24"/>
        <v>-10680</v>
      </c>
      <c r="CI44" s="11">
        <f t="shared" si="25"/>
        <v>-1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W45" s="10">
        <v>8</v>
      </c>
      <c r="BX45" s="12">
        <v>258722</v>
      </c>
      <c r="BY45" s="10">
        <f t="shared" si="32"/>
        <v>1</v>
      </c>
      <c r="BZ45" s="12">
        <f t="shared" si="21"/>
        <v>44179.142857189989</v>
      </c>
      <c r="CA45" s="11">
        <f t="shared" si="22"/>
        <v>0.20592222666160465</v>
      </c>
      <c r="CC45" s="14"/>
      <c r="CD45" s="13" t="s">
        <v>4</v>
      </c>
      <c r="CE45" s="50"/>
      <c r="CF45" s="50"/>
      <c r="CG45" s="10">
        <f t="shared" si="23"/>
        <v>-8</v>
      </c>
      <c r="CH45" s="12">
        <f t="shared" si="24"/>
        <v>-258722</v>
      </c>
      <c r="CI45" s="11">
        <f t="shared" si="25"/>
        <v>-1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W46" s="10">
        <v>9</v>
      </c>
      <c r="BX46" s="12">
        <v>187810</v>
      </c>
      <c r="BY46" s="10">
        <f t="shared" si="32"/>
        <v>-4</v>
      </c>
      <c r="BZ46" s="12">
        <f t="shared" si="21"/>
        <v>-57428.095238020003</v>
      </c>
      <c r="CA46" s="11">
        <f t="shared" si="22"/>
        <v>-0.23417281553374564</v>
      </c>
      <c r="CC46" s="14"/>
      <c r="CD46" s="13" t="s">
        <v>3</v>
      </c>
      <c r="CE46" s="50"/>
      <c r="CF46" s="50"/>
      <c r="CG46" s="10">
        <f t="shared" si="23"/>
        <v>-9</v>
      </c>
      <c r="CH46" s="12">
        <f t="shared" si="24"/>
        <v>-187810</v>
      </c>
      <c r="CI46" s="11">
        <f t="shared" si="25"/>
        <v>-1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W47" s="10">
        <v>15</v>
      </c>
      <c r="BX47" s="12">
        <v>498571</v>
      </c>
      <c r="BY47" s="10">
        <f t="shared" si="32"/>
        <v>-7</v>
      </c>
      <c r="BZ47" s="12">
        <f t="shared" si="21"/>
        <v>-203922.33333330997</v>
      </c>
      <c r="CA47" s="11">
        <f t="shared" si="22"/>
        <v>-0.29028365630988207</v>
      </c>
      <c r="CC47" s="14"/>
      <c r="CD47" s="13" t="s">
        <v>2</v>
      </c>
      <c r="CE47" s="50"/>
      <c r="CF47" s="50"/>
      <c r="CG47" s="10">
        <f t="shared" si="23"/>
        <v>-15</v>
      </c>
      <c r="CH47" s="12">
        <f t="shared" si="24"/>
        <v>-498571</v>
      </c>
      <c r="CI47" s="11">
        <f t="shared" si="25"/>
        <v>-1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>
        <v>225</v>
      </c>
      <c r="BX48" s="7">
        <v>1198282</v>
      </c>
      <c r="BY48" s="27">
        <f t="shared" si="32"/>
        <v>5</v>
      </c>
      <c r="BZ48" s="28">
        <f t="shared" si="21"/>
        <v>-174225.99999906006</v>
      </c>
      <c r="CA48" s="29">
        <f t="shared" si="22"/>
        <v>-0.12693987940265514</v>
      </c>
      <c r="CC48" s="9" t="s">
        <v>10</v>
      </c>
      <c r="CD48" s="9"/>
      <c r="CE48" s="51"/>
      <c r="CF48" s="51"/>
      <c r="CG48" s="27">
        <f t="shared" si="23"/>
        <v>-225</v>
      </c>
      <c r="CH48" s="28">
        <f t="shared" si="24"/>
        <v>-1198282</v>
      </c>
      <c r="CI48" s="29">
        <f t="shared" si="25"/>
        <v>-1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37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38</v>
      </c>
      <c r="BW50" s="15"/>
      <c r="BX50" s="33"/>
      <c r="BY50" s="10">
        <f t="shared" si="32"/>
        <v>-2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W51" s="10">
        <v>104</v>
      </c>
      <c r="BX51" s="12">
        <v>95841</v>
      </c>
      <c r="BY51" s="10">
        <f t="shared" si="32"/>
        <v>-5</v>
      </c>
      <c r="BZ51" s="12">
        <f t="shared" si="21"/>
        <v>-13134.238094710003</v>
      </c>
      <c r="CA51" s="11">
        <f t="shared" si="22"/>
        <v>-0.1205249772732323</v>
      </c>
      <c r="CC51" s="14"/>
      <c r="CD51" s="13" t="s">
        <v>9</v>
      </c>
      <c r="CF51" s="12"/>
      <c r="CG51" s="10">
        <f t="shared" si="23"/>
        <v>-104</v>
      </c>
      <c r="CH51" s="12">
        <f t="shared" si="24"/>
        <v>-95841</v>
      </c>
      <c r="CI51" s="11">
        <f t="shared" si="25"/>
        <v>-1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W52" s="10">
        <v>63</v>
      </c>
      <c r="BX52" s="12">
        <v>89305</v>
      </c>
      <c r="BY52" s="10">
        <f t="shared" si="32"/>
        <v>-13</v>
      </c>
      <c r="BZ52" s="12">
        <f t="shared" si="21"/>
        <v>12781.190476410004</v>
      </c>
      <c r="CA52" s="11">
        <f t="shared" si="22"/>
        <v>0.167022401994636</v>
      </c>
      <c r="CC52" s="14"/>
      <c r="CD52" s="13" t="s">
        <v>8</v>
      </c>
      <c r="CF52" s="12"/>
      <c r="CG52" s="10">
        <f t="shared" si="23"/>
        <v>-63</v>
      </c>
      <c r="CH52" s="12">
        <f t="shared" si="24"/>
        <v>-89305</v>
      </c>
      <c r="CI52" s="11">
        <f t="shared" si="25"/>
        <v>-1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W53" s="10">
        <v>6</v>
      </c>
      <c r="BX53" s="12">
        <v>35657</v>
      </c>
      <c r="BY53" s="10">
        <f t="shared" si="32"/>
        <v>-1</v>
      </c>
      <c r="BZ53" s="12">
        <f t="shared" si="21"/>
        <v>-16301.095238069996</v>
      </c>
      <c r="CA53" s="11">
        <f t="shared" si="22"/>
        <v>-0.31373542781695524</v>
      </c>
      <c r="CC53" s="14"/>
      <c r="CD53" s="13" t="s">
        <v>7</v>
      </c>
      <c r="CF53" s="12"/>
      <c r="CG53" s="10">
        <f t="shared" si="23"/>
        <v>-6</v>
      </c>
      <c r="CH53" s="12">
        <f t="shared" si="24"/>
        <v>-35657</v>
      </c>
      <c r="CI53" s="11">
        <f t="shared" si="25"/>
        <v>-1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W54" s="10">
        <v>2</v>
      </c>
      <c r="BX54" s="12">
        <v>15048</v>
      </c>
      <c r="BY54" s="10">
        <f t="shared" si="32"/>
        <v>-1</v>
      </c>
      <c r="BZ54" s="12">
        <f t="shared" si="21"/>
        <v>-7523.4285713999998</v>
      </c>
      <c r="CA54" s="11">
        <f t="shared" si="22"/>
        <v>-0.33331645569535862</v>
      </c>
      <c r="CC54" s="14"/>
      <c r="CD54" s="13" t="s">
        <v>6</v>
      </c>
      <c r="CF54" s="12"/>
      <c r="CG54" s="10">
        <f t="shared" si="23"/>
        <v>-2</v>
      </c>
      <c r="CH54" s="12">
        <f t="shared" si="24"/>
        <v>-15048</v>
      </c>
      <c r="CI54" s="11">
        <f t="shared" si="25"/>
        <v>-1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W55" s="10">
        <v>3</v>
      </c>
      <c r="BX55" s="12">
        <v>13770</v>
      </c>
      <c r="BY55" s="10">
        <f t="shared" si="32"/>
        <v>1</v>
      </c>
      <c r="BZ55" s="12">
        <f t="shared" si="21"/>
        <v>4090</v>
      </c>
      <c r="CA55" s="11">
        <f t="shared" si="22"/>
        <v>0.4225206611570248</v>
      </c>
      <c r="CC55" s="14"/>
      <c r="CD55" s="13" t="s">
        <v>5</v>
      </c>
      <c r="CE55" s="50"/>
      <c r="CF55" s="50"/>
      <c r="CG55" s="10">
        <f t="shared" si="23"/>
        <v>-3</v>
      </c>
      <c r="CH55" s="12">
        <f t="shared" si="24"/>
        <v>-13770</v>
      </c>
      <c r="CI55" s="11">
        <f t="shared" si="25"/>
        <v>-1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W56" s="10">
        <v>5</v>
      </c>
      <c r="BX56" s="12">
        <v>170368</v>
      </c>
      <c r="BY56" s="10">
        <f t="shared" si="32"/>
        <v>-3</v>
      </c>
      <c r="BZ56" s="12">
        <f t="shared" si="21"/>
        <v>-102889.1428571</v>
      </c>
      <c r="CA56" s="11">
        <f t="shared" si="22"/>
        <v>-0.37652864910069689</v>
      </c>
      <c r="CC56" s="14"/>
      <c r="CD56" s="13" t="s">
        <v>4</v>
      </c>
      <c r="CE56" s="50"/>
      <c r="CF56" s="50"/>
      <c r="CG56" s="10">
        <f t="shared" si="23"/>
        <v>-5</v>
      </c>
      <c r="CH56" s="12">
        <f t="shared" si="24"/>
        <v>-170368</v>
      </c>
      <c r="CI56" s="11">
        <f t="shared" si="25"/>
        <v>-1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W57" s="10">
        <v>8</v>
      </c>
      <c r="BX57" s="12">
        <v>152095</v>
      </c>
      <c r="BY57" s="10">
        <f t="shared" si="32"/>
        <v>-4</v>
      </c>
      <c r="BZ57" s="12">
        <f t="shared" si="21"/>
        <v>-166762.14285708999</v>
      </c>
      <c r="CA57" s="11">
        <f t="shared" si="22"/>
        <v>-0.52299955197124703</v>
      </c>
      <c r="CC57" s="14"/>
      <c r="CD57" s="13" t="s">
        <v>3</v>
      </c>
      <c r="CE57" s="50"/>
      <c r="CF57" s="50"/>
      <c r="CG57" s="10">
        <f t="shared" si="23"/>
        <v>-8</v>
      </c>
      <c r="CH57" s="12">
        <f t="shared" si="24"/>
        <v>-152095</v>
      </c>
      <c r="CI57" s="11">
        <f t="shared" si="25"/>
        <v>-1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W58" s="10">
        <v>12</v>
      </c>
      <c r="BX58" s="12">
        <v>365524</v>
      </c>
      <c r="BY58" s="10">
        <f t="shared" si="32"/>
        <v>3</v>
      </c>
      <c r="BZ58" s="12">
        <f t="shared" si="21"/>
        <v>80666.857142870023</v>
      </c>
      <c r="CA58" s="11">
        <f t="shared" si="22"/>
        <v>0.28318355065201389</v>
      </c>
      <c r="CC58" s="14"/>
      <c r="CD58" s="13" t="s">
        <v>2</v>
      </c>
      <c r="CE58" s="50"/>
      <c r="CF58" s="50"/>
      <c r="CG58" s="10">
        <f t="shared" si="23"/>
        <v>-12</v>
      </c>
      <c r="CH58" s="12">
        <f t="shared" si="24"/>
        <v>-365524</v>
      </c>
      <c r="CI58" s="11">
        <f t="shared" si="25"/>
        <v>-1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>
        <v>203</v>
      </c>
      <c r="BX59" s="7">
        <v>937608</v>
      </c>
      <c r="BY59" s="27">
        <f t="shared" si="32"/>
        <v>-23</v>
      </c>
      <c r="BZ59" s="28">
        <f t="shared" si="21"/>
        <v>-209071.9999990901</v>
      </c>
      <c r="CA59" s="29">
        <f t="shared" si="22"/>
        <v>-0.18232811246315972</v>
      </c>
      <c r="CC59" s="9" t="s">
        <v>1</v>
      </c>
      <c r="CD59" s="9"/>
      <c r="CE59" s="51"/>
      <c r="CF59" s="51"/>
      <c r="CG59" s="27">
        <f t="shared" si="23"/>
        <v>-203</v>
      </c>
      <c r="CH59" s="28">
        <f t="shared" si="24"/>
        <v>-937608</v>
      </c>
      <c r="CI59" s="29">
        <f t="shared" si="25"/>
        <v>-1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>
        <v>1694</v>
      </c>
      <c r="BX60" s="2">
        <v>11194351</v>
      </c>
      <c r="BY60" s="6">
        <f t="shared" si="32"/>
        <v>1</v>
      </c>
      <c r="BZ60" s="5">
        <f t="shared" si="21"/>
        <v>877521.66667228006</v>
      </c>
      <c r="CA60" s="30">
        <f t="shared" si="22"/>
        <v>8.5057301843456321E-2</v>
      </c>
      <c r="CC60" s="4" t="s">
        <v>0</v>
      </c>
      <c r="CD60" s="4"/>
      <c r="CE60" s="3"/>
      <c r="CF60" s="2"/>
      <c r="CG60" s="6">
        <f t="shared" si="23"/>
        <v>-1694</v>
      </c>
      <c r="CH60" s="5">
        <f t="shared" si="24"/>
        <v>-11194351</v>
      </c>
      <c r="CI60" s="30">
        <f t="shared" si="25"/>
        <v>-1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2026-09-06T12:03:05Z</dcterms:modified>
</cp:coreProperties>
</file>