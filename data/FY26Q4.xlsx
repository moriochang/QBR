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17533084-75FC-EB43-9DB4-249428C1C386}" xr6:coauthVersionLast="47" xr6:coauthVersionMax="47" xr10:uidLastSave="{00000000-0000-0000-0000-000000000000}"/>
  <bookViews>
    <workbookView xWindow="15640" yWindow="322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<sst xmlns="http://schemas.openxmlformats.org/spreadsheetml/2006/main" count="836" uniqueCount="46">
  <si>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</si>
  <si>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</si>
  <si>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</si>
  <si>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</si>
  <si>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</si>
  <si>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</si>
  <si>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</si>
  <si>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</si>
  <si>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</si>
  <si>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</si>
  <si>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</si>
  <si>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</si>
  <si>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</si>
  <si>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</si>
  <si>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</si>
  <si>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</si>
  <si>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</si>
  <si>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</si>
  <si>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</si>
  <si>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</si>
  <si>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</si>
  <si>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</si>
  <si>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</si>
  <si>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</si>
  <si>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</si>
  <si>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</si>
  <si>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</si>
  <si>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</si>
  <si>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</si>
  <si>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</si>
  <si>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</si>
  <si>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</si>
  <si>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</si>
  <si>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</si>
  <si>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</si>
  <si>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</si>
  <si>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</si>
  <si>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</si>
  <si>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</si>
  <si>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</si>
  <si>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</si>
  <si>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</si>
  <si>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</si>
  <si>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</si>
  <si>
    <t>26Q4W9</t>
  </si>
  <si>
    <t>08/23-08/29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</si>
</sst>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17" zoomScale="75" workbookViewId="0">
      <pane xSplit="1" topLeftCell="BD1" activePane="topRight" state="frozen"/>
      <selection pane="topRight" activeCell="BP39" sqref="BP39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 t="s">
        <v>44</v>
      </c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M2" s="20" t="s">
        <v>45</v>
      </c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33</v>
      </c>
      <c r="BN4" s="19" t="s">
        <v>34</v>
      </c>
      <c r="BO4" s="18" t="s">
        <v>35</v>
      </c>
      <c r="BP4" s="17" t="s">
        <v>36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37</v>
      </c>
      <c r="BO5" s="40">
        <v>6262</v>
      </c>
      <c r="BP5" s="1"/>
      <c r="BQ5" s="10">
        <f t="shared" ref="BQ5:BQ60" si="17">BO5-BG5</f>
        <v>606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-6262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38</v>
      </c>
      <c r="BO6" s="15">
        <v>10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-10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O7" s="10">
        <v>209</v>
      </c>
      <c r="BP7" s="12">
        <v>210267.61904672001</v>
      </c>
      <c r="BQ7" s="10">
        <f t="shared" si="17"/>
        <v>39</v>
      </c>
      <c r="BR7" s="12">
        <f t="shared" si="18"/>
        <v>36253.333333220013</v>
      </c>
      <c r="BS7" s="11">
        <f t="shared" si="19"/>
        <v>0.20833538571027496</v>
      </c>
      <c r="BU7" s="14"/>
      <c r="BV7" s="13" t="s">
        <v>9</v>
      </c>
      <c r="BX7" s="12"/>
      <c r="BY7" s="10">
        <f t="shared" si="20"/>
        <v>-209</v>
      </c>
      <c r="BZ7" s="12">
        <f t="shared" si="21"/>
        <v>-210267.61904672001</v>
      </c>
      <c r="CA7" s="11">
        <f t="shared" si="22"/>
        <v>-1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O8" s="10">
        <v>271</v>
      </c>
      <c r="BP8" s="12">
        <v>337086.66666618001</v>
      </c>
      <c r="BQ8" s="10">
        <f t="shared" si="17"/>
        <v>8</v>
      </c>
      <c r="BR8" s="12">
        <f t="shared" si="18"/>
        <v>22771.42857145</v>
      </c>
      <c r="BS8" s="11">
        <f t="shared" si="19"/>
        <v>7.2447739757965618E-2</v>
      </c>
      <c r="BU8" s="14"/>
      <c r="BV8" s="13" t="s">
        <v>8</v>
      </c>
      <c r="BX8" s="12"/>
      <c r="BY8" s="10">
        <f t="shared" si="20"/>
        <v>-271</v>
      </c>
      <c r="BZ8" s="12">
        <f t="shared" si="21"/>
        <v>-337086.66666618001</v>
      </c>
      <c r="CA8" s="11">
        <f t="shared" si="22"/>
        <v>-1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O9" s="10">
        <v>53</v>
      </c>
      <c r="BP9" s="12">
        <v>376638.09523803002</v>
      </c>
      <c r="BQ9" s="10">
        <f t="shared" si="17"/>
        <v>-15</v>
      </c>
      <c r="BR9" s="12">
        <f t="shared" si="18"/>
        <v>-90809.52380949998</v>
      </c>
      <c r="BS9" s="11">
        <f t="shared" si="19"/>
        <v>-0.1942667372967547</v>
      </c>
      <c r="BU9" s="14"/>
      <c r="BV9" s="13" t="s">
        <v>7</v>
      </c>
      <c r="BX9" s="12"/>
      <c r="BY9" s="10">
        <f t="shared" si="20"/>
        <v>-53</v>
      </c>
      <c r="BZ9" s="12">
        <f t="shared" si="21"/>
        <v>-376638.09523803002</v>
      </c>
      <c r="CA9" s="11">
        <f t="shared" si="22"/>
        <v>-1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O10" s="10">
        <v>5</v>
      </c>
      <c r="BP10" s="12">
        <v>40476.190476169999</v>
      </c>
      <c r="BQ10" s="10">
        <f t="shared" si="17"/>
        <v>-15</v>
      </c>
      <c r="BR10" s="12">
        <f t="shared" si="18"/>
        <v>-182380.95238089003</v>
      </c>
      <c r="BS10" s="11">
        <f t="shared" si="19"/>
        <v>-0.81837606837609278</v>
      </c>
      <c r="BU10" s="14"/>
      <c r="BV10" s="13" t="s">
        <v>6</v>
      </c>
      <c r="BX10" s="12"/>
      <c r="BY10" s="10">
        <f t="shared" si="20"/>
        <v>-5</v>
      </c>
      <c r="BZ10" s="12">
        <f t="shared" si="21"/>
        <v>-40476.190476169999</v>
      </c>
      <c r="CA10" s="11">
        <f t="shared" si="22"/>
        <v>-1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O11" s="10">
        <v>5</v>
      </c>
      <c r="BP11" s="12">
        <v>21150</v>
      </c>
      <c r="BQ11" s="10">
        <f t="shared" si="17"/>
        <v>-3</v>
      </c>
      <c r="BR11" s="12">
        <f t="shared" si="18"/>
        <v>-36970</v>
      </c>
      <c r="BS11" s="11">
        <f t="shared" si="19"/>
        <v>-0.6360977288368892</v>
      </c>
      <c r="BU11" s="14"/>
      <c r="BV11" s="13" t="s">
        <v>5</v>
      </c>
      <c r="BX11" s="12"/>
      <c r="BY11" s="10">
        <f t="shared" si="20"/>
        <v>-5</v>
      </c>
      <c r="BZ11" s="12">
        <f t="shared" si="21"/>
        <v>-21150</v>
      </c>
      <c r="CA11" s="11">
        <f t="shared" si="22"/>
        <v>-1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O12" s="10">
        <v>24</v>
      </c>
      <c r="BP12" s="12">
        <v>798423.80952372996</v>
      </c>
      <c r="BQ12" s="10">
        <f t="shared" si="17"/>
        <v>3</v>
      </c>
      <c r="BR12" s="12">
        <f t="shared" si="18"/>
        <v>-144780.95238091005</v>
      </c>
      <c r="BS12" s="11">
        <f t="shared" si="19"/>
        <v>-0.15349896250369832</v>
      </c>
      <c r="BU12" s="14"/>
      <c r="BV12" s="13" t="s">
        <v>4</v>
      </c>
      <c r="BX12" s="12"/>
      <c r="BY12" s="10">
        <f t="shared" si="20"/>
        <v>-24</v>
      </c>
      <c r="BZ12" s="12">
        <f t="shared" si="21"/>
        <v>-798423.80952372996</v>
      </c>
      <c r="CA12" s="11">
        <f t="shared" si="22"/>
        <v>-1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O13" s="10">
        <v>45</v>
      </c>
      <c r="BP13" s="12">
        <v>981238.09523791994</v>
      </c>
      <c r="BQ13" s="10">
        <f t="shared" si="17"/>
        <v>16</v>
      </c>
      <c r="BR13" s="12">
        <f t="shared" si="18"/>
        <v>309714.28571423993</v>
      </c>
      <c r="BS13" s="11">
        <f t="shared" si="19"/>
        <v>0.46121117571977682</v>
      </c>
      <c r="BU13" s="14"/>
      <c r="BV13" s="13" t="s">
        <v>3</v>
      </c>
      <c r="BX13" s="12"/>
      <c r="BY13" s="10">
        <f t="shared" si="20"/>
        <v>-45</v>
      </c>
      <c r="BZ13" s="12">
        <f t="shared" si="21"/>
        <v>-981238.09523791994</v>
      </c>
      <c r="CA13" s="11">
        <f t="shared" si="22"/>
        <v>-1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O14" s="10">
        <v>32</v>
      </c>
      <c r="BP14" s="12">
        <v>1143619.0476189801</v>
      </c>
      <c r="BQ14" s="10">
        <f t="shared" si="17"/>
        <v>-9</v>
      </c>
      <c r="BR14" s="12">
        <f t="shared" si="18"/>
        <v>-298190.47619047994</v>
      </c>
      <c r="BS14" s="11">
        <f t="shared" si="19"/>
        <v>-0.20681683070217174</v>
      </c>
      <c r="BU14" s="14"/>
      <c r="BV14" s="13" t="s">
        <v>2</v>
      </c>
      <c r="BX14" s="12"/>
      <c r="BY14" s="10">
        <f t="shared" si="20"/>
        <v>-32</v>
      </c>
      <c r="BZ14" s="12">
        <f t="shared" si="21"/>
        <v>-1143619.0476189801</v>
      </c>
      <c r="CA14" s="11">
        <f t="shared" si="22"/>
        <v>-1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39</v>
      </c>
      <c r="BN15" s="9"/>
      <c r="BO15" s="8">
        <v>644</v>
      </c>
      <c r="BP15" s="7">
        <v>3908899.5238077301</v>
      </c>
      <c r="BQ15" s="27">
        <f t="shared" si="17"/>
        <v>24</v>
      </c>
      <c r="BR15" s="28">
        <f t="shared" si="18"/>
        <v>-384392.85714286985</v>
      </c>
      <c r="BS15" s="29">
        <f t="shared" si="19"/>
        <v>-8.9533351804416225E-2</v>
      </c>
      <c r="BU15" s="9" t="s">
        <v>18</v>
      </c>
      <c r="BV15" s="9"/>
      <c r="BW15" s="8"/>
      <c r="BX15" s="7"/>
      <c r="BY15" s="27">
        <f t="shared" si="20"/>
        <v>-644</v>
      </c>
      <c r="BZ15" s="28">
        <f t="shared" si="21"/>
        <v>-3908899.5238077301</v>
      </c>
      <c r="CA15" s="29">
        <f t="shared" si="22"/>
        <v>-1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37</v>
      </c>
      <c r="BO16" s="1">
        <v>3936</v>
      </c>
      <c r="BP16" s="35"/>
      <c r="BQ16" s="10">
        <f t="shared" si="17"/>
        <v>123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-3936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38</v>
      </c>
      <c r="BO17" s="1">
        <v>6</v>
      </c>
      <c r="BP17" s="35"/>
      <c r="BQ17" s="10">
        <f t="shared" si="17"/>
        <v>-1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-6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O18" s="10">
        <v>129</v>
      </c>
      <c r="BP18" s="12">
        <v>116457.14285663</v>
      </c>
      <c r="BQ18" s="10">
        <f t="shared" si="17"/>
        <v>5</v>
      </c>
      <c r="BR18" s="12">
        <f t="shared" si="18"/>
        <v>-6019.0476190000045</v>
      </c>
      <c r="BS18" s="11">
        <f t="shared" si="19"/>
        <v>-4.914463452549709E-2</v>
      </c>
      <c r="BU18" s="14"/>
      <c r="BV18" s="13" t="s">
        <v>9</v>
      </c>
      <c r="BX18" s="12"/>
      <c r="BY18" s="10">
        <f t="shared" si="20"/>
        <v>-129</v>
      </c>
      <c r="BZ18" s="12">
        <f t="shared" si="21"/>
        <v>-116457.14285663</v>
      </c>
      <c r="CA18" s="11">
        <f t="shared" si="22"/>
        <v>-1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O19" s="10">
        <v>164</v>
      </c>
      <c r="BP19" s="12">
        <v>177323.80952340999</v>
      </c>
      <c r="BQ19" s="10">
        <f t="shared" si="17"/>
        <v>49</v>
      </c>
      <c r="BR19" s="12">
        <f t="shared" si="18"/>
        <v>61619.04761899999</v>
      </c>
      <c r="BS19" s="11">
        <f t="shared" si="19"/>
        <v>0.53255411968184019</v>
      </c>
      <c r="BU19" s="14"/>
      <c r="BV19" s="13" t="s">
        <v>8</v>
      </c>
      <c r="BX19" s="12"/>
      <c r="BY19" s="10">
        <f t="shared" si="20"/>
        <v>-164</v>
      </c>
      <c r="BZ19" s="12">
        <f t="shared" si="21"/>
        <v>-177323.80952340999</v>
      </c>
      <c r="CA19" s="11">
        <f t="shared" si="22"/>
        <v>-1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O20" s="10">
        <v>36</v>
      </c>
      <c r="BP20" s="12">
        <v>221085.71428565</v>
      </c>
      <c r="BQ20" s="10">
        <f t="shared" si="17"/>
        <v>-6</v>
      </c>
      <c r="BR20" s="12">
        <f t="shared" si="18"/>
        <v>-32323.80952380001</v>
      </c>
      <c r="BS20" s="11">
        <f t="shared" si="19"/>
        <v>-0.12755562236921186</v>
      </c>
      <c r="BU20" s="14"/>
      <c r="BV20" s="13" t="s">
        <v>7</v>
      </c>
      <c r="BX20" s="12"/>
      <c r="BY20" s="10">
        <f t="shared" si="20"/>
        <v>-36</v>
      </c>
      <c r="BZ20" s="12">
        <f t="shared" si="21"/>
        <v>-221085.71428565</v>
      </c>
      <c r="CA20" s="11">
        <f t="shared" si="22"/>
        <v>-1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O21" s="10">
        <v>8</v>
      </c>
      <c r="BP21" s="12">
        <v>67809.523809480001</v>
      </c>
      <c r="BQ21" s="10">
        <f t="shared" si="17"/>
        <v>-4</v>
      </c>
      <c r="BR21" s="12">
        <f t="shared" si="18"/>
        <v>-33619.047619019999</v>
      </c>
      <c r="BS21" s="11">
        <f t="shared" si="19"/>
        <v>-0.33145539906099397</v>
      </c>
      <c r="BU21" s="14"/>
      <c r="BV21" s="13" t="s">
        <v>6</v>
      </c>
      <c r="BX21" s="12"/>
      <c r="BY21" s="10">
        <f t="shared" si="20"/>
        <v>-8</v>
      </c>
      <c r="BZ21" s="12">
        <f t="shared" si="21"/>
        <v>-67809.523809480001</v>
      </c>
      <c r="CA21" s="11">
        <f t="shared" si="22"/>
        <v>-1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O22" s="10">
        <v>14</v>
      </c>
      <c r="BP22" s="12">
        <v>78308</v>
      </c>
      <c r="BQ22" s="10">
        <f t="shared" si="17"/>
        <v>4</v>
      </c>
      <c r="BR22" s="12">
        <f t="shared" si="18"/>
        <v>38660</v>
      </c>
      <c r="BS22" s="11">
        <f t="shared" si="19"/>
        <v>0.97508071025020182</v>
      </c>
      <c r="BU22" s="14"/>
      <c r="BV22" s="13" t="s">
        <v>5</v>
      </c>
      <c r="BX22" s="12"/>
      <c r="BY22" s="10">
        <f t="shared" si="20"/>
        <v>-14</v>
      </c>
      <c r="BZ22" s="12">
        <f t="shared" si="21"/>
        <v>-78308</v>
      </c>
      <c r="CA22" s="11">
        <f t="shared" si="22"/>
        <v>-1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O23" s="10">
        <v>16</v>
      </c>
      <c r="BP23" s="12">
        <v>555333.33333324001</v>
      </c>
      <c r="BQ23" s="10">
        <f t="shared" si="17"/>
        <v>5</v>
      </c>
      <c r="BR23" s="12">
        <f t="shared" si="18"/>
        <v>123580.95238089998</v>
      </c>
      <c r="BS23" s="11">
        <f t="shared" si="19"/>
        <v>0.28623108483689347</v>
      </c>
      <c r="BU23" s="14"/>
      <c r="BV23" s="13" t="s">
        <v>4</v>
      </c>
      <c r="BX23" s="12"/>
      <c r="BY23" s="10">
        <f t="shared" si="20"/>
        <v>-16</v>
      </c>
      <c r="BZ23" s="12">
        <f t="shared" si="21"/>
        <v>-555333.33333324001</v>
      </c>
      <c r="CA23" s="11">
        <f t="shared" si="22"/>
        <v>-1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O24" s="10">
        <v>28</v>
      </c>
      <c r="BP24" s="12">
        <v>591904.76190464001</v>
      </c>
      <c r="BQ24" s="10">
        <f t="shared" si="17"/>
        <v>12</v>
      </c>
      <c r="BR24" s="12">
        <f t="shared" si="18"/>
        <v>261333.33333330002</v>
      </c>
      <c r="BS24" s="11">
        <f t="shared" si="19"/>
        <v>0.79055027369645214</v>
      </c>
      <c r="BU24" s="14"/>
      <c r="BV24" s="13" t="s">
        <v>3</v>
      </c>
      <c r="BX24" s="12"/>
      <c r="BY24" s="10">
        <f t="shared" si="20"/>
        <v>-28</v>
      </c>
      <c r="BZ24" s="12">
        <f t="shared" si="21"/>
        <v>-591904.76190464001</v>
      </c>
      <c r="CA24" s="11">
        <f t="shared" si="22"/>
        <v>-1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O25" s="10">
        <v>34</v>
      </c>
      <c r="BP25" s="12">
        <v>1225333.3333332599</v>
      </c>
      <c r="BQ25" s="10">
        <f t="shared" si="17"/>
        <v>1</v>
      </c>
      <c r="BR25" s="12">
        <f t="shared" si="18"/>
        <v>56095.238095239969</v>
      </c>
      <c r="BS25" s="11">
        <f t="shared" si="19"/>
        <v>4.7975889875381414E-2</v>
      </c>
      <c r="BU25" s="14"/>
      <c r="BV25" s="13" t="s">
        <v>2</v>
      </c>
      <c r="BX25" s="12"/>
      <c r="BY25" s="10">
        <f t="shared" si="20"/>
        <v>-34</v>
      </c>
      <c r="BZ25" s="12">
        <f t="shared" si="21"/>
        <v>-1225333.3333332599</v>
      </c>
      <c r="CA25" s="11">
        <f t="shared" si="22"/>
        <v>-1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>
        <v>429</v>
      </c>
      <c r="BP26" s="7">
        <v>3033555.61904631</v>
      </c>
      <c r="BQ26" s="27">
        <f t="shared" si="17"/>
        <v>66</v>
      </c>
      <c r="BR26" s="28">
        <f t="shared" si="18"/>
        <v>469326.66666661995</v>
      </c>
      <c r="BS26" s="29">
        <f t="shared" si="19"/>
        <v>0.18302837826983787</v>
      </c>
      <c r="BU26" s="9" t="s">
        <v>12</v>
      </c>
      <c r="BV26" s="9"/>
      <c r="BW26" s="8"/>
      <c r="BX26" s="7"/>
      <c r="BY26" s="27">
        <f t="shared" si="20"/>
        <v>-429</v>
      </c>
      <c r="BZ26" s="28">
        <f t="shared" si="21"/>
        <v>-3033555.61904631</v>
      </c>
      <c r="CA26" s="29">
        <f t="shared" si="22"/>
        <v>-1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37</v>
      </c>
      <c r="BO27" s="1">
        <v>3175</v>
      </c>
      <c r="BP27" s="35"/>
      <c r="BQ27" s="10">
        <f t="shared" si="17"/>
        <v>-359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-3175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38</v>
      </c>
      <c r="BO28" s="1">
        <v>0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O29" s="10">
        <v>66</v>
      </c>
      <c r="BP29" s="12">
        <v>56596.190475900003</v>
      </c>
      <c r="BQ29" s="10">
        <f t="shared" si="17"/>
        <v>-33</v>
      </c>
      <c r="BR29" s="12">
        <f t="shared" si="18"/>
        <v>-46014.285714140002</v>
      </c>
      <c r="BS29" s="11">
        <f t="shared" si="19"/>
        <v>-0.44843652834160053</v>
      </c>
      <c r="BU29" s="14"/>
      <c r="BV29" s="13" t="s">
        <v>9</v>
      </c>
      <c r="BX29" s="12"/>
      <c r="BY29" s="10">
        <f t="shared" si="20"/>
        <v>-66</v>
      </c>
      <c r="BZ29" s="12">
        <f t="shared" si="21"/>
        <v>-56596.190475900003</v>
      </c>
      <c r="CA29" s="11">
        <f t="shared" si="22"/>
        <v>-1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O30" s="10">
        <v>66</v>
      </c>
      <c r="BP30" s="12">
        <v>72428.571428359995</v>
      </c>
      <c r="BQ30" s="10">
        <f t="shared" si="17"/>
        <v>-24</v>
      </c>
      <c r="BR30" s="12">
        <f t="shared" si="18"/>
        <v>-19133.333333260001</v>
      </c>
      <c r="BS30" s="11">
        <f t="shared" si="19"/>
        <v>-0.20896609111696987</v>
      </c>
      <c r="BU30" s="14"/>
      <c r="BV30" s="13" t="s">
        <v>8</v>
      </c>
      <c r="BX30" s="12"/>
      <c r="BY30" s="10">
        <f t="shared" si="20"/>
        <v>-66</v>
      </c>
      <c r="BZ30" s="12">
        <f t="shared" si="21"/>
        <v>-72428.571428359995</v>
      </c>
      <c r="CA30" s="11">
        <f t="shared" si="22"/>
        <v>-1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O31" s="10">
        <v>17</v>
      </c>
      <c r="BP31" s="12">
        <v>130314.28571421999</v>
      </c>
      <c r="BQ31" s="10">
        <f t="shared" si="17"/>
        <v>-11</v>
      </c>
      <c r="BR31" s="12">
        <f t="shared" si="18"/>
        <v>-105133.33333331</v>
      </c>
      <c r="BS31" s="11">
        <f t="shared" si="19"/>
        <v>-0.44652536202579585</v>
      </c>
      <c r="BU31" s="14"/>
      <c r="BV31" s="13" t="s">
        <v>7</v>
      </c>
      <c r="BX31" s="12"/>
      <c r="BY31" s="10">
        <f t="shared" si="20"/>
        <v>-17</v>
      </c>
      <c r="BZ31" s="12">
        <f t="shared" si="21"/>
        <v>-130314.28571421999</v>
      </c>
      <c r="CA31" s="11">
        <f t="shared" si="22"/>
        <v>-1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O32" s="10">
        <v>8</v>
      </c>
      <c r="BP32" s="12">
        <v>83999.999999959997</v>
      </c>
      <c r="BQ32" s="10">
        <f t="shared" si="17"/>
        <v>0</v>
      </c>
      <c r="BR32" s="12">
        <f t="shared" si="18"/>
        <v>-7619.0476190500049</v>
      </c>
      <c r="BS32" s="11">
        <f t="shared" si="19"/>
        <v>-8.3160083160143339E-2</v>
      </c>
      <c r="BU32" s="14"/>
      <c r="BV32" s="13" t="s">
        <v>6</v>
      </c>
      <c r="BX32" s="12"/>
      <c r="BY32" s="10">
        <f t="shared" si="20"/>
        <v>-8</v>
      </c>
      <c r="BZ32" s="12">
        <f t="shared" si="21"/>
        <v>-83999.999999959997</v>
      </c>
      <c r="CA32" s="11">
        <f t="shared" si="22"/>
        <v>-1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O33" s="10">
        <v>1</v>
      </c>
      <c r="BP33" s="12">
        <v>990</v>
      </c>
      <c r="BQ33" s="10">
        <f t="shared" si="17"/>
        <v>-1</v>
      </c>
      <c r="BR33" s="12">
        <f t="shared" si="18"/>
        <v>-10290</v>
      </c>
      <c r="BS33" s="11">
        <f t="shared" si="19"/>
        <v>-0.91223404255319152</v>
      </c>
      <c r="BU33" s="14"/>
      <c r="BV33" s="13" t="s">
        <v>5</v>
      </c>
      <c r="BX33" s="12"/>
      <c r="BY33" s="10">
        <f t="shared" si="20"/>
        <v>-1</v>
      </c>
      <c r="BZ33" s="12">
        <f t="shared" si="21"/>
        <v>-990</v>
      </c>
      <c r="CA33" s="11">
        <f t="shared" si="22"/>
        <v>-1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O34" s="10">
        <v>3</v>
      </c>
      <c r="BP34" s="12">
        <v>70190.476190460002</v>
      </c>
      <c r="BQ34" s="10">
        <f t="shared" si="17"/>
        <v>-2</v>
      </c>
      <c r="BR34" s="12">
        <f t="shared" si="18"/>
        <v>-140665.71428571001</v>
      </c>
      <c r="BS34" s="11">
        <f t="shared" si="19"/>
        <v>-0.66711683431275592</v>
      </c>
      <c r="BU34" s="14"/>
      <c r="BV34" s="13" t="s">
        <v>4</v>
      </c>
      <c r="BX34" s="12"/>
      <c r="BY34" s="10">
        <f t="shared" ref="BY34:BY60" si="32">BW34-BO34</f>
        <v>-3</v>
      </c>
      <c r="BZ34" s="12">
        <f t="shared" si="21"/>
        <v>-70190.476190460002</v>
      </c>
      <c r="CA34" s="11">
        <f t="shared" si="22"/>
        <v>-1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O35" s="10">
        <v>5</v>
      </c>
      <c r="BP35" s="12">
        <v>160476.19047617001</v>
      </c>
      <c r="BQ35" s="10">
        <f t="shared" si="17"/>
        <v>-4</v>
      </c>
      <c r="BR35" s="12">
        <f t="shared" si="18"/>
        <v>-65142.857142829977</v>
      </c>
      <c r="BS35" s="11">
        <f t="shared" si="19"/>
        <v>-0.28872942169685906</v>
      </c>
      <c r="BU35" s="14"/>
      <c r="BV35" s="13" t="s">
        <v>3</v>
      </c>
      <c r="BX35" s="12"/>
      <c r="BY35" s="10">
        <f t="shared" si="32"/>
        <v>-5</v>
      </c>
      <c r="BZ35" s="12">
        <f t="shared" si="21"/>
        <v>-160476.19047617001</v>
      </c>
      <c r="CA35" s="11">
        <f t="shared" si="22"/>
        <v>-1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O36" s="10">
        <v>8</v>
      </c>
      <c r="BP36" s="12">
        <v>280190.47619045997</v>
      </c>
      <c r="BQ36" s="10">
        <f t="shared" si="17"/>
        <v>0</v>
      </c>
      <c r="BR36" s="12">
        <f t="shared" si="18"/>
        <v>-34285.7142857</v>
      </c>
      <c r="BS36" s="11">
        <f t="shared" si="19"/>
        <v>-0.1090248334342474</v>
      </c>
      <c r="BU36" s="14"/>
      <c r="BV36" s="13" t="s">
        <v>2</v>
      </c>
      <c r="BX36" s="12"/>
      <c r="BY36" s="10">
        <f t="shared" si="32"/>
        <v>-8</v>
      </c>
      <c r="BZ36" s="12">
        <f t="shared" si="21"/>
        <v>-280190.47619045997</v>
      </c>
      <c r="CA36" s="11">
        <f t="shared" si="22"/>
        <v>-1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>
        <v>174</v>
      </c>
      <c r="BP37" s="7">
        <v>855186.19047552999</v>
      </c>
      <c r="BQ37" s="27">
        <f t="shared" si="17"/>
        <v>-75</v>
      </c>
      <c r="BR37" s="28">
        <f t="shared" si="18"/>
        <v>-428284.285714</v>
      </c>
      <c r="BS37" s="29">
        <f t="shared" si="19"/>
        <v>-0.33369235495429916</v>
      </c>
      <c r="BU37" s="9" t="s">
        <v>11</v>
      </c>
      <c r="BV37" s="9"/>
      <c r="BW37" s="8"/>
      <c r="BX37" s="7"/>
      <c r="BY37" s="27">
        <f t="shared" si="32"/>
        <v>-174</v>
      </c>
      <c r="BZ37" s="28">
        <f t="shared" si="21"/>
        <v>-855186.19047552999</v>
      </c>
      <c r="CA37" s="29">
        <f t="shared" si="22"/>
        <v>-1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37</v>
      </c>
      <c r="BO38" s="1">
        <v>1672</v>
      </c>
      <c r="BP38" s="35"/>
      <c r="BQ38" s="10">
        <f t="shared" si="17"/>
        <v>-132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-1672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38</v>
      </c>
      <c r="BO39" s="1">
        <v>2</v>
      </c>
      <c r="BP39" s="35"/>
      <c r="BQ39" s="10">
        <f t="shared" si="17"/>
        <v>1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-2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O40" s="10">
        <v>104</v>
      </c>
      <c r="BP40" s="12">
        <v>76006.666666129997</v>
      </c>
      <c r="BQ40" s="10">
        <f t="shared" si="17"/>
        <v>3</v>
      </c>
      <c r="BR40" s="12">
        <f t="shared" si="18"/>
        <v>-20908.571428590003</v>
      </c>
      <c r="BS40" s="11">
        <f t="shared" si="19"/>
        <v>-0.21574080443526367</v>
      </c>
      <c r="BU40" s="14"/>
      <c r="BV40" s="13" t="s">
        <v>9</v>
      </c>
      <c r="BX40" s="12"/>
      <c r="BY40" s="10">
        <f t="shared" si="32"/>
        <v>-104</v>
      </c>
      <c r="BZ40" s="12">
        <f t="shared" si="21"/>
        <v>-76006.666666129997</v>
      </c>
      <c r="CA40" s="11">
        <f t="shared" si="22"/>
        <v>-1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O41" s="10">
        <v>66</v>
      </c>
      <c r="BP41" s="12">
        <v>85561.90476166</v>
      </c>
      <c r="BQ41" s="10">
        <f t="shared" si="17"/>
        <v>-17</v>
      </c>
      <c r="BR41" s="12">
        <f t="shared" si="18"/>
        <v>-16599.999999990003</v>
      </c>
      <c r="BS41" s="11">
        <f t="shared" si="19"/>
        <v>-0.16248718187781269</v>
      </c>
      <c r="BU41" s="14"/>
      <c r="BV41" s="13" t="s">
        <v>8</v>
      </c>
      <c r="BX41" s="12"/>
      <c r="BY41" s="10">
        <f t="shared" si="32"/>
        <v>-66</v>
      </c>
      <c r="BZ41" s="12">
        <f t="shared" si="21"/>
        <v>-85561.90476166</v>
      </c>
      <c r="CA41" s="11">
        <f t="shared" si="22"/>
        <v>-1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O42" s="10">
        <v>4</v>
      </c>
      <c r="BP42" s="12">
        <v>27104.761904750001</v>
      </c>
      <c r="BQ42" s="10">
        <f t="shared" si="17"/>
        <v>-7</v>
      </c>
      <c r="BR42" s="12">
        <f t="shared" si="18"/>
        <v>-49933.333333329996</v>
      </c>
      <c r="BS42" s="11">
        <f t="shared" si="19"/>
        <v>-0.64816417356912925</v>
      </c>
      <c r="BU42" s="14"/>
      <c r="BV42" s="13" t="s">
        <v>7</v>
      </c>
      <c r="BX42" s="12"/>
      <c r="BY42" s="10">
        <f t="shared" si="32"/>
        <v>-4</v>
      </c>
      <c r="BZ42" s="12">
        <f t="shared" si="21"/>
        <v>-27104.761904750001</v>
      </c>
      <c r="CA42" s="11">
        <f t="shared" si="22"/>
        <v>-1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O43" s="10">
        <v>2</v>
      </c>
      <c r="BP43" s="12">
        <v>16952.380952380001</v>
      </c>
      <c r="BQ43" s="10">
        <f t="shared" si="17"/>
        <v>-3</v>
      </c>
      <c r="BR43" s="12">
        <f t="shared" si="18"/>
        <v>-37809.523809500002</v>
      </c>
      <c r="BS43" s="11">
        <f t="shared" si="19"/>
        <v>-0.69043478260857305</v>
      </c>
      <c r="BU43" s="14"/>
      <c r="BV43" s="13" t="s">
        <v>6</v>
      </c>
      <c r="BX43" s="12"/>
      <c r="BY43" s="10">
        <f t="shared" si="32"/>
        <v>-2</v>
      </c>
      <c r="BZ43" s="12">
        <f t="shared" si="21"/>
        <v>-16952.380952380001</v>
      </c>
      <c r="CA43" s="11">
        <f t="shared" si="22"/>
        <v>-1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O44" s="10">
        <v>2</v>
      </c>
      <c r="BP44" s="12">
        <v>4608</v>
      </c>
      <c r="BQ44" s="10">
        <f t="shared" si="17"/>
        <v>-1</v>
      </c>
      <c r="BR44" s="12">
        <f t="shared" si="18"/>
        <v>-10662</v>
      </c>
      <c r="BS44" s="11">
        <f t="shared" si="19"/>
        <v>-0.69823182711198428</v>
      </c>
      <c r="BU44" s="14"/>
      <c r="BV44" s="13" t="s">
        <v>5</v>
      </c>
      <c r="BX44" s="12"/>
      <c r="BY44" s="10">
        <f t="shared" si="32"/>
        <v>-2</v>
      </c>
      <c r="BZ44" s="12">
        <f t="shared" si="21"/>
        <v>-4608</v>
      </c>
      <c r="CA44" s="11">
        <f t="shared" si="22"/>
        <v>-1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O45" s="10">
        <v>7</v>
      </c>
      <c r="BP45" s="12">
        <v>214542.85714281001</v>
      </c>
      <c r="BQ45" s="10">
        <f t="shared" si="17"/>
        <v>3</v>
      </c>
      <c r="BR45" s="12">
        <f t="shared" si="18"/>
        <v>85381.904761870013</v>
      </c>
      <c r="BS45" s="11">
        <f t="shared" si="19"/>
        <v>0.66105044278435998</v>
      </c>
      <c r="BU45" s="14"/>
      <c r="BV45" s="13" t="s">
        <v>4</v>
      </c>
      <c r="BX45" s="12"/>
      <c r="BY45" s="10">
        <f t="shared" si="32"/>
        <v>-7</v>
      </c>
      <c r="BZ45" s="12">
        <f t="shared" si="21"/>
        <v>-214542.85714281001</v>
      </c>
      <c r="CA45" s="11">
        <f t="shared" si="22"/>
        <v>-1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O46" s="10">
        <v>13</v>
      </c>
      <c r="BP46" s="12">
        <v>245238.09523802</v>
      </c>
      <c r="BQ46" s="10">
        <f t="shared" si="17"/>
        <v>4</v>
      </c>
      <c r="BR46" s="12">
        <f t="shared" si="18"/>
        <v>29428.57142855</v>
      </c>
      <c r="BS46" s="11">
        <f t="shared" si="19"/>
        <v>0.13636363636357107</v>
      </c>
      <c r="BU46" s="14"/>
      <c r="BV46" s="13" t="s">
        <v>3</v>
      </c>
      <c r="BX46" s="12"/>
      <c r="BY46" s="10">
        <f t="shared" si="32"/>
        <v>-13</v>
      </c>
      <c r="BZ46" s="12">
        <f t="shared" si="21"/>
        <v>-245238.09523802</v>
      </c>
      <c r="CA46" s="11">
        <f t="shared" si="22"/>
        <v>-1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O47" s="10">
        <v>22</v>
      </c>
      <c r="BP47" s="12">
        <v>702493.33333330997</v>
      </c>
      <c r="BQ47" s="10">
        <f t="shared" si="17"/>
        <v>7</v>
      </c>
      <c r="BR47" s="12">
        <f t="shared" si="18"/>
        <v>211540.95238094998</v>
      </c>
      <c r="BS47" s="11">
        <f t="shared" si="19"/>
        <v>0.43087875848691942</v>
      </c>
      <c r="BU47" s="14"/>
      <c r="BV47" s="13" t="s">
        <v>2</v>
      </c>
      <c r="BX47" s="12"/>
      <c r="BY47" s="10">
        <f t="shared" si="32"/>
        <v>-22</v>
      </c>
      <c r="BZ47" s="12">
        <f t="shared" si="21"/>
        <v>-702493.33333330997</v>
      </c>
      <c r="CA47" s="11">
        <f t="shared" si="22"/>
        <v>-1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>
        <v>220</v>
      </c>
      <c r="BP48" s="7">
        <v>1372507.9999990601</v>
      </c>
      <c r="BQ48" s="27">
        <f t="shared" si="17"/>
        <v>-11</v>
      </c>
      <c r="BR48" s="28">
        <f t="shared" si="18"/>
        <v>190437.99999995995</v>
      </c>
      <c r="BS48" s="29">
        <f t="shared" si="19"/>
        <v>0.16110551828580788</v>
      </c>
      <c r="BU48" s="9" t="s">
        <v>10</v>
      </c>
      <c r="BV48" s="9"/>
      <c r="BW48" s="8"/>
      <c r="BX48" s="7"/>
      <c r="BY48" s="27">
        <f t="shared" si="32"/>
        <v>-220</v>
      </c>
      <c r="BZ48" s="28">
        <f t="shared" si="21"/>
        <v>-1372507.9999990601</v>
      </c>
      <c r="CA48" s="29">
        <f t="shared" si="22"/>
        <v>-1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37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38</v>
      </c>
      <c r="BO50" s="1">
        <v>2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-2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O51" s="10">
        <v>109</v>
      </c>
      <c r="BP51" s="12">
        <v>108975.23809471</v>
      </c>
      <c r="BQ51" s="10">
        <f t="shared" si="17"/>
        <v>-5</v>
      </c>
      <c r="BR51" s="12">
        <f t="shared" si="18"/>
        <v>-672.38095234999491</v>
      </c>
      <c r="BS51" s="11">
        <f t="shared" si="19"/>
        <v>-6.1321983841839166E-3</v>
      </c>
      <c r="BU51" s="14"/>
      <c r="BV51" s="13" t="s">
        <v>9</v>
      </c>
      <c r="BX51" s="12"/>
      <c r="BY51" s="10">
        <f t="shared" si="32"/>
        <v>-109</v>
      </c>
      <c r="BZ51" s="12">
        <f t="shared" si="21"/>
        <v>-108975.23809471</v>
      </c>
      <c r="CA51" s="11">
        <f t="shared" si="22"/>
        <v>-1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O52" s="10">
        <v>76</v>
      </c>
      <c r="BP52" s="12">
        <v>76523.809523589996</v>
      </c>
      <c r="BQ52" s="10">
        <f t="shared" si="17"/>
        <v>5</v>
      </c>
      <c r="BR52" s="12">
        <f t="shared" si="18"/>
        <v>-4799.9999999400025</v>
      </c>
      <c r="BS52" s="11">
        <f t="shared" si="19"/>
        <v>-5.9023304836097037E-2</v>
      </c>
      <c r="BU52" s="14"/>
      <c r="BV52" s="13" t="s">
        <v>8</v>
      </c>
      <c r="BX52" s="12"/>
      <c r="BY52" s="10">
        <f t="shared" si="32"/>
        <v>-76</v>
      </c>
      <c r="BZ52" s="12">
        <f t="shared" si="21"/>
        <v>-76523.809523589996</v>
      </c>
      <c r="CA52" s="11">
        <f t="shared" si="22"/>
        <v>-1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O53" s="10">
        <v>7</v>
      </c>
      <c r="BP53" s="12">
        <v>51958.095238069996</v>
      </c>
      <c r="BQ53" s="10">
        <f t="shared" si="17"/>
        <v>-8</v>
      </c>
      <c r="BR53" s="12">
        <f t="shared" si="18"/>
        <v>-60279.99999999001</v>
      </c>
      <c r="BS53" s="11">
        <f t="shared" si="19"/>
        <v>-0.5370725498515857</v>
      </c>
      <c r="BU53" s="14"/>
      <c r="BV53" s="13" t="s">
        <v>7</v>
      </c>
      <c r="BX53" s="12"/>
      <c r="BY53" s="10">
        <f t="shared" si="32"/>
        <v>-7</v>
      </c>
      <c r="BZ53" s="12">
        <f t="shared" si="21"/>
        <v>-51958.095238069996</v>
      </c>
      <c r="CA53" s="11">
        <f t="shared" si="22"/>
        <v>-1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O54" s="10">
        <v>3</v>
      </c>
      <c r="BP54" s="12">
        <v>22571.4285714</v>
      </c>
      <c r="BQ54" s="10">
        <f t="shared" si="17"/>
        <v>-8</v>
      </c>
      <c r="BR54" s="12">
        <f t="shared" si="18"/>
        <v>-102095.23809522</v>
      </c>
      <c r="BS54" s="11">
        <f t="shared" si="19"/>
        <v>-0.81894576012239217</v>
      </c>
      <c r="BU54" s="14"/>
      <c r="BV54" s="13" t="s">
        <v>6</v>
      </c>
      <c r="BX54" s="12"/>
      <c r="BY54" s="10">
        <f t="shared" si="32"/>
        <v>-3</v>
      </c>
      <c r="BZ54" s="12">
        <f t="shared" si="21"/>
        <v>-22571.4285714</v>
      </c>
      <c r="CA54" s="11">
        <f t="shared" si="22"/>
        <v>-1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O55" s="10">
        <v>2</v>
      </c>
      <c r="BP55" s="12">
        <v>9680</v>
      </c>
      <c r="BQ55" s="10">
        <f t="shared" si="17"/>
        <v>-1</v>
      </c>
      <c r="BR55" s="12">
        <f t="shared" si="18"/>
        <v>-1690</v>
      </c>
      <c r="BS55" s="11">
        <f t="shared" si="19"/>
        <v>-0.14863676341248899</v>
      </c>
      <c r="BU55" s="14"/>
      <c r="BV55" s="13" t="s">
        <v>5</v>
      </c>
      <c r="BX55" s="12"/>
      <c r="BY55" s="10">
        <f t="shared" si="32"/>
        <v>-2</v>
      </c>
      <c r="BZ55" s="12">
        <f t="shared" si="21"/>
        <v>-9680</v>
      </c>
      <c r="CA55" s="11">
        <f t="shared" si="22"/>
        <v>-1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O56" s="10">
        <v>8</v>
      </c>
      <c r="BP56" s="12">
        <v>273257.1428571</v>
      </c>
      <c r="BQ56" s="10">
        <f t="shared" si="17"/>
        <v>2</v>
      </c>
      <c r="BR56" s="12">
        <f t="shared" si="18"/>
        <v>81609.523809520004</v>
      </c>
      <c r="BS56" s="11">
        <f t="shared" si="19"/>
        <v>0.42583113849830279</v>
      </c>
      <c r="BU56" s="14"/>
      <c r="BV56" s="13" t="s">
        <v>4</v>
      </c>
      <c r="BX56" s="12"/>
      <c r="BY56" s="10">
        <f t="shared" si="32"/>
        <v>-8</v>
      </c>
      <c r="BZ56" s="12">
        <f t="shared" si="21"/>
        <v>-273257.1428571</v>
      </c>
      <c r="CA56" s="11">
        <f t="shared" si="22"/>
        <v>-1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O57" s="10">
        <v>12</v>
      </c>
      <c r="BP57" s="12">
        <v>318857.14285708999</v>
      </c>
      <c r="BQ57" s="10">
        <f t="shared" si="17"/>
        <v>-5</v>
      </c>
      <c r="BR57" s="12">
        <f t="shared" si="18"/>
        <v>-80952.380952350039</v>
      </c>
      <c r="BS57" s="11">
        <f t="shared" si="19"/>
        <v>-0.20247737017623951</v>
      </c>
      <c r="BU57" s="14"/>
      <c r="BV57" s="13" t="s">
        <v>3</v>
      </c>
      <c r="BX57" s="12"/>
      <c r="BY57" s="10">
        <f t="shared" si="32"/>
        <v>-12</v>
      </c>
      <c r="BZ57" s="12">
        <f t="shared" si="21"/>
        <v>-318857.14285708999</v>
      </c>
      <c r="CA57" s="11">
        <f t="shared" si="22"/>
        <v>-1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O58" s="10">
        <v>9</v>
      </c>
      <c r="BP58" s="12">
        <v>284857.14285712998</v>
      </c>
      <c r="BQ58" s="10">
        <f t="shared" si="17"/>
        <v>-8</v>
      </c>
      <c r="BR58" s="12">
        <f t="shared" si="18"/>
        <v>-360190.47619044996</v>
      </c>
      <c r="BS58" s="11">
        <f t="shared" si="19"/>
        <v>-0.55839362173334617</v>
      </c>
      <c r="BU58" s="14"/>
      <c r="BV58" s="13" t="s">
        <v>2</v>
      </c>
      <c r="BX58" s="12"/>
      <c r="BY58" s="10">
        <f t="shared" si="32"/>
        <v>-9</v>
      </c>
      <c r="BZ58" s="12">
        <f t="shared" si="21"/>
        <v>-284857.14285712998</v>
      </c>
      <c r="CA58" s="11">
        <f t="shared" si="22"/>
        <v>-1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>
        <v>226</v>
      </c>
      <c r="BP59" s="7">
        <v>1146679.9999990901</v>
      </c>
      <c r="BQ59" s="27">
        <f t="shared" si="17"/>
        <v>-28</v>
      </c>
      <c r="BR59" s="28">
        <f t="shared" si="18"/>
        <v>-529070.9523807799</v>
      </c>
      <c r="BS59" s="29">
        <f t="shared" si="19"/>
        <v>-0.31572170770925312</v>
      </c>
      <c r="BU59" s="9" t="s">
        <v>1</v>
      </c>
      <c r="BV59" s="9"/>
      <c r="BW59" s="8"/>
      <c r="BX59" s="7"/>
      <c r="BY59" s="27">
        <f t="shared" si="32"/>
        <v>-226</v>
      </c>
      <c r="BZ59" s="28">
        <f t="shared" si="21"/>
        <v>-1146679.9999990901</v>
      </c>
      <c r="CA59" s="29">
        <f t="shared" si="22"/>
        <v>-1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>
        <v>1693</v>
      </c>
      <c r="BP60" s="2">
        <v>10316829.33332772</v>
      </c>
      <c r="BQ60" s="6">
        <f t="shared" si="17"/>
        <v>-24</v>
      </c>
      <c r="BR60" s="5">
        <f t="shared" si="18"/>
        <v>-681983.42857106961</v>
      </c>
      <c r="BS60" s="30">
        <f t="shared" si="19"/>
        <v>-6.2005185771826413E-2</v>
      </c>
      <c r="BU60" s="4" t="s">
        <v>0</v>
      </c>
      <c r="BV60" s="4"/>
      <c r="BW60" s="3"/>
      <c r="BX60" s="2"/>
      <c r="BY60" s="6">
        <f t="shared" si="32"/>
        <v>-1693</v>
      </c>
      <c r="BZ60" s="5">
        <f t="shared" si="21"/>
        <v>-10316829.33332772</v>
      </c>
      <c r="CA60" s="30">
        <f t="shared" si="22"/>
        <v>-1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2026-08-31T04:16:40Z</dcterms:modified>
</cp:coreProperties>
</file>