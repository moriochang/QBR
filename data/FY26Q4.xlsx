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A32A97E-C30C-434A-9581-1ECAD3965AA5}" xr6:coauthVersionLast="47" xr6:coauthVersionMax="47" xr10:uidLastSave="{00000000-0000-0000-0000-000000000000}"/>
  <bookViews>
    <workbookView xWindow="2880" yWindow="358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<sst xmlns="http://schemas.openxmlformats.org/spreadsheetml/2006/main" count="842" uniqueCount="52">
  <si>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</si>
  <si>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</si>
  <si>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</si>
  <si>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</si>
  <si>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</si>
  <si>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</si>
  <si>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</si>
  <si>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</si>
  <si>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</si>
  <si>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</si>
  <si>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</si>
  <si>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</si>
  <si>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</si>
  <si>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</si>
  <si>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</si>
  <si>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</si>
  <si>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</si>
  <si>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</si>
  <si>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</si>
  <si>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</si>
  <si>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</si>
  <si>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</si>
  <si>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</si>
  <si>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</si>
  <si>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</si>
  <si>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</si>
  <si>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</si>
  <si>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</si>
  <si>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</si>
  <si>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</si>
  <si>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</si>
  <si>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</si>
  <si>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</si>
  <si>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</si>
  <si>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</si>
  <si>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</si>
  <si>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</si>
  <si>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</si>
  <si>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</si>
  <si>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</si>
  <si>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</si>
  <si>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</si>
  <si>
    <t>26Q4W8</t>
  </si>
  <si>
    <t>08/16-08/22</t>
  </si>
  <si>
    <t>26Q4W9</t>
  </si>
  <si>
    <t>08/23-08/29</t>
  </si>
  <si>
    <t>26Q4W10</t>
  </si>
  <si>
    <t>08/30-09/05</t>
  </si>
  <si>
    <t>26Q4W11</t>
  </si>
  <si>
    <t>09/06-09/12</t>
  </si>
  <si>
    <t>26Q4W12</t>
  </si>
  <si>
    <t>09/13-09/19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</si>
</sst>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zoomScale="75" workbookViewId="0">
      <pane xSplit="1" topLeftCell="BY1" activePane="topRight" state="frozen"/>
      <selection pane="topRight" activeCell="CC1" sqref="CC1:CI1048576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53" t="s">
        <v>42</v>
      </c>
      <c r="BF1" s="26"/>
      <c r="BH1" s="25"/>
      <c r="BM1" s="26" t="s">
        <v>44</v>
      </c>
      <c r="BU1" s="26" t="s">
        <v>46</v>
      </c>
      <c r="BV1" s="26"/>
      <c r="BX1" s="25"/>
      <c r="CC1" s="26" t="s">
        <v>48</v>
      </c>
      <c r="CD1" s="26"/>
      <c r="CF1" s="25"/>
      <c r="CK1" s="26" t="s">
        <v>50</v>
      </c>
      <c r="CL1" s="26"/>
      <c r="CN1" s="25"/>
      <c r="CS1" s="26"/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E2" s="54" t="s">
        <v>43</v>
      </c>
      <c r="BG2" s="22"/>
      <c r="BH2" s="22"/>
      <c r="BJ2" s="21"/>
      <c r="BM2" s="20" t="s">
        <v>45</v>
      </c>
      <c r="BN2" s="21"/>
      <c r="BP2" s="21"/>
      <c r="BQ2" s="21"/>
      <c r="BR2" s="21"/>
      <c r="BS2" s="21"/>
      <c r="BU2" s="20" t="s">
        <v>47</v>
      </c>
      <c r="BV2" s="21"/>
      <c r="BX2" s="21"/>
      <c r="BY2" s="21"/>
      <c r="BZ2" s="21"/>
      <c r="CA2" s="21"/>
      <c r="CC2" s="20" t="s">
        <v>49</v>
      </c>
      <c r="CD2" s="21"/>
      <c r="CF2" s="21"/>
      <c r="CG2" s="21"/>
      <c r="CH2" s="21"/>
      <c r="CI2" s="21"/>
      <c r="CK2" s="20" t="s">
        <v>51</v>
      </c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33</v>
      </c>
      <c r="BN4" s="19" t="s">
        <v>34</v>
      </c>
      <c r="BO4" s="18" t="s">
        <v>35</v>
      </c>
      <c r="BP4" s="17" t="s">
        <v>36</v>
      </c>
      <c r="BQ4" s="16" t="s">
        <v>13</v>
      </c>
      <c r="BR4" s="16" t="s">
        <v>13</v>
      </c>
      <c r="BS4" s="16" t="s">
        <v>13</v>
      </c>
      <c r="BU4" s="19" t="s">
        <v>33</v>
      </c>
      <c r="BV4" s="19" t="s">
        <v>34</v>
      </c>
      <c r="BW4" s="18" t="s">
        <v>35</v>
      </c>
      <c r="BX4" s="17" t="s">
        <v>36</v>
      </c>
      <c r="BY4" s="16" t="s">
        <v>13</v>
      </c>
      <c r="BZ4" s="16" t="s">
        <v>13</v>
      </c>
      <c r="CA4" s="16" t="s">
        <v>13</v>
      </c>
      <c r="CC4" s="19" t="s">
        <v>33</v>
      </c>
      <c r="CD4" s="19" t="s">
        <v>34</v>
      </c>
      <c r="CE4" s="18" t="s">
        <v>35</v>
      </c>
      <c r="CF4" s="17" t="s">
        <v>36</v>
      </c>
      <c r="CG4" s="16" t="s">
        <v>13</v>
      </c>
      <c r="CH4" s="16" t="s">
        <v>13</v>
      </c>
      <c r="CI4" s="16" t="s">
        <v>13</v>
      </c>
      <c r="CK4" s="19" t="s">
        <v>33</v>
      </c>
      <c r="CL4" s="19" t="s">
        <v>34</v>
      </c>
      <c r="CM4" s="18" t="s">
        <v>35</v>
      </c>
      <c r="CN4" s="17" t="s">
        <v>36</v>
      </c>
      <c r="CO4" s="16" t="s">
        <v>13</v>
      </c>
      <c r="CP4" s="16" t="s">
        <v>13</v>
      </c>
      <c r="CQ4" s="16" t="s">
        <v>13</v>
      </c>
      <c r="CS4" s="19" t="s">
        <v>17</v>
      </c>
      <c r="CT4" s="19" t="s">
        <v>16</v>
      </c>
      <c r="CU4" s="18" t="s">
        <v>15</v>
      </c>
      <c r="CV4" s="17" t="s">
        <v>14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>
        <v>5656</v>
      </c>
      <c r="BH5" s="1"/>
      <c r="BI5" s="10">
        <f t="shared" ref="BI5:BI60" si="14">BG5-AY5</f>
        <v>-579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37</v>
      </c>
      <c r="BO5" s="40">
        <v>6262</v>
      </c>
      <c r="BP5" s="1"/>
      <c r="BQ5" s="10">
        <f t="shared" ref="BQ5:BQ60" si="17">BO5-BG5</f>
        <v>606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37</v>
      </c>
      <c r="BW5" s="15">
        <v>5042</v>
      </c>
      <c r="BX5" s="33"/>
      <c r="BY5" s="10">
        <f t="shared" ref="BY5:BY33" si="20">BW5-BO5</f>
        <v>-1220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37</v>
      </c>
      <c r="CE5" s="15">
        <v>7657</v>
      </c>
      <c r="CF5" s="33"/>
      <c r="CG5" s="10">
        <f t="shared" ref="CG5:CG60" si="23">CE5-BW5</f>
        <v>2615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37</v>
      </c>
      <c r="CM5" s="15">
        <v>16861</v>
      </c>
      <c r="CN5" s="33"/>
      <c r="CO5" s="10">
        <f t="shared" ref="CO5:CO60" si="26">CM5-CE5</f>
        <v>9204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19</v>
      </c>
      <c r="CU5" s="15"/>
      <c r="CV5" s="33"/>
      <c r="CW5" s="10">
        <f t="shared" ref="CW5:CW60" si="29">CU5-CM5</f>
        <v>-16861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Y6" s="15">
        <v>18</v>
      </c>
      <c r="AZ6" s="33"/>
      <c r="BA6" s="10">
        <f t="shared" si="11"/>
        <v>2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G6" s="15">
        <v>10</v>
      </c>
      <c r="BH6" s="33"/>
      <c r="BI6" s="10">
        <f t="shared" si="14"/>
        <v>-8</v>
      </c>
      <c r="BJ6" s="12">
        <f t="shared" si="15"/>
        <v>0</v>
      </c>
      <c r="BK6" s="11" t="e">
        <f t="shared" si="16"/>
        <v>#DIV/0!</v>
      </c>
      <c r="BM6" s="14"/>
      <c r="BN6" s="32" t="s">
        <v>38</v>
      </c>
      <c r="BO6" s="15">
        <v>10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38</v>
      </c>
      <c r="BW6" s="15">
        <v>7</v>
      </c>
      <c r="BX6" s="33"/>
      <c r="BY6" s="10">
        <f t="shared" si="20"/>
        <v>-3</v>
      </c>
      <c r="BZ6" s="12">
        <f t="shared" si="21"/>
        <v>0</v>
      </c>
      <c r="CA6" s="11" t="e">
        <f t="shared" si="22"/>
        <v>#DIV/0!</v>
      </c>
      <c r="CC6" s="14"/>
      <c r="CD6" s="32" t="s">
        <v>38</v>
      </c>
      <c r="CE6" s="15">
        <v>6</v>
      </c>
      <c r="CF6" s="33"/>
      <c r="CG6" s="10">
        <f t="shared" si="23"/>
        <v>-1</v>
      </c>
      <c r="CH6" s="12">
        <f t="shared" si="24"/>
        <v>0</v>
      </c>
      <c r="CI6" s="11" t="e">
        <f t="shared" si="25"/>
        <v>#DIV/0!</v>
      </c>
      <c r="CK6" s="14"/>
      <c r="CL6" s="32" t="s">
        <v>38</v>
      </c>
      <c r="CN6" s="33"/>
      <c r="CO6" s="10">
        <f t="shared" si="26"/>
        <v>-6</v>
      </c>
      <c r="CP6" s="12">
        <f t="shared" si="27"/>
        <v>0</v>
      </c>
      <c r="CQ6" s="11" t="e">
        <f t="shared" si="28"/>
        <v>#DIV/0!</v>
      </c>
      <c r="CS6" s="14"/>
      <c r="CT6" s="32" t="s">
        <v>20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G7" s="10">
        <v>170</v>
      </c>
      <c r="BH7" s="12">
        <v>174014.28571349999</v>
      </c>
      <c r="BI7" s="10">
        <f t="shared" si="14"/>
        <v>-30</v>
      </c>
      <c r="BJ7" s="12">
        <f t="shared" si="15"/>
        <v>-61345.714285549911</v>
      </c>
      <c r="BK7" s="11">
        <f t="shared" si="16"/>
        <v>-0.26064630474930978</v>
      </c>
      <c r="BM7" s="14"/>
      <c r="BN7" s="13" t="s">
        <v>9</v>
      </c>
      <c r="BO7" s="10">
        <v>209</v>
      </c>
      <c r="BP7" s="12">
        <v>210267.61904672001</v>
      </c>
      <c r="BQ7" s="10">
        <f t="shared" si="17"/>
        <v>39</v>
      </c>
      <c r="BR7" s="12">
        <f t="shared" si="18"/>
        <v>36253.333333220013</v>
      </c>
      <c r="BS7" s="11">
        <f t="shared" si="19"/>
        <v>0.20833538571027496</v>
      </c>
      <c r="BU7" s="14"/>
      <c r="BV7" s="13" t="s">
        <v>9</v>
      </c>
      <c r="BW7" s="10">
        <v>198</v>
      </c>
      <c r="BX7" s="12">
        <v>205488</v>
      </c>
      <c r="BY7" s="10">
        <f t="shared" si="20"/>
        <v>-11</v>
      </c>
      <c r="BZ7" s="12">
        <f t="shared" si="21"/>
        <v>-4779.6190467200067</v>
      </c>
      <c r="CA7" s="11">
        <f t="shared" si="22"/>
        <v>-2.2731122692068E-2</v>
      </c>
      <c r="CC7" s="14"/>
      <c r="CD7" s="13" t="s">
        <v>9</v>
      </c>
      <c r="CE7" s="10">
        <v>142</v>
      </c>
      <c r="CF7" s="12">
        <v>157770</v>
      </c>
      <c r="CG7" s="10">
        <f t="shared" si="23"/>
        <v>-56</v>
      </c>
      <c r="CH7" s="12">
        <f t="shared" si="24"/>
        <v>-47718</v>
      </c>
      <c r="CI7" s="11">
        <f t="shared" si="25"/>
        <v>-0.23221793973370708</v>
      </c>
      <c r="CK7" s="14"/>
      <c r="CL7" s="13" t="s">
        <v>9</v>
      </c>
      <c r="CM7" s="10">
        <v>274</v>
      </c>
      <c r="CN7" s="12">
        <v>282453</v>
      </c>
      <c r="CO7" s="10">
        <f t="shared" si="26"/>
        <v>132</v>
      </c>
      <c r="CP7" s="12">
        <f t="shared" si="27"/>
        <v>124683</v>
      </c>
      <c r="CQ7" s="11">
        <f t="shared" si="28"/>
        <v>0.79028332382582245</v>
      </c>
      <c r="CS7" s="14"/>
      <c r="CT7" s="13" t="s">
        <v>9</v>
      </c>
      <c r="CV7" s="12"/>
      <c r="CW7" s="10">
        <f t="shared" si="29"/>
        <v>-274</v>
      </c>
      <c r="CX7" s="12">
        <f t="shared" si="30"/>
        <v>-282453</v>
      </c>
      <c r="CY7" s="11">
        <f t="shared" si="31"/>
        <v>-1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G8" s="10">
        <v>263</v>
      </c>
      <c r="BH8" s="12">
        <v>314315.23809473001</v>
      </c>
      <c r="BI8" s="10">
        <f t="shared" si="14"/>
        <v>-2</v>
      </c>
      <c r="BJ8" s="12">
        <f t="shared" si="15"/>
        <v>-102951.4285714202</v>
      </c>
      <c r="BK8" s="11">
        <f t="shared" si="16"/>
        <v>-0.24672814005004223</v>
      </c>
      <c r="BM8" s="14"/>
      <c r="BN8" s="13" t="s">
        <v>8</v>
      </c>
      <c r="BO8" s="10">
        <v>271</v>
      </c>
      <c r="BP8" s="12">
        <v>337086.66666618001</v>
      </c>
      <c r="BQ8" s="10">
        <f t="shared" si="17"/>
        <v>8</v>
      </c>
      <c r="BR8" s="12">
        <f t="shared" si="18"/>
        <v>22771.42857145</v>
      </c>
      <c r="BS8" s="11">
        <f t="shared" si="19"/>
        <v>7.2447739757965618E-2</v>
      </c>
      <c r="BU8" s="14"/>
      <c r="BV8" s="13" t="s">
        <v>8</v>
      </c>
      <c r="BW8" s="10">
        <v>204</v>
      </c>
      <c r="BX8" s="12">
        <v>339810</v>
      </c>
      <c r="BY8" s="10">
        <f t="shared" si="20"/>
        <v>-67</v>
      </c>
      <c r="BZ8" s="12">
        <f t="shared" si="21"/>
        <v>2723.3333338199882</v>
      </c>
      <c r="CA8" s="11">
        <f t="shared" si="22"/>
        <v>8.0790301222947204E-3</v>
      </c>
      <c r="CC8" s="14"/>
      <c r="CD8" s="13" t="s">
        <v>8</v>
      </c>
      <c r="CE8" s="10">
        <v>229</v>
      </c>
      <c r="CF8" s="12">
        <v>258686</v>
      </c>
      <c r="CG8" s="10">
        <f t="shared" si="23"/>
        <v>25</v>
      </c>
      <c r="CH8" s="12">
        <f t="shared" si="24"/>
        <v>-81124</v>
      </c>
      <c r="CI8" s="11">
        <f t="shared" si="25"/>
        <v>-0.23873340984667904</v>
      </c>
      <c r="CK8" s="14"/>
      <c r="CL8" s="13" t="s">
        <v>8</v>
      </c>
      <c r="CM8" s="10">
        <v>345</v>
      </c>
      <c r="CN8" s="12">
        <v>386619</v>
      </c>
      <c r="CO8" s="10">
        <f t="shared" si="26"/>
        <v>116</v>
      </c>
      <c r="CP8" s="12">
        <f t="shared" si="27"/>
        <v>127933</v>
      </c>
      <c r="CQ8" s="11">
        <f t="shared" si="28"/>
        <v>0.49454937646413027</v>
      </c>
      <c r="CS8" s="14"/>
      <c r="CT8" s="13" t="s">
        <v>8</v>
      </c>
      <c r="CV8" s="12"/>
      <c r="CW8" s="10">
        <f t="shared" si="29"/>
        <v>-345</v>
      </c>
      <c r="CX8" s="12">
        <f t="shared" si="30"/>
        <v>-386619</v>
      </c>
      <c r="CY8" s="11">
        <f t="shared" si="31"/>
        <v>-1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G9" s="10">
        <v>68</v>
      </c>
      <c r="BH9" s="12">
        <v>467447.61904753</v>
      </c>
      <c r="BI9" s="10">
        <f t="shared" si="14"/>
        <v>-5</v>
      </c>
      <c r="BJ9" s="12">
        <f t="shared" si="15"/>
        <v>-64238.095238089911</v>
      </c>
      <c r="BK9" s="11">
        <f t="shared" si="16"/>
        <v>-0.12081967506763104</v>
      </c>
      <c r="BM9" s="14"/>
      <c r="BN9" s="13" t="s">
        <v>7</v>
      </c>
      <c r="BO9" s="10">
        <v>53</v>
      </c>
      <c r="BP9" s="12">
        <v>376638.09523803002</v>
      </c>
      <c r="BQ9" s="10">
        <f t="shared" si="17"/>
        <v>-15</v>
      </c>
      <c r="BR9" s="12">
        <f t="shared" si="18"/>
        <v>-90809.52380949998</v>
      </c>
      <c r="BS9" s="11">
        <f t="shared" si="19"/>
        <v>-0.1942667372967547</v>
      </c>
      <c r="BU9" s="14"/>
      <c r="BV9" s="13" t="s">
        <v>7</v>
      </c>
      <c r="BW9" s="10">
        <v>57</v>
      </c>
      <c r="BX9" s="12">
        <v>396124</v>
      </c>
      <c r="BY9" s="10">
        <f t="shared" si="20"/>
        <v>4</v>
      </c>
      <c r="BZ9" s="12">
        <f t="shared" si="21"/>
        <v>19485.904761969985</v>
      </c>
      <c r="CA9" s="11">
        <f t="shared" si="22"/>
        <v>5.1736414898910225E-2</v>
      </c>
      <c r="CC9" s="14"/>
      <c r="CD9" s="13" t="s">
        <v>7</v>
      </c>
      <c r="CE9" s="10">
        <v>37</v>
      </c>
      <c r="CF9" s="12">
        <v>265076</v>
      </c>
      <c r="CG9" s="10">
        <f t="shared" si="23"/>
        <v>-20</v>
      </c>
      <c r="CH9" s="12">
        <f t="shared" si="24"/>
        <v>-131048</v>
      </c>
      <c r="CI9" s="11">
        <f t="shared" si="25"/>
        <v>-0.33082570104310771</v>
      </c>
      <c r="CK9" s="14"/>
      <c r="CL9" s="13" t="s">
        <v>7</v>
      </c>
      <c r="CM9" s="10">
        <v>84</v>
      </c>
      <c r="CN9" s="12">
        <v>459390</v>
      </c>
      <c r="CO9" s="10">
        <f t="shared" si="26"/>
        <v>47</v>
      </c>
      <c r="CP9" s="12">
        <f t="shared" si="27"/>
        <v>194314</v>
      </c>
      <c r="CQ9" s="11">
        <f t="shared" si="28"/>
        <v>0.73305014410961389</v>
      </c>
      <c r="CS9" s="14"/>
      <c r="CT9" s="13" t="s">
        <v>7</v>
      </c>
      <c r="CV9" s="12"/>
      <c r="CW9" s="10">
        <f t="shared" si="29"/>
        <v>-84</v>
      </c>
      <c r="CX9" s="12">
        <f t="shared" si="30"/>
        <v>-459390</v>
      </c>
      <c r="CY9" s="11">
        <f t="shared" si="31"/>
        <v>-1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G10" s="10">
        <v>20</v>
      </c>
      <c r="BH10" s="12">
        <v>222857.14285706001</v>
      </c>
      <c r="BI10" s="10">
        <f t="shared" si="14"/>
        <v>-17</v>
      </c>
      <c r="BJ10" s="12">
        <f t="shared" si="15"/>
        <v>-264476.19047611021</v>
      </c>
      <c r="BK10" s="11">
        <f t="shared" si="16"/>
        <v>-0.54270080125074982</v>
      </c>
      <c r="BM10" s="14"/>
      <c r="BN10" s="13" t="s">
        <v>6</v>
      </c>
      <c r="BO10" s="10">
        <v>5</v>
      </c>
      <c r="BP10" s="12">
        <v>40476.190476169999</v>
      </c>
      <c r="BQ10" s="10">
        <f t="shared" si="17"/>
        <v>-15</v>
      </c>
      <c r="BR10" s="12">
        <f t="shared" si="18"/>
        <v>-182380.95238089003</v>
      </c>
      <c r="BS10" s="11">
        <f t="shared" si="19"/>
        <v>-0.81837606837609278</v>
      </c>
      <c r="BU10" s="14"/>
      <c r="BV10" s="13" t="s">
        <v>6</v>
      </c>
      <c r="BW10" s="10">
        <v>59</v>
      </c>
      <c r="BX10" s="12">
        <v>495333</v>
      </c>
      <c r="BY10" s="10">
        <f t="shared" si="20"/>
        <v>54</v>
      </c>
      <c r="BZ10" s="12">
        <f t="shared" si="21"/>
        <v>454856.80952383002</v>
      </c>
      <c r="CA10" s="11">
        <f t="shared" si="22"/>
        <v>11.237638823535603</v>
      </c>
      <c r="CC10" s="14"/>
      <c r="CD10" s="13" t="s">
        <v>6</v>
      </c>
      <c r="CE10" s="10">
        <v>0</v>
      </c>
      <c r="CF10" s="12">
        <v>0</v>
      </c>
      <c r="CG10" s="10">
        <f t="shared" si="23"/>
        <v>-59</v>
      </c>
      <c r="CH10" s="12">
        <f t="shared" si="24"/>
        <v>-495333</v>
      </c>
      <c r="CI10" s="11">
        <f t="shared" si="25"/>
        <v>-1</v>
      </c>
      <c r="CK10" s="14"/>
      <c r="CL10" s="13" t="s">
        <v>6</v>
      </c>
      <c r="CM10" s="10">
        <v>68</v>
      </c>
      <c r="CN10" s="12">
        <v>1208762</v>
      </c>
      <c r="CO10" s="10">
        <f t="shared" si="26"/>
        <v>68</v>
      </c>
      <c r="CP10" s="12">
        <f t="shared" si="27"/>
        <v>1208762</v>
      </c>
      <c r="CQ10" s="11" t="e">
        <f t="shared" si="28"/>
        <v>#DIV/0!</v>
      </c>
      <c r="CS10" s="14"/>
      <c r="CT10" s="13" t="s">
        <v>6</v>
      </c>
      <c r="CV10" s="12"/>
      <c r="CW10" s="10">
        <f t="shared" si="29"/>
        <v>-68</v>
      </c>
      <c r="CX10" s="12">
        <f t="shared" si="30"/>
        <v>-1208762</v>
      </c>
      <c r="CY10" s="11">
        <f t="shared" si="31"/>
        <v>-1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G11" s="10">
        <v>8</v>
      </c>
      <c r="BH11" s="12">
        <v>58120</v>
      </c>
      <c r="BI11" s="10">
        <f t="shared" si="14"/>
        <v>-5</v>
      </c>
      <c r="BJ11" s="12">
        <f t="shared" si="15"/>
        <v>-12960</v>
      </c>
      <c r="BK11" s="11">
        <f t="shared" si="16"/>
        <v>-0.18232976927405739</v>
      </c>
      <c r="BM11" s="14"/>
      <c r="BN11" s="13" t="s">
        <v>5</v>
      </c>
      <c r="BO11" s="10">
        <v>5</v>
      </c>
      <c r="BP11" s="12">
        <v>21150</v>
      </c>
      <c r="BQ11" s="10">
        <f t="shared" si="17"/>
        <v>-3</v>
      </c>
      <c r="BR11" s="12">
        <f t="shared" si="18"/>
        <v>-36970</v>
      </c>
      <c r="BS11" s="11">
        <f t="shared" si="19"/>
        <v>-0.6360977288368892</v>
      </c>
      <c r="BU11" s="14"/>
      <c r="BV11" s="13" t="s">
        <v>5</v>
      </c>
      <c r="BW11" s="10">
        <v>6</v>
      </c>
      <c r="BX11" s="12">
        <v>32240</v>
      </c>
      <c r="BY11" s="10">
        <f t="shared" si="20"/>
        <v>1</v>
      </c>
      <c r="BZ11" s="12">
        <f t="shared" si="21"/>
        <v>11090</v>
      </c>
      <c r="CA11" s="11">
        <f t="shared" si="22"/>
        <v>0.52434988179669029</v>
      </c>
      <c r="CC11" s="14"/>
      <c r="CD11" s="13" t="s">
        <v>5</v>
      </c>
      <c r="CE11" s="10">
        <v>5</v>
      </c>
      <c r="CF11" s="12">
        <v>40850</v>
      </c>
      <c r="CG11" s="10">
        <f t="shared" si="23"/>
        <v>-1</v>
      </c>
      <c r="CH11" s="12">
        <f t="shared" si="24"/>
        <v>8610</v>
      </c>
      <c r="CI11" s="11">
        <f t="shared" si="25"/>
        <v>0.26705955334987591</v>
      </c>
      <c r="CK11" s="14"/>
      <c r="CL11" s="13" t="s">
        <v>5</v>
      </c>
      <c r="CM11" s="10">
        <v>18</v>
      </c>
      <c r="CN11" s="12">
        <v>112120</v>
      </c>
      <c r="CO11" s="10">
        <f t="shared" si="26"/>
        <v>13</v>
      </c>
      <c r="CP11" s="12">
        <f t="shared" si="27"/>
        <v>71270</v>
      </c>
      <c r="CQ11" s="11">
        <f t="shared" si="28"/>
        <v>1.7446756425948593</v>
      </c>
      <c r="CS11" s="14"/>
      <c r="CT11" s="13" t="s">
        <v>5</v>
      </c>
      <c r="CV11" s="12"/>
      <c r="CW11" s="10">
        <f t="shared" si="29"/>
        <v>-18</v>
      </c>
      <c r="CX11" s="12">
        <f t="shared" si="30"/>
        <v>-112120</v>
      </c>
      <c r="CY11" s="11">
        <f t="shared" si="31"/>
        <v>-1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G12" s="10">
        <v>21</v>
      </c>
      <c r="BH12" s="12">
        <v>943204.76190464001</v>
      </c>
      <c r="BI12" s="10">
        <f t="shared" si="14"/>
        <v>-10</v>
      </c>
      <c r="BJ12" s="12">
        <f t="shared" si="15"/>
        <v>-591190.47619046096</v>
      </c>
      <c r="BK12" s="11">
        <f t="shared" si="16"/>
        <v>-0.38529217343270933</v>
      </c>
      <c r="BM12" s="14"/>
      <c r="BN12" s="13" t="s">
        <v>4</v>
      </c>
      <c r="BO12" s="10">
        <v>24</v>
      </c>
      <c r="BP12" s="12">
        <v>798423.80952372996</v>
      </c>
      <c r="BQ12" s="10">
        <f t="shared" si="17"/>
        <v>3</v>
      </c>
      <c r="BR12" s="12">
        <f t="shared" si="18"/>
        <v>-144780.95238091005</v>
      </c>
      <c r="BS12" s="11">
        <f t="shared" si="19"/>
        <v>-0.15349896250369832</v>
      </c>
      <c r="BU12" s="14"/>
      <c r="BV12" s="13" t="s">
        <v>4</v>
      </c>
      <c r="BW12" s="10">
        <v>29</v>
      </c>
      <c r="BX12" s="12">
        <v>1151102</v>
      </c>
      <c r="BY12" s="10">
        <f t="shared" si="20"/>
        <v>5</v>
      </c>
      <c r="BZ12" s="12">
        <f t="shared" si="21"/>
        <v>352678.19047627004</v>
      </c>
      <c r="CA12" s="11">
        <f t="shared" si="22"/>
        <v>0.44171802778106917</v>
      </c>
      <c r="CC12" s="14"/>
      <c r="CD12" s="13" t="s">
        <v>4</v>
      </c>
      <c r="CE12" s="10">
        <v>22</v>
      </c>
      <c r="CF12" s="12">
        <v>972138</v>
      </c>
      <c r="CG12" s="10">
        <f t="shared" si="23"/>
        <v>-7</v>
      </c>
      <c r="CH12" s="12">
        <f t="shared" si="24"/>
        <v>-178964</v>
      </c>
      <c r="CI12" s="11">
        <f t="shared" si="25"/>
        <v>-0.15547188693964567</v>
      </c>
      <c r="CK12" s="14"/>
      <c r="CL12" s="13" t="s">
        <v>4</v>
      </c>
      <c r="CM12" s="10">
        <v>24</v>
      </c>
      <c r="CN12" s="12">
        <v>1108019</v>
      </c>
      <c r="CO12" s="10">
        <f t="shared" si="26"/>
        <v>2</v>
      </c>
      <c r="CP12" s="12">
        <f t="shared" si="27"/>
        <v>135881</v>
      </c>
      <c r="CQ12" s="11">
        <f t="shared" si="28"/>
        <v>0.13977542283091496</v>
      </c>
      <c r="CS12" s="14"/>
      <c r="CT12" s="13" t="s">
        <v>4</v>
      </c>
      <c r="CV12" s="12"/>
      <c r="CW12" s="10">
        <f t="shared" si="29"/>
        <v>-24</v>
      </c>
      <c r="CX12" s="12">
        <f t="shared" si="30"/>
        <v>-1108019</v>
      </c>
      <c r="CY12" s="11">
        <f t="shared" si="31"/>
        <v>-1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G13" s="10">
        <v>29</v>
      </c>
      <c r="BH13" s="12">
        <v>671523.80952368001</v>
      </c>
      <c r="BI13" s="10">
        <f t="shared" si="14"/>
        <v>-24</v>
      </c>
      <c r="BJ13" s="12">
        <f t="shared" si="15"/>
        <v>-558190.47619043989</v>
      </c>
      <c r="BK13" s="11">
        <f t="shared" si="16"/>
        <v>-0.45391883519210108</v>
      </c>
      <c r="BM13" s="14"/>
      <c r="BN13" s="13" t="s">
        <v>3</v>
      </c>
      <c r="BO13" s="10">
        <v>45</v>
      </c>
      <c r="BP13" s="12">
        <v>981238.09523791994</v>
      </c>
      <c r="BQ13" s="10">
        <f t="shared" si="17"/>
        <v>16</v>
      </c>
      <c r="BR13" s="12">
        <f t="shared" si="18"/>
        <v>309714.28571423993</v>
      </c>
      <c r="BS13" s="11">
        <f t="shared" si="19"/>
        <v>0.46121117571977682</v>
      </c>
      <c r="BU13" s="14"/>
      <c r="BV13" s="13" t="s">
        <v>3</v>
      </c>
      <c r="BW13" s="10">
        <v>49</v>
      </c>
      <c r="BX13" s="12">
        <v>1278952</v>
      </c>
      <c r="BY13" s="10">
        <f t="shared" si="20"/>
        <v>4</v>
      </c>
      <c r="BZ13" s="12">
        <f t="shared" si="21"/>
        <v>297713.90476208006</v>
      </c>
      <c r="CA13" s="11">
        <f t="shared" si="22"/>
        <v>0.30340638648960488</v>
      </c>
      <c r="CC13" s="14"/>
      <c r="CD13" s="13" t="s">
        <v>3</v>
      </c>
      <c r="CE13" s="10">
        <v>46</v>
      </c>
      <c r="CF13" s="12">
        <v>988381</v>
      </c>
      <c r="CG13" s="10">
        <f t="shared" si="23"/>
        <v>-3</v>
      </c>
      <c r="CH13" s="12">
        <f t="shared" si="24"/>
        <v>-290571</v>
      </c>
      <c r="CI13" s="11">
        <f t="shared" si="25"/>
        <v>-0.22719460933639418</v>
      </c>
      <c r="CK13" s="14"/>
      <c r="CL13" s="13" t="s">
        <v>3</v>
      </c>
      <c r="CM13" s="10">
        <v>48</v>
      </c>
      <c r="CN13" s="12">
        <v>1098667</v>
      </c>
      <c r="CO13" s="10">
        <f t="shared" si="26"/>
        <v>2</v>
      </c>
      <c r="CP13" s="12">
        <f t="shared" si="27"/>
        <v>110286</v>
      </c>
      <c r="CQ13" s="11">
        <f t="shared" si="28"/>
        <v>0.11158247679791497</v>
      </c>
      <c r="CS13" s="14"/>
      <c r="CT13" s="13" t="s">
        <v>3</v>
      </c>
      <c r="CV13" s="12"/>
      <c r="CW13" s="10">
        <f t="shared" si="29"/>
        <v>-48</v>
      </c>
      <c r="CX13" s="12">
        <f t="shared" si="30"/>
        <v>-1098667</v>
      </c>
      <c r="CY13" s="11">
        <f t="shared" si="31"/>
        <v>-1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G14" s="10">
        <v>41</v>
      </c>
      <c r="BH14" s="12">
        <v>1441809.52380946</v>
      </c>
      <c r="BI14" s="10">
        <f t="shared" si="14"/>
        <v>-40</v>
      </c>
      <c r="BJ14" s="12">
        <f t="shared" si="15"/>
        <v>-1764761.9047618699</v>
      </c>
      <c r="BK14" s="11">
        <f t="shared" si="16"/>
        <v>-0.55035789598741292</v>
      </c>
      <c r="BM14" s="14"/>
      <c r="BN14" s="13" t="s">
        <v>2</v>
      </c>
      <c r="BO14" s="10">
        <v>32</v>
      </c>
      <c r="BP14" s="12">
        <v>1143619.0476189801</v>
      </c>
      <c r="BQ14" s="10">
        <f t="shared" si="17"/>
        <v>-9</v>
      </c>
      <c r="BR14" s="12">
        <f t="shared" si="18"/>
        <v>-298190.47619047994</v>
      </c>
      <c r="BS14" s="11">
        <f t="shared" si="19"/>
        <v>-0.20681683070217174</v>
      </c>
      <c r="BU14" s="14"/>
      <c r="BV14" s="13" t="s">
        <v>2</v>
      </c>
      <c r="BW14" s="10">
        <v>40</v>
      </c>
      <c r="BX14" s="12">
        <v>1330476</v>
      </c>
      <c r="BY14" s="10">
        <f t="shared" si="20"/>
        <v>8</v>
      </c>
      <c r="BZ14" s="12">
        <f t="shared" si="21"/>
        <v>186856.95238101995</v>
      </c>
      <c r="CA14" s="11">
        <f t="shared" si="22"/>
        <v>0.16339090606269366</v>
      </c>
      <c r="CC14" s="14"/>
      <c r="CD14" s="13" t="s">
        <v>2</v>
      </c>
      <c r="CE14" s="10">
        <v>26</v>
      </c>
      <c r="CF14" s="12">
        <v>929905</v>
      </c>
      <c r="CG14" s="10">
        <f t="shared" si="23"/>
        <v>-14</v>
      </c>
      <c r="CH14" s="12">
        <f t="shared" si="24"/>
        <v>-400571</v>
      </c>
      <c r="CI14" s="11">
        <f t="shared" si="25"/>
        <v>-0.30107345040421624</v>
      </c>
      <c r="CK14" s="14"/>
      <c r="CL14" s="13" t="s">
        <v>2</v>
      </c>
      <c r="CM14" s="10">
        <v>439</v>
      </c>
      <c r="CN14" s="12">
        <v>20889619</v>
      </c>
      <c r="CO14" s="10">
        <f t="shared" si="26"/>
        <v>413</v>
      </c>
      <c r="CP14" s="12">
        <f t="shared" si="27"/>
        <v>19959714</v>
      </c>
      <c r="CQ14" s="11">
        <f t="shared" si="28"/>
        <v>21.464250649259871</v>
      </c>
      <c r="CS14" s="14"/>
      <c r="CT14" s="13" t="s">
        <v>2</v>
      </c>
      <c r="CV14" s="12"/>
      <c r="CW14" s="10">
        <f t="shared" si="29"/>
        <v>-439</v>
      </c>
      <c r="CX14" s="12">
        <f t="shared" si="30"/>
        <v>-20889619</v>
      </c>
      <c r="CY14" s="11">
        <f t="shared" si="31"/>
        <v>-1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>
        <v>620</v>
      </c>
      <c r="BH15" s="7">
        <v>4293292.3809505999</v>
      </c>
      <c r="BI15" s="27">
        <f t="shared" si="14"/>
        <v>-133</v>
      </c>
      <c r="BJ15" s="28">
        <f t="shared" si="15"/>
        <v>-3420114.2857139409</v>
      </c>
      <c r="BK15" s="29">
        <f t="shared" si="16"/>
        <v>-0.44339867370079672</v>
      </c>
      <c r="BM15" s="9" t="s">
        <v>39</v>
      </c>
      <c r="BN15" s="9"/>
      <c r="BO15" s="8">
        <v>644</v>
      </c>
      <c r="BP15" s="7">
        <v>3908899.5238077301</v>
      </c>
      <c r="BQ15" s="27">
        <f t="shared" si="17"/>
        <v>24</v>
      </c>
      <c r="BR15" s="28">
        <f t="shared" si="18"/>
        <v>-384392.85714286985</v>
      </c>
      <c r="BS15" s="29">
        <f t="shared" si="19"/>
        <v>-8.9533351804416225E-2</v>
      </c>
      <c r="BU15" s="9" t="s">
        <v>39</v>
      </c>
      <c r="BV15" s="9"/>
      <c r="BW15" s="8">
        <v>642</v>
      </c>
      <c r="BX15" s="7">
        <v>5229525</v>
      </c>
      <c r="BY15" s="27">
        <f t="shared" si="20"/>
        <v>-2</v>
      </c>
      <c r="BZ15" s="28">
        <f t="shared" si="21"/>
        <v>1320625.4761922699</v>
      </c>
      <c r="CA15" s="29">
        <f t="shared" si="22"/>
        <v>0.33785096499636413</v>
      </c>
      <c r="CC15" s="9" t="s">
        <v>39</v>
      </c>
      <c r="CD15" s="9"/>
      <c r="CE15" s="8">
        <v>507</v>
      </c>
      <c r="CF15" s="7">
        <v>3612806</v>
      </c>
      <c r="CG15" s="27">
        <f t="shared" si="23"/>
        <v>-135</v>
      </c>
      <c r="CH15" s="28">
        <f t="shared" si="24"/>
        <v>-1616719</v>
      </c>
      <c r="CI15" s="29">
        <f t="shared" si="25"/>
        <v>-0.30915216965211945</v>
      </c>
      <c r="CK15" s="9" t="s">
        <v>39</v>
      </c>
      <c r="CL15" s="9"/>
      <c r="CM15" s="8">
        <v>1300</v>
      </c>
      <c r="CN15" s="7">
        <v>25545649</v>
      </c>
      <c r="CO15" s="27">
        <f t="shared" si="26"/>
        <v>793</v>
      </c>
      <c r="CP15" s="28">
        <f t="shared" si="27"/>
        <v>21932843</v>
      </c>
      <c r="CQ15" s="29">
        <f t="shared" si="28"/>
        <v>6.0708609872769257</v>
      </c>
      <c r="CS15" s="9" t="s">
        <v>18</v>
      </c>
      <c r="CT15" s="9"/>
      <c r="CU15" s="8"/>
      <c r="CV15" s="7"/>
      <c r="CW15" s="27">
        <f t="shared" si="29"/>
        <v>-1300</v>
      </c>
      <c r="CX15" s="28">
        <f t="shared" si="30"/>
        <v>-25545649</v>
      </c>
      <c r="CY15" s="29">
        <f t="shared" si="31"/>
        <v>-1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G16" s="1">
        <v>3813</v>
      </c>
      <c r="BH16" s="35"/>
      <c r="BI16" s="10">
        <f t="shared" si="14"/>
        <v>67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37</v>
      </c>
      <c r="BO16" s="1">
        <v>3936</v>
      </c>
      <c r="BP16" s="35"/>
      <c r="BQ16" s="10">
        <f t="shared" si="17"/>
        <v>123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37</v>
      </c>
      <c r="BW16" s="15">
        <v>3854</v>
      </c>
      <c r="BX16" s="33"/>
      <c r="BY16" s="10">
        <f t="shared" si="20"/>
        <v>-82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37</v>
      </c>
      <c r="CE16" s="15">
        <v>6869</v>
      </c>
      <c r="CF16" s="33"/>
      <c r="CG16" s="10">
        <f t="shared" si="23"/>
        <v>3015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37</v>
      </c>
      <c r="CM16" s="15">
        <v>12269</v>
      </c>
      <c r="CN16" s="33"/>
      <c r="CO16" s="10">
        <f t="shared" si="26"/>
        <v>5400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19</v>
      </c>
      <c r="CU16" s="15"/>
      <c r="CV16" s="33"/>
      <c r="CW16" s="10">
        <f t="shared" si="29"/>
        <v>-12269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Y17" s="1">
        <v>10</v>
      </c>
      <c r="AZ17" s="35"/>
      <c r="BA17" s="10">
        <f t="shared" si="11"/>
        <v>1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G17" s="1">
        <v>7</v>
      </c>
      <c r="BH17" s="35"/>
      <c r="BI17" s="10">
        <f t="shared" si="14"/>
        <v>-3</v>
      </c>
      <c r="BJ17" s="12">
        <f t="shared" si="15"/>
        <v>0</v>
      </c>
      <c r="BK17" s="11" t="e">
        <f t="shared" si="16"/>
        <v>#DIV/0!</v>
      </c>
      <c r="BM17" s="14"/>
      <c r="BN17" s="32" t="s">
        <v>38</v>
      </c>
      <c r="BO17" s="1">
        <v>6</v>
      </c>
      <c r="BP17" s="35"/>
      <c r="BQ17" s="10">
        <f t="shared" si="17"/>
        <v>-1</v>
      </c>
      <c r="BR17" s="12">
        <f t="shared" si="18"/>
        <v>0</v>
      </c>
      <c r="BS17" s="11" t="e">
        <f t="shared" si="19"/>
        <v>#DIV/0!</v>
      </c>
      <c r="BU17" s="14"/>
      <c r="BV17" s="32" t="s">
        <v>38</v>
      </c>
      <c r="BW17" s="15">
        <v>2</v>
      </c>
      <c r="BX17" s="33"/>
      <c r="BY17" s="10">
        <f t="shared" si="20"/>
        <v>-4</v>
      </c>
      <c r="BZ17" s="12">
        <f t="shared" si="21"/>
        <v>0</v>
      </c>
      <c r="CA17" s="11" t="e">
        <f t="shared" si="22"/>
        <v>#DIV/0!</v>
      </c>
      <c r="CC17" s="14"/>
      <c r="CD17" s="32" t="s">
        <v>38</v>
      </c>
      <c r="CE17" s="15">
        <v>9</v>
      </c>
      <c r="CF17" s="33"/>
      <c r="CG17" s="10">
        <f t="shared" si="23"/>
        <v>7</v>
      </c>
      <c r="CH17" s="12">
        <f t="shared" si="24"/>
        <v>0</v>
      </c>
      <c r="CI17" s="11" t="e">
        <f t="shared" si="25"/>
        <v>#DIV/0!</v>
      </c>
      <c r="CK17" s="14"/>
      <c r="CL17" s="32" t="s">
        <v>38</v>
      </c>
      <c r="CM17" s="15"/>
      <c r="CN17" s="33"/>
      <c r="CO17" s="10">
        <f t="shared" si="26"/>
        <v>-9</v>
      </c>
      <c r="CP17" s="12">
        <f t="shared" si="27"/>
        <v>0</v>
      </c>
      <c r="CQ17" s="11" t="e">
        <f t="shared" si="28"/>
        <v>#DIV/0!</v>
      </c>
      <c r="CS17" s="14"/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G18" s="10">
        <v>124</v>
      </c>
      <c r="BH18" s="12">
        <v>122476.19047563001</v>
      </c>
      <c r="BI18" s="10">
        <f t="shared" si="14"/>
        <v>13</v>
      </c>
      <c r="BJ18" s="12">
        <f t="shared" si="15"/>
        <v>7340.9523809199018</v>
      </c>
      <c r="BK18" s="11">
        <f t="shared" si="16"/>
        <v>6.375938854515803E-2</v>
      </c>
      <c r="BM18" s="14"/>
      <c r="BN18" s="13" t="s">
        <v>9</v>
      </c>
      <c r="BO18" s="10">
        <v>129</v>
      </c>
      <c r="BP18" s="12">
        <v>116457.14285663</v>
      </c>
      <c r="BQ18" s="10">
        <f t="shared" si="17"/>
        <v>5</v>
      </c>
      <c r="BR18" s="12">
        <f t="shared" si="18"/>
        <v>-6019.0476190000045</v>
      </c>
      <c r="BS18" s="11">
        <f t="shared" si="19"/>
        <v>-4.914463452549709E-2</v>
      </c>
      <c r="BU18" s="14"/>
      <c r="BV18" s="13" t="s">
        <v>9</v>
      </c>
      <c r="BW18" s="10">
        <v>139</v>
      </c>
      <c r="BX18" s="12">
        <v>140534</v>
      </c>
      <c r="BY18" s="10">
        <f t="shared" si="20"/>
        <v>10</v>
      </c>
      <c r="BZ18" s="12">
        <f t="shared" si="21"/>
        <v>24076.857143369998</v>
      </c>
      <c r="CA18" s="11">
        <f t="shared" si="22"/>
        <v>0.20674435721826814</v>
      </c>
      <c r="CC18" s="14"/>
      <c r="CD18" s="13" t="s">
        <v>9</v>
      </c>
      <c r="CE18" s="10">
        <v>139</v>
      </c>
      <c r="CF18" s="12">
        <v>156901</v>
      </c>
      <c r="CG18" s="10">
        <f t="shared" si="23"/>
        <v>0</v>
      </c>
      <c r="CH18" s="12">
        <f t="shared" si="24"/>
        <v>16367</v>
      </c>
      <c r="CI18" s="11">
        <f t="shared" si="25"/>
        <v>0.11646292000512332</v>
      </c>
      <c r="CK18" s="14"/>
      <c r="CL18" s="13" t="s">
        <v>9</v>
      </c>
      <c r="CM18" s="10">
        <v>210</v>
      </c>
      <c r="CN18" s="12">
        <v>238942</v>
      </c>
      <c r="CO18" s="10">
        <f t="shared" si="26"/>
        <v>71</v>
      </c>
      <c r="CP18" s="12">
        <f t="shared" si="27"/>
        <v>82041</v>
      </c>
      <c r="CQ18" s="11">
        <f t="shared" si="28"/>
        <v>0.52288385669944737</v>
      </c>
      <c r="CS18" s="14"/>
      <c r="CT18" s="13" t="s">
        <v>9</v>
      </c>
      <c r="CV18" s="12"/>
      <c r="CW18" s="10">
        <f t="shared" si="29"/>
        <v>-210</v>
      </c>
      <c r="CX18" s="12">
        <f t="shared" si="30"/>
        <v>-238942</v>
      </c>
      <c r="CY18" s="11">
        <f t="shared" si="31"/>
        <v>-1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G19" s="10">
        <v>115</v>
      </c>
      <c r="BH19" s="12">
        <v>115704.76190441</v>
      </c>
      <c r="BI19" s="10">
        <f t="shared" si="14"/>
        <v>-55</v>
      </c>
      <c r="BJ19" s="12">
        <f t="shared" si="15"/>
        <v>-57999.999999959895</v>
      </c>
      <c r="BK19" s="11">
        <f t="shared" si="16"/>
        <v>-0.33389988486263134</v>
      </c>
      <c r="BM19" s="14"/>
      <c r="BN19" s="13" t="s">
        <v>8</v>
      </c>
      <c r="BO19" s="10">
        <v>164</v>
      </c>
      <c r="BP19" s="12">
        <v>177323.80952340999</v>
      </c>
      <c r="BQ19" s="10">
        <f t="shared" si="17"/>
        <v>49</v>
      </c>
      <c r="BR19" s="12">
        <f t="shared" si="18"/>
        <v>61619.04761899999</v>
      </c>
      <c r="BS19" s="11">
        <f t="shared" si="19"/>
        <v>0.53255411968184019</v>
      </c>
      <c r="BU19" s="14"/>
      <c r="BV19" s="13" t="s">
        <v>8</v>
      </c>
      <c r="BW19" s="10">
        <v>183</v>
      </c>
      <c r="BX19" s="12">
        <v>189429</v>
      </c>
      <c r="BY19" s="10">
        <f t="shared" si="20"/>
        <v>19</v>
      </c>
      <c r="BZ19" s="12">
        <f t="shared" si="21"/>
        <v>12105.190476590011</v>
      </c>
      <c r="CA19" s="11">
        <f t="shared" si="22"/>
        <v>6.8266018585574684E-2</v>
      </c>
      <c r="CC19" s="14"/>
      <c r="CD19" s="13" t="s">
        <v>8</v>
      </c>
      <c r="CE19" s="10">
        <v>245</v>
      </c>
      <c r="CF19" s="12">
        <v>238287</v>
      </c>
      <c r="CG19" s="10">
        <f t="shared" si="23"/>
        <v>62</v>
      </c>
      <c r="CH19" s="12">
        <f t="shared" si="24"/>
        <v>48858</v>
      </c>
      <c r="CI19" s="11">
        <f t="shared" si="25"/>
        <v>0.25792249338802403</v>
      </c>
      <c r="CK19" s="14"/>
      <c r="CL19" s="13" t="s">
        <v>8</v>
      </c>
      <c r="CM19" s="10">
        <v>269</v>
      </c>
      <c r="CN19" s="12">
        <v>316922</v>
      </c>
      <c r="CO19" s="10">
        <f t="shared" si="26"/>
        <v>24</v>
      </c>
      <c r="CP19" s="12">
        <f t="shared" si="27"/>
        <v>78635</v>
      </c>
      <c r="CQ19" s="11">
        <f t="shared" si="28"/>
        <v>0.33000121701981222</v>
      </c>
      <c r="CS19" s="14"/>
      <c r="CT19" s="13" t="s">
        <v>8</v>
      </c>
      <c r="CV19" s="12"/>
      <c r="CW19" s="10">
        <f t="shared" si="29"/>
        <v>-269</v>
      </c>
      <c r="CX19" s="12">
        <f t="shared" si="30"/>
        <v>-316922</v>
      </c>
      <c r="CY19" s="11">
        <f t="shared" si="31"/>
        <v>-1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G20" s="10">
        <v>42</v>
      </c>
      <c r="BH20" s="12">
        <v>253409.52380945001</v>
      </c>
      <c r="BI20" s="10">
        <f t="shared" si="14"/>
        <v>3</v>
      </c>
      <c r="BJ20" s="12">
        <f t="shared" si="15"/>
        <v>9495.2380952100211</v>
      </c>
      <c r="BK20" s="11">
        <f t="shared" si="16"/>
        <v>3.8928585373364535E-2</v>
      </c>
      <c r="BM20" s="14"/>
      <c r="BN20" s="13" t="s">
        <v>7</v>
      </c>
      <c r="BO20" s="10">
        <v>36</v>
      </c>
      <c r="BP20" s="12">
        <v>221085.71428565</v>
      </c>
      <c r="BQ20" s="10">
        <f t="shared" si="17"/>
        <v>-6</v>
      </c>
      <c r="BR20" s="12">
        <f t="shared" si="18"/>
        <v>-32323.80952380001</v>
      </c>
      <c r="BS20" s="11">
        <f t="shared" si="19"/>
        <v>-0.12755562236921186</v>
      </c>
      <c r="BU20" s="14"/>
      <c r="BV20" s="13" t="s">
        <v>7</v>
      </c>
      <c r="BW20" s="10">
        <v>23</v>
      </c>
      <c r="BX20" s="12">
        <v>131210</v>
      </c>
      <c r="BY20" s="10">
        <f t="shared" si="20"/>
        <v>-13</v>
      </c>
      <c r="BZ20" s="12">
        <f t="shared" si="21"/>
        <v>-89875.71428565</v>
      </c>
      <c r="CA20" s="11">
        <f t="shared" si="22"/>
        <v>-0.40651977255087424</v>
      </c>
      <c r="CC20" s="14"/>
      <c r="CD20" s="13" t="s">
        <v>7</v>
      </c>
      <c r="CE20" s="10">
        <v>33</v>
      </c>
      <c r="CF20" s="12">
        <v>232638</v>
      </c>
      <c r="CG20" s="10">
        <f t="shared" si="23"/>
        <v>10</v>
      </c>
      <c r="CH20" s="12">
        <f t="shared" si="24"/>
        <v>101428</v>
      </c>
      <c r="CI20" s="11">
        <f t="shared" si="25"/>
        <v>0.77302034905876071</v>
      </c>
      <c r="CK20" s="14"/>
      <c r="CL20" s="13" t="s">
        <v>7</v>
      </c>
      <c r="CM20" s="10">
        <v>83</v>
      </c>
      <c r="CN20" s="12">
        <v>435686</v>
      </c>
      <c r="CO20" s="10">
        <f t="shared" si="26"/>
        <v>50</v>
      </c>
      <c r="CP20" s="12">
        <f t="shared" si="27"/>
        <v>203048</v>
      </c>
      <c r="CQ20" s="11">
        <f t="shared" si="28"/>
        <v>0.87280667818671065</v>
      </c>
      <c r="CS20" s="14"/>
      <c r="CT20" s="13" t="s">
        <v>7</v>
      </c>
      <c r="CV20" s="12"/>
      <c r="CW20" s="10">
        <f t="shared" si="29"/>
        <v>-83</v>
      </c>
      <c r="CX20" s="12">
        <f t="shared" si="30"/>
        <v>-435686</v>
      </c>
      <c r="CY20" s="11">
        <f t="shared" si="31"/>
        <v>-1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G21" s="10">
        <v>12</v>
      </c>
      <c r="BH21" s="12">
        <v>101428.5714285</v>
      </c>
      <c r="BI21" s="10">
        <f t="shared" si="14"/>
        <v>-4</v>
      </c>
      <c r="BJ21" s="12">
        <f t="shared" si="15"/>
        <v>-68476.190476170013</v>
      </c>
      <c r="BK21" s="11">
        <f t="shared" si="16"/>
        <v>-0.40302690582969397</v>
      </c>
      <c r="BM21" s="14"/>
      <c r="BN21" s="13" t="s">
        <v>6</v>
      </c>
      <c r="BO21" s="10">
        <v>8</v>
      </c>
      <c r="BP21" s="12">
        <v>67809.523809480001</v>
      </c>
      <c r="BQ21" s="10">
        <f t="shared" si="17"/>
        <v>-4</v>
      </c>
      <c r="BR21" s="12">
        <f t="shared" si="18"/>
        <v>-33619.047619019999</v>
      </c>
      <c r="BS21" s="11">
        <f t="shared" si="19"/>
        <v>-0.33145539906099397</v>
      </c>
      <c r="BU21" s="14"/>
      <c r="BV21" s="13" t="s">
        <v>6</v>
      </c>
      <c r="BW21" s="10">
        <v>1</v>
      </c>
      <c r="BX21" s="12">
        <v>7524</v>
      </c>
      <c r="BY21" s="10">
        <f t="shared" si="20"/>
        <v>-7</v>
      </c>
      <c r="BZ21" s="12">
        <f t="shared" si="21"/>
        <v>-60285.523809480001</v>
      </c>
      <c r="CA21" s="11">
        <f t="shared" si="22"/>
        <v>-0.88904213483138894</v>
      </c>
      <c r="CC21" s="14"/>
      <c r="CD21" s="13" t="s">
        <v>6</v>
      </c>
      <c r="CE21" s="10">
        <v>1</v>
      </c>
      <c r="CF21" s="12">
        <v>13238</v>
      </c>
      <c r="CG21" s="10">
        <f t="shared" si="23"/>
        <v>0</v>
      </c>
      <c r="CH21" s="12">
        <f t="shared" si="24"/>
        <v>5714</v>
      </c>
      <c r="CI21" s="11">
        <f t="shared" si="25"/>
        <v>0.7594364699627858</v>
      </c>
      <c r="CK21" s="14"/>
      <c r="CL21" s="13" t="s">
        <v>6</v>
      </c>
      <c r="CM21" s="10">
        <v>33</v>
      </c>
      <c r="CN21" s="12">
        <v>553524</v>
      </c>
      <c r="CO21" s="10">
        <f t="shared" si="26"/>
        <v>32</v>
      </c>
      <c r="CP21" s="12">
        <f t="shared" si="27"/>
        <v>540286</v>
      </c>
      <c r="CQ21" s="11">
        <f t="shared" si="28"/>
        <v>40.81326484363197</v>
      </c>
      <c r="CS21" s="14"/>
      <c r="CT21" s="13" t="s">
        <v>6</v>
      </c>
      <c r="CV21" s="12"/>
      <c r="CW21" s="10">
        <f t="shared" si="29"/>
        <v>-33</v>
      </c>
      <c r="CX21" s="12">
        <f t="shared" si="30"/>
        <v>-553524</v>
      </c>
      <c r="CY21" s="11">
        <f t="shared" si="31"/>
        <v>-1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G22" s="10">
        <v>10</v>
      </c>
      <c r="BH22" s="12">
        <v>39648</v>
      </c>
      <c r="BI22" s="10">
        <f t="shared" si="14"/>
        <v>-4</v>
      </c>
      <c r="BJ22" s="12">
        <f t="shared" si="15"/>
        <v>-8572</v>
      </c>
      <c r="BK22" s="11">
        <f t="shared" si="16"/>
        <v>-0.1777685607631688</v>
      </c>
      <c r="BM22" s="14"/>
      <c r="BN22" s="13" t="s">
        <v>5</v>
      </c>
      <c r="BO22" s="10">
        <v>14</v>
      </c>
      <c r="BP22" s="12">
        <v>78308</v>
      </c>
      <c r="BQ22" s="10">
        <f t="shared" si="17"/>
        <v>4</v>
      </c>
      <c r="BR22" s="12">
        <f t="shared" si="18"/>
        <v>38660</v>
      </c>
      <c r="BS22" s="11">
        <f t="shared" si="19"/>
        <v>0.97508071025020182</v>
      </c>
      <c r="BU22" s="14"/>
      <c r="BV22" s="13" t="s">
        <v>5</v>
      </c>
      <c r="BW22" s="10">
        <v>12</v>
      </c>
      <c r="BX22" s="12">
        <v>67380</v>
      </c>
      <c r="BY22" s="10">
        <f t="shared" si="20"/>
        <v>-2</v>
      </c>
      <c r="BZ22" s="12">
        <f t="shared" si="21"/>
        <v>-10928</v>
      </c>
      <c r="CA22" s="11">
        <f t="shared" si="22"/>
        <v>-0.13955151453235939</v>
      </c>
      <c r="CC22" s="14"/>
      <c r="CD22" s="13" t="s">
        <v>5</v>
      </c>
      <c r="CE22" s="10">
        <v>18</v>
      </c>
      <c r="CF22" s="12">
        <v>90450</v>
      </c>
      <c r="CG22" s="10">
        <f t="shared" si="23"/>
        <v>6</v>
      </c>
      <c r="CH22" s="12">
        <f t="shared" si="24"/>
        <v>23070</v>
      </c>
      <c r="CI22" s="11">
        <f t="shared" si="25"/>
        <v>0.34238646482635798</v>
      </c>
      <c r="CK22" s="14"/>
      <c r="CL22" s="13" t="s">
        <v>5</v>
      </c>
      <c r="CM22" s="10">
        <v>19</v>
      </c>
      <c r="CN22" s="12">
        <v>118310</v>
      </c>
      <c r="CO22" s="10">
        <f t="shared" si="26"/>
        <v>1</v>
      </c>
      <c r="CP22" s="12">
        <f t="shared" si="27"/>
        <v>27860</v>
      </c>
      <c r="CQ22" s="11">
        <f t="shared" si="28"/>
        <v>0.3080154781647319</v>
      </c>
      <c r="CS22" s="14"/>
      <c r="CT22" s="13" t="s">
        <v>5</v>
      </c>
      <c r="CV22" s="12"/>
      <c r="CW22" s="10">
        <f t="shared" si="29"/>
        <v>-19</v>
      </c>
      <c r="CX22" s="12">
        <f t="shared" si="30"/>
        <v>-118310</v>
      </c>
      <c r="CY22" s="11">
        <f t="shared" si="31"/>
        <v>-1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G23" s="10">
        <v>11</v>
      </c>
      <c r="BH23" s="12">
        <v>431752.38095234003</v>
      </c>
      <c r="BI23" s="10">
        <f t="shared" si="14"/>
        <v>6</v>
      </c>
      <c r="BJ23" s="12">
        <f t="shared" si="15"/>
        <v>231357.14285713003</v>
      </c>
      <c r="BK23" s="11">
        <f t="shared" si="16"/>
        <v>1.1545041940927243</v>
      </c>
      <c r="BM23" s="14"/>
      <c r="BN23" s="13" t="s">
        <v>4</v>
      </c>
      <c r="BO23" s="10">
        <v>16</v>
      </c>
      <c r="BP23" s="12">
        <v>555333.33333324001</v>
      </c>
      <c r="BQ23" s="10">
        <f t="shared" si="17"/>
        <v>5</v>
      </c>
      <c r="BR23" s="12">
        <f t="shared" si="18"/>
        <v>123580.95238089998</v>
      </c>
      <c r="BS23" s="11">
        <f t="shared" si="19"/>
        <v>0.28623108483689347</v>
      </c>
      <c r="BU23" s="14"/>
      <c r="BV23" s="13" t="s">
        <v>4</v>
      </c>
      <c r="BW23" s="10">
        <v>24</v>
      </c>
      <c r="BX23" s="12">
        <v>731464</v>
      </c>
      <c r="BY23" s="10">
        <f t="shared" si="20"/>
        <v>8</v>
      </c>
      <c r="BZ23" s="12">
        <f t="shared" si="21"/>
        <v>176130.66666675999</v>
      </c>
      <c r="CA23" s="11">
        <f t="shared" si="22"/>
        <v>0.31716206482615172</v>
      </c>
      <c r="CC23" s="14"/>
      <c r="CD23" s="13" t="s">
        <v>4</v>
      </c>
      <c r="CE23" s="10">
        <v>24</v>
      </c>
      <c r="CF23" s="12">
        <v>838090</v>
      </c>
      <c r="CG23" s="10">
        <f t="shared" si="23"/>
        <v>0</v>
      </c>
      <c r="CH23" s="12">
        <f t="shared" si="24"/>
        <v>106626</v>
      </c>
      <c r="CI23" s="11">
        <f t="shared" si="25"/>
        <v>0.14577067360799711</v>
      </c>
      <c r="CK23" s="14"/>
      <c r="CL23" s="13" t="s">
        <v>4</v>
      </c>
      <c r="CM23" s="10">
        <v>25</v>
      </c>
      <c r="CN23" s="12">
        <v>952124</v>
      </c>
      <c r="CO23" s="10">
        <f t="shared" si="26"/>
        <v>1</v>
      </c>
      <c r="CP23" s="12">
        <f t="shared" si="27"/>
        <v>114034</v>
      </c>
      <c r="CQ23" s="11">
        <f t="shared" si="28"/>
        <v>0.13606414585545706</v>
      </c>
      <c r="CS23" s="14"/>
      <c r="CT23" s="13" t="s">
        <v>4</v>
      </c>
      <c r="CV23" s="12"/>
      <c r="CW23" s="10">
        <f t="shared" si="29"/>
        <v>-25</v>
      </c>
      <c r="CX23" s="12">
        <f t="shared" si="30"/>
        <v>-952124</v>
      </c>
      <c r="CY23" s="11">
        <f t="shared" si="31"/>
        <v>-1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G24" s="10">
        <v>16</v>
      </c>
      <c r="BH24" s="12">
        <v>330571.42857133999</v>
      </c>
      <c r="BI24" s="10">
        <f t="shared" si="14"/>
        <v>3</v>
      </c>
      <c r="BJ24" s="12">
        <f t="shared" si="15"/>
        <v>71714.28571425</v>
      </c>
      <c r="BK24" s="11">
        <f t="shared" si="16"/>
        <v>0.2770419426047751</v>
      </c>
      <c r="BM24" s="14"/>
      <c r="BN24" s="13" t="s">
        <v>3</v>
      </c>
      <c r="BO24" s="10">
        <v>28</v>
      </c>
      <c r="BP24" s="12">
        <v>591904.76190464001</v>
      </c>
      <c r="BQ24" s="10">
        <f t="shared" si="17"/>
        <v>12</v>
      </c>
      <c r="BR24" s="12">
        <f t="shared" si="18"/>
        <v>261333.33333330002</v>
      </c>
      <c r="BS24" s="11">
        <f t="shared" si="19"/>
        <v>0.79055027369645214</v>
      </c>
      <c r="BU24" s="14"/>
      <c r="BV24" s="13" t="s">
        <v>3</v>
      </c>
      <c r="BW24" s="10">
        <v>28</v>
      </c>
      <c r="BX24" s="12">
        <v>737238</v>
      </c>
      <c r="BY24" s="10">
        <f t="shared" si="20"/>
        <v>0</v>
      </c>
      <c r="BZ24" s="12">
        <f t="shared" si="21"/>
        <v>145333.23809535999</v>
      </c>
      <c r="CA24" s="11">
        <f t="shared" si="22"/>
        <v>0.2455348350766845</v>
      </c>
      <c r="CC24" s="14"/>
      <c r="CD24" s="13" t="s">
        <v>3</v>
      </c>
      <c r="CE24" s="10">
        <v>61</v>
      </c>
      <c r="CF24" s="12">
        <v>1395048</v>
      </c>
      <c r="CG24" s="10">
        <f t="shared" si="23"/>
        <v>33</v>
      </c>
      <c r="CH24" s="12">
        <f t="shared" si="24"/>
        <v>657810</v>
      </c>
      <c r="CI24" s="11">
        <f t="shared" si="25"/>
        <v>0.89226274283202978</v>
      </c>
      <c r="CK24" s="14"/>
      <c r="CL24" s="13" t="s">
        <v>3</v>
      </c>
      <c r="CM24" s="10">
        <v>38</v>
      </c>
      <c r="CN24" s="12">
        <v>884381</v>
      </c>
      <c r="CO24" s="10">
        <f t="shared" si="26"/>
        <v>-23</v>
      </c>
      <c r="CP24" s="12">
        <f t="shared" si="27"/>
        <v>-510667</v>
      </c>
      <c r="CQ24" s="11">
        <f t="shared" si="28"/>
        <v>-0.36605693854261645</v>
      </c>
      <c r="CS24" s="14"/>
      <c r="CT24" s="13" t="s">
        <v>3</v>
      </c>
      <c r="CV24" s="12"/>
      <c r="CW24" s="10">
        <f t="shared" si="29"/>
        <v>-38</v>
      </c>
      <c r="CX24" s="12">
        <f t="shared" si="30"/>
        <v>-884381</v>
      </c>
      <c r="CY24" s="11">
        <f t="shared" si="31"/>
        <v>-1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G25" s="10">
        <v>33</v>
      </c>
      <c r="BH25" s="12">
        <v>1169238.0952380199</v>
      </c>
      <c r="BI25" s="10">
        <f t="shared" si="14"/>
        <v>-7</v>
      </c>
      <c r="BJ25" s="12">
        <f t="shared" si="15"/>
        <v>-460285.71428565006</v>
      </c>
      <c r="BK25" s="11">
        <f t="shared" si="16"/>
        <v>-0.282466393921668</v>
      </c>
      <c r="BM25" s="14"/>
      <c r="BN25" s="13" t="s">
        <v>2</v>
      </c>
      <c r="BO25" s="10">
        <v>34</v>
      </c>
      <c r="BP25" s="12">
        <v>1225333.3333332599</v>
      </c>
      <c r="BQ25" s="10">
        <f t="shared" si="17"/>
        <v>1</v>
      </c>
      <c r="BR25" s="12">
        <f t="shared" si="18"/>
        <v>56095.238095239969</v>
      </c>
      <c r="BS25" s="11">
        <f t="shared" si="19"/>
        <v>4.7975889875381414E-2</v>
      </c>
      <c r="BU25" s="14"/>
      <c r="BV25" s="13" t="s">
        <v>2</v>
      </c>
      <c r="BW25" s="10">
        <v>27</v>
      </c>
      <c r="BX25" s="12">
        <v>927717</v>
      </c>
      <c r="BY25" s="10">
        <f t="shared" si="20"/>
        <v>-7</v>
      </c>
      <c r="BZ25" s="12">
        <f t="shared" si="21"/>
        <v>-297616.33333325991</v>
      </c>
      <c r="CA25" s="11">
        <f t="shared" si="22"/>
        <v>-0.24288601741018315</v>
      </c>
      <c r="CC25" s="14"/>
      <c r="CD25" s="13" t="s">
        <v>2</v>
      </c>
      <c r="CE25" s="10">
        <v>54</v>
      </c>
      <c r="CF25" s="12">
        <v>1783098</v>
      </c>
      <c r="CG25" s="10">
        <f t="shared" si="23"/>
        <v>27</v>
      </c>
      <c r="CH25" s="12">
        <f t="shared" si="24"/>
        <v>855381</v>
      </c>
      <c r="CI25" s="11">
        <f t="shared" si="25"/>
        <v>0.92202794602233229</v>
      </c>
      <c r="CK25" s="14"/>
      <c r="CL25" s="13" t="s">
        <v>2</v>
      </c>
      <c r="CM25" s="10">
        <v>259</v>
      </c>
      <c r="CN25" s="12">
        <v>11919143</v>
      </c>
      <c r="CO25" s="10">
        <f t="shared" si="26"/>
        <v>205</v>
      </c>
      <c r="CP25" s="12">
        <f t="shared" si="27"/>
        <v>10136045</v>
      </c>
      <c r="CQ25" s="11">
        <f t="shared" si="28"/>
        <v>5.6845136947043855</v>
      </c>
      <c r="CS25" s="14"/>
      <c r="CT25" s="13" t="s">
        <v>2</v>
      </c>
      <c r="CV25" s="12"/>
      <c r="CW25" s="10">
        <f t="shared" si="29"/>
        <v>-259</v>
      </c>
      <c r="CX25" s="12">
        <f t="shared" si="30"/>
        <v>-11919143</v>
      </c>
      <c r="CY25" s="11">
        <f t="shared" si="31"/>
        <v>-1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>
        <v>363</v>
      </c>
      <c r="BH26" s="7">
        <v>2564228.95237969</v>
      </c>
      <c r="BI26" s="27">
        <f t="shared" si="14"/>
        <v>-45</v>
      </c>
      <c r="BJ26" s="28">
        <f t="shared" si="15"/>
        <v>-275426.28571427008</v>
      </c>
      <c r="BK26" s="29">
        <f t="shared" si="16"/>
        <v>-9.6992860971088293E-2</v>
      </c>
      <c r="BM26" s="9" t="s">
        <v>12</v>
      </c>
      <c r="BN26" s="9"/>
      <c r="BO26" s="8">
        <v>429</v>
      </c>
      <c r="BP26" s="7">
        <v>3033555.61904631</v>
      </c>
      <c r="BQ26" s="27">
        <f t="shared" si="17"/>
        <v>66</v>
      </c>
      <c r="BR26" s="28">
        <f t="shared" si="18"/>
        <v>469326.66666661995</v>
      </c>
      <c r="BS26" s="29">
        <f t="shared" si="19"/>
        <v>0.18302837826983787</v>
      </c>
      <c r="BU26" s="9" t="s">
        <v>12</v>
      </c>
      <c r="BV26" s="9"/>
      <c r="BW26" s="8">
        <v>437</v>
      </c>
      <c r="BX26" s="7">
        <v>2932496</v>
      </c>
      <c r="BY26" s="27">
        <f t="shared" si="20"/>
        <v>8</v>
      </c>
      <c r="BZ26" s="28">
        <f t="shared" si="21"/>
        <v>-101059.61904630996</v>
      </c>
      <c r="CA26" s="29">
        <f t="shared" si="22"/>
        <v>-3.331391665008638E-2</v>
      </c>
      <c r="CC26" s="9" t="s">
        <v>12</v>
      </c>
      <c r="CD26" s="9"/>
      <c r="CE26" s="8">
        <v>575</v>
      </c>
      <c r="CF26" s="7">
        <v>4747750</v>
      </c>
      <c r="CG26" s="27">
        <f t="shared" si="23"/>
        <v>138</v>
      </c>
      <c r="CH26" s="28">
        <f t="shared" si="24"/>
        <v>1815254</v>
      </c>
      <c r="CI26" s="29">
        <f t="shared" si="25"/>
        <v>0.61901329106672265</v>
      </c>
      <c r="CK26" s="9" t="s">
        <v>12</v>
      </c>
      <c r="CL26" s="9"/>
      <c r="CM26" s="8">
        <v>936</v>
      </c>
      <c r="CN26" s="7">
        <v>15419032</v>
      </c>
      <c r="CO26" s="27">
        <f t="shared" si="26"/>
        <v>361</v>
      </c>
      <c r="CP26" s="28">
        <f t="shared" si="27"/>
        <v>10671282</v>
      </c>
      <c r="CQ26" s="29">
        <f t="shared" si="28"/>
        <v>2.2476503606971723</v>
      </c>
      <c r="CS26" s="9" t="s">
        <v>12</v>
      </c>
      <c r="CT26" s="9"/>
      <c r="CU26" s="8"/>
      <c r="CV26" s="7"/>
      <c r="CW26" s="27">
        <f t="shared" si="29"/>
        <v>-936</v>
      </c>
      <c r="CX26" s="28">
        <f t="shared" si="30"/>
        <v>-15419032</v>
      </c>
      <c r="CY26" s="29">
        <f t="shared" si="31"/>
        <v>-1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G27" s="1">
        <v>3534</v>
      </c>
      <c r="BH27" s="35"/>
      <c r="BI27" s="10">
        <f t="shared" si="14"/>
        <v>360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37</v>
      </c>
      <c r="BO27" s="1">
        <v>3175</v>
      </c>
      <c r="BP27" s="35"/>
      <c r="BQ27" s="10">
        <f t="shared" si="17"/>
        <v>-359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37</v>
      </c>
      <c r="BW27" s="15">
        <v>2744</v>
      </c>
      <c r="BX27" s="33"/>
      <c r="BY27" s="10">
        <f t="shared" si="20"/>
        <v>-431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37</v>
      </c>
      <c r="CE27" s="15">
        <v>4471</v>
      </c>
      <c r="CF27" s="33"/>
      <c r="CG27" s="10">
        <f t="shared" si="23"/>
        <v>1727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37</v>
      </c>
      <c r="CM27" s="15">
        <v>7954</v>
      </c>
      <c r="CN27" s="33"/>
      <c r="CO27" s="10">
        <f t="shared" si="26"/>
        <v>3483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19</v>
      </c>
      <c r="CU27" s="15"/>
      <c r="CV27" s="33"/>
      <c r="CW27" s="10">
        <f t="shared" si="29"/>
        <v>-7954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Y28" s="1">
        <v>4</v>
      </c>
      <c r="AZ28" s="35"/>
      <c r="BA28" s="10">
        <f t="shared" si="11"/>
        <v>1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G28" s="1">
        <v>5</v>
      </c>
      <c r="BH28" s="35"/>
      <c r="BI28" s="10">
        <f t="shared" si="14"/>
        <v>1</v>
      </c>
      <c r="BJ28" s="12">
        <f t="shared" si="15"/>
        <v>0</v>
      </c>
      <c r="BK28" s="11" t="e">
        <f t="shared" si="16"/>
        <v>#DIV/0!</v>
      </c>
      <c r="BM28" s="14"/>
      <c r="BN28" s="32" t="s">
        <v>38</v>
      </c>
      <c r="BO28" s="1">
        <v>0</v>
      </c>
      <c r="BP28" s="35"/>
      <c r="BQ28" s="10">
        <f t="shared" si="17"/>
        <v>-5</v>
      </c>
      <c r="BR28" s="12">
        <f t="shared" si="18"/>
        <v>0</v>
      </c>
      <c r="BS28" s="11" t="e">
        <f t="shared" si="19"/>
        <v>#DIV/0!</v>
      </c>
      <c r="BU28" s="14"/>
      <c r="BV28" s="32" t="s">
        <v>38</v>
      </c>
      <c r="BW28" s="15">
        <v>4</v>
      </c>
      <c r="BX28" s="33"/>
      <c r="BY28" s="10">
        <f t="shared" si="20"/>
        <v>4</v>
      </c>
      <c r="BZ28" s="12">
        <f t="shared" si="21"/>
        <v>0</v>
      </c>
      <c r="CA28" s="11" t="e">
        <f t="shared" si="22"/>
        <v>#DIV/0!</v>
      </c>
      <c r="CC28" s="14"/>
      <c r="CD28" s="32" t="s">
        <v>38</v>
      </c>
      <c r="CE28" s="15">
        <v>1</v>
      </c>
      <c r="CF28" s="33"/>
      <c r="CG28" s="10">
        <f t="shared" si="23"/>
        <v>-3</v>
      </c>
      <c r="CH28" s="12">
        <f t="shared" si="24"/>
        <v>0</v>
      </c>
      <c r="CI28" s="11" t="e">
        <f t="shared" si="25"/>
        <v>#DIV/0!</v>
      </c>
      <c r="CK28" s="14"/>
      <c r="CL28" s="32" t="s">
        <v>38</v>
      </c>
      <c r="CM28" s="15"/>
      <c r="CN28" s="33"/>
      <c r="CO28" s="10">
        <f t="shared" si="26"/>
        <v>-1</v>
      </c>
      <c r="CP28" s="12">
        <f t="shared" si="27"/>
        <v>0</v>
      </c>
      <c r="CQ28" s="11" t="e">
        <f t="shared" si="28"/>
        <v>#DIV/0!</v>
      </c>
      <c r="CS28" s="14"/>
      <c r="CT28" s="32" t="s">
        <v>20</v>
      </c>
      <c r="CU28" s="15"/>
      <c r="CV28" s="33"/>
      <c r="CW28" s="10">
        <f t="shared" si="29"/>
        <v>0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G29" s="10">
        <v>99</v>
      </c>
      <c r="BH29" s="12">
        <v>102610.47619004</v>
      </c>
      <c r="BI29" s="10">
        <f t="shared" si="14"/>
        <v>7</v>
      </c>
      <c r="BJ29" s="12">
        <f t="shared" si="15"/>
        <v>20134.285714239944</v>
      </c>
      <c r="BK29" s="11">
        <f t="shared" si="16"/>
        <v>0.24412240184817571</v>
      </c>
      <c r="BM29" s="14"/>
      <c r="BN29" s="13" t="s">
        <v>9</v>
      </c>
      <c r="BO29" s="10">
        <v>66</v>
      </c>
      <c r="BP29" s="12">
        <v>56596.190475900003</v>
      </c>
      <c r="BQ29" s="10">
        <f t="shared" si="17"/>
        <v>-33</v>
      </c>
      <c r="BR29" s="12">
        <f t="shared" si="18"/>
        <v>-46014.285714140002</v>
      </c>
      <c r="BS29" s="11">
        <f t="shared" si="19"/>
        <v>-0.44843652834160053</v>
      </c>
      <c r="BU29" s="14"/>
      <c r="BV29" s="13" t="s">
        <v>9</v>
      </c>
      <c r="BW29" s="10">
        <v>86</v>
      </c>
      <c r="BX29" s="12">
        <v>95122</v>
      </c>
      <c r="BY29" s="10">
        <f t="shared" si="20"/>
        <v>20</v>
      </c>
      <c r="BZ29" s="12">
        <f t="shared" si="21"/>
        <v>38525.809524099997</v>
      </c>
      <c r="CA29" s="11">
        <f t="shared" si="22"/>
        <v>0.68071382897237931</v>
      </c>
      <c r="CC29" s="14"/>
      <c r="CD29" s="13" t="s">
        <v>9</v>
      </c>
      <c r="CE29" s="10">
        <v>56</v>
      </c>
      <c r="CF29" s="12">
        <v>55918</v>
      </c>
      <c r="CG29" s="10">
        <f t="shared" si="23"/>
        <v>-30</v>
      </c>
      <c r="CH29" s="12">
        <f t="shared" si="24"/>
        <v>-39204</v>
      </c>
      <c r="CI29" s="11">
        <f t="shared" si="25"/>
        <v>-0.41214440402851077</v>
      </c>
      <c r="CK29" s="14"/>
      <c r="CL29" s="13" t="s">
        <v>9</v>
      </c>
      <c r="CM29" s="10">
        <v>132</v>
      </c>
      <c r="CN29" s="12">
        <v>122216</v>
      </c>
      <c r="CO29" s="10">
        <f t="shared" si="26"/>
        <v>76</v>
      </c>
      <c r="CP29" s="12">
        <f t="shared" si="27"/>
        <v>66298</v>
      </c>
      <c r="CQ29" s="11">
        <f t="shared" si="28"/>
        <v>1.1856289566865768</v>
      </c>
      <c r="CS29" s="14"/>
      <c r="CT29" s="13" t="s">
        <v>9</v>
      </c>
      <c r="CV29" s="12"/>
      <c r="CW29" s="10">
        <f t="shared" si="29"/>
        <v>-132</v>
      </c>
      <c r="CX29" s="12">
        <f t="shared" si="30"/>
        <v>-122216</v>
      </c>
      <c r="CY29" s="11">
        <f t="shared" si="31"/>
        <v>-1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G30" s="10">
        <v>90</v>
      </c>
      <c r="BH30" s="12">
        <v>91561.904761619997</v>
      </c>
      <c r="BI30" s="10">
        <f t="shared" si="14"/>
        <v>36</v>
      </c>
      <c r="BJ30" s="12">
        <f t="shared" si="15"/>
        <v>39980.952380849994</v>
      </c>
      <c r="BK30" s="11">
        <f t="shared" si="16"/>
        <v>0.77511078286633905</v>
      </c>
      <c r="BM30" s="14"/>
      <c r="BN30" s="13" t="s">
        <v>8</v>
      </c>
      <c r="BO30" s="10">
        <v>66</v>
      </c>
      <c r="BP30" s="12">
        <v>72428.571428359995</v>
      </c>
      <c r="BQ30" s="10">
        <f t="shared" si="17"/>
        <v>-24</v>
      </c>
      <c r="BR30" s="12">
        <f t="shared" si="18"/>
        <v>-19133.333333260001</v>
      </c>
      <c r="BS30" s="11">
        <f t="shared" si="19"/>
        <v>-0.20896609111696987</v>
      </c>
      <c r="BU30" s="14"/>
      <c r="BV30" s="13" t="s">
        <v>8</v>
      </c>
      <c r="BW30" s="10">
        <v>61</v>
      </c>
      <c r="BX30" s="12">
        <v>52987</v>
      </c>
      <c r="BY30" s="10">
        <f t="shared" si="20"/>
        <v>-5</v>
      </c>
      <c r="BZ30" s="12">
        <f t="shared" si="21"/>
        <v>-19441.571428359995</v>
      </c>
      <c r="CA30" s="11">
        <f t="shared" si="22"/>
        <v>-0.26842406311423522</v>
      </c>
      <c r="CC30" s="14"/>
      <c r="CD30" s="13" t="s">
        <v>8</v>
      </c>
      <c r="CE30" s="10">
        <v>77</v>
      </c>
      <c r="CF30" s="12">
        <v>71239</v>
      </c>
      <c r="CG30" s="10">
        <f t="shared" si="23"/>
        <v>16</v>
      </c>
      <c r="CH30" s="12">
        <f t="shared" si="24"/>
        <v>18252</v>
      </c>
      <c r="CI30" s="11">
        <f t="shared" si="25"/>
        <v>0.34446184913280614</v>
      </c>
      <c r="CK30" s="14"/>
      <c r="CL30" s="13" t="s">
        <v>8</v>
      </c>
      <c r="CM30" s="10">
        <v>75</v>
      </c>
      <c r="CN30" s="12">
        <v>72145</v>
      </c>
      <c r="CO30" s="10">
        <f t="shared" si="26"/>
        <v>-2</v>
      </c>
      <c r="CP30" s="12">
        <f t="shared" si="27"/>
        <v>906</v>
      </c>
      <c r="CQ30" s="11">
        <f t="shared" si="28"/>
        <v>1.2717752916239701E-2</v>
      </c>
      <c r="CS30" s="14"/>
      <c r="CT30" s="13" t="s">
        <v>8</v>
      </c>
      <c r="CV30" s="12"/>
      <c r="CW30" s="10">
        <f t="shared" si="29"/>
        <v>-75</v>
      </c>
      <c r="CX30" s="12">
        <f t="shared" si="30"/>
        <v>-72145</v>
      </c>
      <c r="CY30" s="11">
        <f t="shared" si="31"/>
        <v>-1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G31" s="10">
        <v>28</v>
      </c>
      <c r="BH31" s="12">
        <v>235447.61904753</v>
      </c>
      <c r="BI31" s="10">
        <f t="shared" si="14"/>
        <v>13</v>
      </c>
      <c r="BJ31" s="12">
        <f t="shared" si="15"/>
        <v>136422.85714278999</v>
      </c>
      <c r="BK31" s="11">
        <f t="shared" si="16"/>
        <v>1.3776640763249326</v>
      </c>
      <c r="BM31" s="14"/>
      <c r="BN31" s="13" t="s">
        <v>7</v>
      </c>
      <c r="BO31" s="10">
        <v>17</v>
      </c>
      <c r="BP31" s="12">
        <v>130314.28571421999</v>
      </c>
      <c r="BQ31" s="10">
        <f t="shared" si="17"/>
        <v>-11</v>
      </c>
      <c r="BR31" s="12">
        <f t="shared" si="18"/>
        <v>-105133.33333331</v>
      </c>
      <c r="BS31" s="11">
        <f t="shared" si="19"/>
        <v>-0.44652536202579585</v>
      </c>
      <c r="BU31" s="14"/>
      <c r="BV31" s="13" t="s">
        <v>7</v>
      </c>
      <c r="BW31" s="10">
        <v>16</v>
      </c>
      <c r="BX31" s="12">
        <v>102048</v>
      </c>
      <c r="BY31" s="10">
        <f t="shared" si="20"/>
        <v>-1</v>
      </c>
      <c r="BZ31" s="12">
        <f t="shared" si="21"/>
        <v>-28266.285714219994</v>
      </c>
      <c r="CA31" s="11">
        <f t="shared" si="22"/>
        <v>-0.21690857268103458</v>
      </c>
      <c r="CC31" s="14"/>
      <c r="CD31" s="13" t="s">
        <v>7</v>
      </c>
      <c r="CE31" s="10">
        <v>13</v>
      </c>
      <c r="CF31" s="12">
        <v>84733</v>
      </c>
      <c r="CG31" s="10">
        <f t="shared" si="23"/>
        <v>-3</v>
      </c>
      <c r="CH31" s="12">
        <f t="shared" si="24"/>
        <v>-17315</v>
      </c>
      <c r="CI31" s="11">
        <f t="shared" si="25"/>
        <v>-0.16967505487613671</v>
      </c>
      <c r="CK31" s="14"/>
      <c r="CL31" s="13" t="s">
        <v>7</v>
      </c>
      <c r="CM31" s="10">
        <v>13</v>
      </c>
      <c r="CN31" s="12">
        <v>87210</v>
      </c>
      <c r="CO31" s="10">
        <f t="shared" si="26"/>
        <v>0</v>
      </c>
      <c r="CP31" s="12">
        <f t="shared" si="27"/>
        <v>2477</v>
      </c>
      <c r="CQ31" s="11">
        <f t="shared" si="28"/>
        <v>2.923300249017502E-2</v>
      </c>
      <c r="CS31" s="14"/>
      <c r="CT31" s="13" t="s">
        <v>7</v>
      </c>
      <c r="CV31" s="12"/>
      <c r="CW31" s="10">
        <f t="shared" si="29"/>
        <v>-13</v>
      </c>
      <c r="CX31" s="12">
        <f t="shared" si="30"/>
        <v>-87210</v>
      </c>
      <c r="CY31" s="11">
        <f t="shared" si="31"/>
        <v>-1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G32" s="10">
        <v>8</v>
      </c>
      <c r="BH32" s="12">
        <v>91619.047619010002</v>
      </c>
      <c r="BI32" s="10">
        <f t="shared" si="14"/>
        <v>-6</v>
      </c>
      <c r="BJ32" s="12">
        <f t="shared" si="15"/>
        <v>-82666.666666639998</v>
      </c>
      <c r="BK32" s="11">
        <f t="shared" si="16"/>
        <v>-0.47431693989073231</v>
      </c>
      <c r="BM32" s="14"/>
      <c r="BN32" s="13" t="s">
        <v>6</v>
      </c>
      <c r="BO32" s="10">
        <v>8</v>
      </c>
      <c r="BP32" s="12">
        <v>83999.999999959997</v>
      </c>
      <c r="BQ32" s="10">
        <f t="shared" si="17"/>
        <v>0</v>
      </c>
      <c r="BR32" s="12">
        <f t="shared" si="18"/>
        <v>-7619.0476190500049</v>
      </c>
      <c r="BS32" s="11">
        <f t="shared" si="19"/>
        <v>-8.3160083160143339E-2</v>
      </c>
      <c r="BU32" s="14"/>
      <c r="BV32" s="13" t="s">
        <v>6</v>
      </c>
      <c r="BW32" s="10">
        <v>3</v>
      </c>
      <c r="BX32" s="12">
        <v>27333</v>
      </c>
      <c r="BY32" s="10">
        <f t="shared" si="20"/>
        <v>-5</v>
      </c>
      <c r="BZ32" s="12">
        <f t="shared" si="21"/>
        <v>-56666.999999959997</v>
      </c>
      <c r="CA32" s="11">
        <f t="shared" si="22"/>
        <v>-0.67460714285698786</v>
      </c>
      <c r="CC32" s="14"/>
      <c r="CD32" s="13" t="s">
        <v>6</v>
      </c>
      <c r="CE32" s="10">
        <v>1</v>
      </c>
      <c r="CF32" s="12">
        <v>7524</v>
      </c>
      <c r="CG32" s="10">
        <f t="shared" si="23"/>
        <v>-2</v>
      </c>
      <c r="CH32" s="12">
        <f t="shared" si="24"/>
        <v>-19809</v>
      </c>
      <c r="CI32" s="11">
        <f t="shared" si="25"/>
        <v>-0.72472835034573591</v>
      </c>
      <c r="CK32" s="14"/>
      <c r="CL32" s="13" t="s">
        <v>6</v>
      </c>
      <c r="CM32" s="10">
        <v>21</v>
      </c>
      <c r="CN32" s="12">
        <v>345619</v>
      </c>
      <c r="CO32" s="10">
        <f t="shared" si="26"/>
        <v>20</v>
      </c>
      <c r="CP32" s="12">
        <f t="shared" si="27"/>
        <v>338095</v>
      </c>
      <c r="CQ32" s="11">
        <f t="shared" si="28"/>
        <v>44.935539606592236</v>
      </c>
      <c r="CS32" s="14"/>
      <c r="CT32" s="13" t="s">
        <v>6</v>
      </c>
      <c r="CV32" s="12"/>
      <c r="CW32" s="10">
        <f t="shared" si="29"/>
        <v>-21</v>
      </c>
      <c r="CX32" s="12">
        <f t="shared" si="30"/>
        <v>-345619</v>
      </c>
      <c r="CY32" s="11">
        <f t="shared" si="31"/>
        <v>-1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G33" s="10">
        <v>2</v>
      </c>
      <c r="BH33" s="12">
        <v>11280</v>
      </c>
      <c r="BI33" s="10">
        <f t="shared" si="14"/>
        <v>0</v>
      </c>
      <c r="BJ33" s="12">
        <f t="shared" si="15"/>
        <v>-7700</v>
      </c>
      <c r="BK33" s="11">
        <f t="shared" si="16"/>
        <v>-0.40569020021074814</v>
      </c>
      <c r="BM33" s="14"/>
      <c r="BN33" s="13" t="s">
        <v>5</v>
      </c>
      <c r="BO33" s="10">
        <v>1</v>
      </c>
      <c r="BP33" s="12">
        <v>990</v>
      </c>
      <c r="BQ33" s="10">
        <f t="shared" si="17"/>
        <v>-1</v>
      </c>
      <c r="BR33" s="12">
        <f t="shared" si="18"/>
        <v>-10290</v>
      </c>
      <c r="BS33" s="11">
        <f t="shared" si="19"/>
        <v>-0.91223404255319152</v>
      </c>
      <c r="BU33" s="14"/>
      <c r="BV33" s="13" t="s">
        <v>5</v>
      </c>
      <c r="BW33" s="10">
        <v>0</v>
      </c>
      <c r="BX33" s="12">
        <v>0</v>
      </c>
      <c r="BY33" s="10">
        <f t="shared" si="20"/>
        <v>-1</v>
      </c>
      <c r="BZ33" s="12">
        <f t="shared" si="21"/>
        <v>-990</v>
      </c>
      <c r="CA33" s="11">
        <f t="shared" si="22"/>
        <v>-1</v>
      </c>
      <c r="CC33" s="14"/>
      <c r="CD33" s="13" t="s">
        <v>5</v>
      </c>
      <c r="CE33" s="10">
        <v>5</v>
      </c>
      <c r="CF33" s="12">
        <v>20650</v>
      </c>
      <c r="CG33" s="10">
        <f t="shared" si="23"/>
        <v>5</v>
      </c>
      <c r="CH33" s="12">
        <f t="shared" si="24"/>
        <v>20650</v>
      </c>
      <c r="CI33" s="11" t="e">
        <f t="shared" si="25"/>
        <v>#DIV/0!</v>
      </c>
      <c r="CK33" s="14"/>
      <c r="CL33" s="13" t="s">
        <v>5</v>
      </c>
      <c r="CM33" s="10">
        <v>6</v>
      </c>
      <c r="CN33" s="12">
        <v>34040</v>
      </c>
      <c r="CO33" s="10">
        <f t="shared" si="26"/>
        <v>1</v>
      </c>
      <c r="CP33" s="12">
        <f t="shared" si="27"/>
        <v>13390</v>
      </c>
      <c r="CQ33" s="11">
        <f t="shared" si="28"/>
        <v>0.64842615012106541</v>
      </c>
      <c r="CS33" s="14"/>
      <c r="CT33" s="13" t="s">
        <v>5</v>
      </c>
      <c r="CV33" s="12"/>
      <c r="CW33" s="10">
        <f t="shared" si="29"/>
        <v>-6</v>
      </c>
      <c r="CX33" s="12">
        <f t="shared" si="30"/>
        <v>-34040</v>
      </c>
      <c r="CY33" s="11">
        <f t="shared" si="31"/>
        <v>-1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G34" s="10">
        <v>5</v>
      </c>
      <c r="BH34" s="12">
        <v>210856.19047617001</v>
      </c>
      <c r="BI34" s="10">
        <f t="shared" si="14"/>
        <v>3</v>
      </c>
      <c r="BJ34" s="12">
        <f t="shared" si="15"/>
        <v>82120.952380940013</v>
      </c>
      <c r="BK34" s="11">
        <f t="shared" si="16"/>
        <v>0.63790577930335002</v>
      </c>
      <c r="BM34" s="14"/>
      <c r="BN34" s="13" t="s">
        <v>4</v>
      </c>
      <c r="BO34" s="10">
        <v>3</v>
      </c>
      <c r="BP34" s="12">
        <v>70190.476190460002</v>
      </c>
      <c r="BQ34" s="10">
        <f t="shared" si="17"/>
        <v>-2</v>
      </c>
      <c r="BR34" s="12">
        <f t="shared" si="18"/>
        <v>-140665.71428571001</v>
      </c>
      <c r="BS34" s="11">
        <f t="shared" si="19"/>
        <v>-0.66711683431275592</v>
      </c>
      <c r="BU34" s="14"/>
      <c r="BV34" s="13" t="s">
        <v>4</v>
      </c>
      <c r="BW34" s="10">
        <v>6</v>
      </c>
      <c r="BX34" s="12">
        <v>173517</v>
      </c>
      <c r="BY34" s="10">
        <f t="shared" ref="BY34:BY60" si="32">BW34-BO34</f>
        <v>3</v>
      </c>
      <c r="BZ34" s="12">
        <f t="shared" si="21"/>
        <v>103326.52380954</v>
      </c>
      <c r="CA34" s="11">
        <f t="shared" si="22"/>
        <v>1.4720875169612215</v>
      </c>
      <c r="CC34" s="14"/>
      <c r="CD34" s="13" t="s">
        <v>4</v>
      </c>
      <c r="CE34" s="10">
        <v>4</v>
      </c>
      <c r="CF34" s="12">
        <v>116713</v>
      </c>
      <c r="CG34" s="10">
        <f t="shared" si="23"/>
        <v>-2</v>
      </c>
      <c r="CH34" s="12">
        <f t="shared" si="24"/>
        <v>-56804</v>
      </c>
      <c r="CI34" s="11">
        <f t="shared" si="25"/>
        <v>-0.32736849991643469</v>
      </c>
      <c r="CK34" s="14"/>
      <c r="CL34" s="13" t="s">
        <v>4</v>
      </c>
      <c r="CM34" s="10">
        <v>3</v>
      </c>
      <c r="CN34" s="12">
        <v>114952</v>
      </c>
      <c r="CO34" s="10">
        <f t="shared" si="26"/>
        <v>-1</v>
      </c>
      <c r="CP34" s="12">
        <f t="shared" si="27"/>
        <v>-1761</v>
      </c>
      <c r="CQ34" s="11">
        <f t="shared" si="28"/>
        <v>-1.5088293506293215E-2</v>
      </c>
      <c r="CS34" s="14"/>
      <c r="CT34" s="13" t="s">
        <v>4</v>
      </c>
      <c r="CV34" s="12"/>
      <c r="CW34" s="10">
        <f t="shared" si="29"/>
        <v>-3</v>
      </c>
      <c r="CX34" s="12">
        <f t="shared" si="30"/>
        <v>-114952</v>
      </c>
      <c r="CY34" s="11">
        <f t="shared" si="31"/>
        <v>-1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G35" s="10">
        <v>9</v>
      </c>
      <c r="BH35" s="12">
        <v>225619.04761899999</v>
      </c>
      <c r="BI35" s="10">
        <f t="shared" si="14"/>
        <v>6</v>
      </c>
      <c r="BJ35" s="12">
        <f t="shared" si="15"/>
        <v>173523.80952377999</v>
      </c>
      <c r="BK35" s="11">
        <f t="shared" si="16"/>
        <v>3.330895795247391</v>
      </c>
      <c r="BM35" s="14"/>
      <c r="BN35" s="13" t="s">
        <v>3</v>
      </c>
      <c r="BO35" s="10">
        <v>5</v>
      </c>
      <c r="BP35" s="12">
        <v>160476.19047617001</v>
      </c>
      <c r="BQ35" s="10">
        <f t="shared" si="17"/>
        <v>-4</v>
      </c>
      <c r="BR35" s="12">
        <f t="shared" si="18"/>
        <v>-65142.857142829977</v>
      </c>
      <c r="BS35" s="11">
        <f t="shared" si="19"/>
        <v>-0.28872942169685906</v>
      </c>
      <c r="BU35" s="14"/>
      <c r="BV35" s="13" t="s">
        <v>3</v>
      </c>
      <c r="BW35" s="10">
        <v>6</v>
      </c>
      <c r="BX35" s="12">
        <v>121143</v>
      </c>
      <c r="BY35" s="10">
        <f t="shared" si="32"/>
        <v>1</v>
      </c>
      <c r="BZ35" s="12">
        <f t="shared" si="21"/>
        <v>-39333.190476170013</v>
      </c>
      <c r="CA35" s="11">
        <f t="shared" si="22"/>
        <v>-0.24510296735895418</v>
      </c>
      <c r="CC35" s="14"/>
      <c r="CD35" s="13" t="s">
        <v>3</v>
      </c>
      <c r="CE35" s="10">
        <v>9</v>
      </c>
      <c r="CF35" s="12">
        <v>247714</v>
      </c>
      <c r="CG35" s="10">
        <f t="shared" si="23"/>
        <v>3</v>
      </c>
      <c r="CH35" s="12">
        <f t="shared" si="24"/>
        <v>126571</v>
      </c>
      <c r="CI35" s="11">
        <f t="shared" si="25"/>
        <v>1.044806550935671</v>
      </c>
      <c r="CK35" s="14"/>
      <c r="CL35" s="13" t="s">
        <v>3</v>
      </c>
      <c r="CM35" s="10">
        <v>14</v>
      </c>
      <c r="CN35" s="12">
        <v>291238</v>
      </c>
      <c r="CO35" s="10">
        <f t="shared" si="26"/>
        <v>5</v>
      </c>
      <c r="CP35" s="12">
        <f t="shared" si="27"/>
        <v>43524</v>
      </c>
      <c r="CQ35" s="11">
        <f t="shared" si="28"/>
        <v>0.17570262480118201</v>
      </c>
      <c r="CS35" s="14"/>
      <c r="CT35" s="13" t="s">
        <v>3</v>
      </c>
      <c r="CV35" s="12"/>
      <c r="CW35" s="10">
        <f t="shared" si="29"/>
        <v>-14</v>
      </c>
      <c r="CX35" s="12">
        <f t="shared" si="30"/>
        <v>-291238</v>
      </c>
      <c r="CY35" s="11">
        <f t="shared" si="31"/>
        <v>-1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G36" s="10">
        <v>8</v>
      </c>
      <c r="BH36" s="12">
        <v>314476.19047615997</v>
      </c>
      <c r="BI36" s="10">
        <f t="shared" si="14"/>
        <v>-8</v>
      </c>
      <c r="BJ36" s="12">
        <f t="shared" si="15"/>
        <v>-333621.90476190002</v>
      </c>
      <c r="BK36" s="11">
        <f t="shared" si="16"/>
        <v>-0.51477069167955769</v>
      </c>
      <c r="BM36" s="14"/>
      <c r="BN36" s="13" t="s">
        <v>2</v>
      </c>
      <c r="BO36" s="10">
        <v>8</v>
      </c>
      <c r="BP36" s="12">
        <v>280190.47619045997</v>
      </c>
      <c r="BQ36" s="10">
        <f t="shared" si="17"/>
        <v>0</v>
      </c>
      <c r="BR36" s="12">
        <f t="shared" si="18"/>
        <v>-34285.7142857</v>
      </c>
      <c r="BS36" s="11">
        <f t="shared" si="19"/>
        <v>-0.1090248334342474</v>
      </c>
      <c r="BU36" s="14"/>
      <c r="BV36" s="13" t="s">
        <v>2</v>
      </c>
      <c r="BW36" s="10">
        <v>9</v>
      </c>
      <c r="BX36" s="12">
        <v>324290</v>
      </c>
      <c r="BY36" s="10">
        <f t="shared" si="32"/>
        <v>1</v>
      </c>
      <c r="BZ36" s="12">
        <f t="shared" si="21"/>
        <v>44099.523809540027</v>
      </c>
      <c r="CA36" s="11">
        <f t="shared" si="22"/>
        <v>0.15739123045553946</v>
      </c>
      <c r="CC36" s="14"/>
      <c r="CD36" s="13" t="s">
        <v>2</v>
      </c>
      <c r="CE36" s="10">
        <v>4</v>
      </c>
      <c r="CF36" s="12">
        <v>142476</v>
      </c>
      <c r="CG36" s="10">
        <f t="shared" si="23"/>
        <v>-5</v>
      </c>
      <c r="CH36" s="12">
        <f t="shared" si="24"/>
        <v>-181814</v>
      </c>
      <c r="CI36" s="11">
        <f t="shared" si="25"/>
        <v>-0.56065250238983622</v>
      </c>
      <c r="CK36" s="14"/>
      <c r="CL36" s="13" t="s">
        <v>2</v>
      </c>
      <c r="CM36" s="10">
        <v>108</v>
      </c>
      <c r="CN36" s="12">
        <v>5045905</v>
      </c>
      <c r="CO36" s="10">
        <f t="shared" si="26"/>
        <v>104</v>
      </c>
      <c r="CP36" s="12">
        <f t="shared" si="27"/>
        <v>4903429</v>
      </c>
      <c r="CQ36" s="11">
        <f t="shared" si="28"/>
        <v>34.415824419551363</v>
      </c>
      <c r="CS36" s="14"/>
      <c r="CT36" s="13" t="s">
        <v>2</v>
      </c>
      <c r="CV36" s="12"/>
      <c r="CW36" s="10">
        <f t="shared" si="29"/>
        <v>-108</v>
      </c>
      <c r="CX36" s="12">
        <f t="shared" si="30"/>
        <v>-5045905</v>
      </c>
      <c r="CY36" s="11">
        <f t="shared" si="31"/>
        <v>-1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>
        <v>249</v>
      </c>
      <c r="BH37" s="7">
        <v>1283470.47618953</v>
      </c>
      <c r="BI37" s="27">
        <f t="shared" si="14"/>
        <v>51</v>
      </c>
      <c r="BJ37" s="28">
        <f t="shared" si="15"/>
        <v>28194.285714060068</v>
      </c>
      <c r="BK37" s="29">
        <f t="shared" si="16"/>
        <v>2.2460623349655599E-2</v>
      </c>
      <c r="BM37" s="9" t="s">
        <v>11</v>
      </c>
      <c r="BN37" s="9"/>
      <c r="BO37" s="8">
        <v>174</v>
      </c>
      <c r="BP37" s="7">
        <v>855186.19047552999</v>
      </c>
      <c r="BQ37" s="27">
        <f t="shared" si="17"/>
        <v>-75</v>
      </c>
      <c r="BR37" s="28">
        <f t="shared" si="18"/>
        <v>-428284.285714</v>
      </c>
      <c r="BS37" s="29">
        <f t="shared" si="19"/>
        <v>-0.33369235495429916</v>
      </c>
      <c r="BU37" s="9" t="s">
        <v>11</v>
      </c>
      <c r="BV37" s="9"/>
      <c r="BW37" s="8">
        <v>187</v>
      </c>
      <c r="BX37" s="7">
        <v>896440</v>
      </c>
      <c r="BY37" s="27">
        <f t="shared" si="32"/>
        <v>13</v>
      </c>
      <c r="BZ37" s="28">
        <f t="shared" si="21"/>
        <v>41253.809524470009</v>
      </c>
      <c r="CA37" s="29">
        <f t="shared" si="22"/>
        <v>4.8239564651448186E-2</v>
      </c>
      <c r="CC37" s="9" t="s">
        <v>11</v>
      </c>
      <c r="CD37" s="9"/>
      <c r="CE37" s="8">
        <v>169</v>
      </c>
      <c r="CF37" s="7">
        <v>746967</v>
      </c>
      <c r="CG37" s="27">
        <f t="shared" si="23"/>
        <v>-18</v>
      </c>
      <c r="CH37" s="28">
        <f t="shared" si="24"/>
        <v>-149473</v>
      </c>
      <c r="CI37" s="29">
        <f t="shared" si="25"/>
        <v>-0.16674066306724378</v>
      </c>
      <c r="CK37" s="9" t="s">
        <v>11</v>
      </c>
      <c r="CL37" s="9"/>
      <c r="CM37" s="8">
        <v>372</v>
      </c>
      <c r="CN37" s="7">
        <v>6113325</v>
      </c>
      <c r="CO37" s="27">
        <f t="shared" si="26"/>
        <v>203</v>
      </c>
      <c r="CP37" s="28">
        <f t="shared" si="27"/>
        <v>5366358</v>
      </c>
      <c r="CQ37" s="29">
        <f t="shared" si="28"/>
        <v>7.1841968922321868</v>
      </c>
      <c r="CS37" s="9" t="s">
        <v>11</v>
      </c>
      <c r="CT37" s="9"/>
      <c r="CU37" s="8"/>
      <c r="CV37" s="7"/>
      <c r="CW37" s="27">
        <f t="shared" si="29"/>
        <v>-372</v>
      </c>
      <c r="CX37" s="28">
        <f t="shared" si="30"/>
        <v>-6113325</v>
      </c>
      <c r="CY37" s="29">
        <f t="shared" si="31"/>
        <v>-1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G38" s="1">
        <v>1804</v>
      </c>
      <c r="BH38" s="35"/>
      <c r="BI38" s="10">
        <f t="shared" si="14"/>
        <v>93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37</v>
      </c>
      <c r="BO38" s="1">
        <v>1672</v>
      </c>
      <c r="BP38" s="35"/>
      <c r="BQ38" s="10">
        <f t="shared" si="17"/>
        <v>-132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37</v>
      </c>
      <c r="BW38" s="15">
        <v>1732</v>
      </c>
      <c r="BX38" s="33"/>
      <c r="BY38" s="10">
        <f t="shared" si="32"/>
        <v>60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37</v>
      </c>
      <c r="CE38" s="15">
        <v>2314</v>
      </c>
      <c r="CF38" s="33"/>
      <c r="CG38" s="10">
        <f t="shared" si="23"/>
        <v>582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37</v>
      </c>
      <c r="CM38" s="15">
        <v>5160</v>
      </c>
      <c r="CN38" s="33"/>
      <c r="CO38" s="10">
        <f t="shared" si="26"/>
        <v>2846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19</v>
      </c>
      <c r="CU38" s="15"/>
      <c r="CV38" s="33"/>
      <c r="CW38" s="10">
        <f t="shared" si="29"/>
        <v>-5160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Y39" s="1">
        <v>2</v>
      </c>
      <c r="AZ39" s="35"/>
      <c r="BA39" s="10">
        <f t="shared" si="11"/>
        <v>-5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G39" s="1">
        <v>1</v>
      </c>
      <c r="BH39" s="35"/>
      <c r="BI39" s="10">
        <f t="shared" si="14"/>
        <v>-1</v>
      </c>
      <c r="BJ39" s="12">
        <f t="shared" si="15"/>
        <v>0</v>
      </c>
      <c r="BK39" s="11" t="e">
        <f t="shared" si="16"/>
        <v>#DIV/0!</v>
      </c>
      <c r="BM39" s="14"/>
      <c r="BN39" s="32" t="s">
        <v>38</v>
      </c>
      <c r="BO39" s="1">
        <v>2</v>
      </c>
      <c r="BP39" s="35"/>
      <c r="BQ39" s="10">
        <f t="shared" si="17"/>
        <v>1</v>
      </c>
      <c r="BR39" s="12">
        <f t="shared" si="18"/>
        <v>0</v>
      </c>
      <c r="BS39" s="11" t="e">
        <f t="shared" si="19"/>
        <v>#DIV/0!</v>
      </c>
      <c r="BU39" s="14"/>
      <c r="BV39" s="32" t="s">
        <v>38</v>
      </c>
      <c r="BW39" s="15">
        <v>1</v>
      </c>
      <c r="BX39" s="33"/>
      <c r="BY39" s="10">
        <f t="shared" si="32"/>
        <v>-1</v>
      </c>
      <c r="BZ39" s="12">
        <f t="shared" si="21"/>
        <v>0</v>
      </c>
      <c r="CA39" s="11" t="e">
        <f t="shared" si="22"/>
        <v>#DIV/0!</v>
      </c>
      <c r="CC39" s="14"/>
      <c r="CD39" s="32" t="s">
        <v>38</v>
      </c>
      <c r="CE39" s="15">
        <v>1</v>
      </c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38</v>
      </c>
      <c r="CM39" s="15"/>
      <c r="CN39" s="33"/>
      <c r="CO39" s="10">
        <f t="shared" si="26"/>
        <v>-1</v>
      </c>
      <c r="CP39" s="12">
        <f t="shared" si="27"/>
        <v>0</v>
      </c>
      <c r="CQ39" s="11" t="e">
        <f t="shared" si="28"/>
        <v>#DIV/0!</v>
      </c>
      <c r="CS39" s="14"/>
      <c r="CT39" s="32" t="s">
        <v>20</v>
      </c>
      <c r="CU39" s="15"/>
      <c r="CV39" s="33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G40" s="10">
        <v>101</v>
      </c>
      <c r="BH40" s="12">
        <v>96915.23809472</v>
      </c>
      <c r="BI40" s="10">
        <f t="shared" si="14"/>
        <v>4</v>
      </c>
      <c r="BJ40" s="12">
        <f t="shared" si="15"/>
        <v>5999.0476189900073</v>
      </c>
      <c r="BK40" s="11">
        <f t="shared" si="16"/>
        <v>6.5984370744080492E-2</v>
      </c>
      <c r="BM40" s="14"/>
      <c r="BN40" s="13" t="s">
        <v>9</v>
      </c>
      <c r="BO40" s="10">
        <v>104</v>
      </c>
      <c r="BP40" s="12">
        <v>76006.666666129997</v>
      </c>
      <c r="BQ40" s="10">
        <f t="shared" si="17"/>
        <v>3</v>
      </c>
      <c r="BR40" s="12">
        <f t="shared" si="18"/>
        <v>-20908.571428590003</v>
      </c>
      <c r="BS40" s="11">
        <f t="shared" si="19"/>
        <v>-0.21574080443526367</v>
      </c>
      <c r="BU40" s="14"/>
      <c r="BV40" s="13" t="s">
        <v>9</v>
      </c>
      <c r="BW40" s="10">
        <v>79</v>
      </c>
      <c r="BX40" s="12">
        <v>66290</v>
      </c>
      <c r="BY40" s="10">
        <f t="shared" si="32"/>
        <v>-25</v>
      </c>
      <c r="BZ40" s="12">
        <f t="shared" si="21"/>
        <v>-9716.6666661299969</v>
      </c>
      <c r="CA40" s="11">
        <f t="shared" si="22"/>
        <v>-0.12783966318128154</v>
      </c>
      <c r="CC40" s="14"/>
      <c r="CD40" s="13" t="s">
        <v>9</v>
      </c>
      <c r="CE40" s="10">
        <v>105</v>
      </c>
      <c r="CF40" s="12">
        <v>99201</v>
      </c>
      <c r="CG40" s="10">
        <f t="shared" si="23"/>
        <v>26</v>
      </c>
      <c r="CH40" s="12">
        <f t="shared" si="24"/>
        <v>32911</v>
      </c>
      <c r="CI40" s="11">
        <f t="shared" si="25"/>
        <v>0.49647005581535675</v>
      </c>
      <c r="CK40" s="14"/>
      <c r="CL40" s="13" t="s">
        <v>9</v>
      </c>
      <c r="CM40" s="10">
        <v>216</v>
      </c>
      <c r="CN40" s="12">
        <v>223403</v>
      </c>
      <c r="CO40" s="10">
        <f t="shared" si="26"/>
        <v>111</v>
      </c>
      <c r="CP40" s="12">
        <f t="shared" si="27"/>
        <v>124202</v>
      </c>
      <c r="CQ40" s="11">
        <f t="shared" si="28"/>
        <v>1.2520236691162387</v>
      </c>
      <c r="CS40" s="14"/>
      <c r="CT40" s="13" t="s">
        <v>9</v>
      </c>
      <c r="CV40" s="12"/>
      <c r="CW40" s="10">
        <f t="shared" si="29"/>
        <v>-216</v>
      </c>
      <c r="CX40" s="12">
        <f t="shared" si="30"/>
        <v>-223403</v>
      </c>
      <c r="CY40" s="11">
        <f t="shared" si="31"/>
        <v>-1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G41" s="10">
        <v>83</v>
      </c>
      <c r="BH41" s="12">
        <v>102161.90476165</v>
      </c>
      <c r="BI41" s="10">
        <f t="shared" si="14"/>
        <v>19</v>
      </c>
      <c r="BJ41" s="12">
        <f t="shared" si="15"/>
        <v>30293.333333310016</v>
      </c>
      <c r="BK41" s="11">
        <f t="shared" si="16"/>
        <v>0.42151016405711417</v>
      </c>
      <c r="BM41" s="14"/>
      <c r="BN41" s="13" t="s">
        <v>8</v>
      </c>
      <c r="BO41" s="10">
        <v>66</v>
      </c>
      <c r="BP41" s="12">
        <v>85561.90476166</v>
      </c>
      <c r="BQ41" s="10">
        <f t="shared" si="17"/>
        <v>-17</v>
      </c>
      <c r="BR41" s="12">
        <f t="shared" si="18"/>
        <v>-16599.999999990003</v>
      </c>
      <c r="BS41" s="11">
        <f t="shared" si="19"/>
        <v>-0.16248718187781269</v>
      </c>
      <c r="BU41" s="14"/>
      <c r="BV41" s="13" t="s">
        <v>8</v>
      </c>
      <c r="BW41" s="10">
        <v>98</v>
      </c>
      <c r="BX41" s="12">
        <v>87552</v>
      </c>
      <c r="BY41" s="10">
        <f t="shared" si="32"/>
        <v>32</v>
      </c>
      <c r="BZ41" s="12">
        <f t="shared" si="21"/>
        <v>1990.0952383399999</v>
      </c>
      <c r="CA41" s="11">
        <f t="shared" si="22"/>
        <v>2.3259127340416047E-2</v>
      </c>
      <c r="CC41" s="14"/>
      <c r="CD41" s="13" t="s">
        <v>8</v>
      </c>
      <c r="CE41" s="10">
        <v>103</v>
      </c>
      <c r="CF41" s="12">
        <v>116981</v>
      </c>
      <c r="CG41" s="10">
        <f t="shared" si="23"/>
        <v>5</v>
      </c>
      <c r="CH41" s="12">
        <f t="shared" si="24"/>
        <v>29429</v>
      </c>
      <c r="CI41" s="11">
        <f t="shared" si="25"/>
        <v>0.33613167032163743</v>
      </c>
      <c r="CK41" s="14"/>
      <c r="CL41" s="13" t="s">
        <v>8</v>
      </c>
      <c r="CM41" s="10">
        <v>108</v>
      </c>
      <c r="CN41" s="12">
        <v>107782</v>
      </c>
      <c r="CO41" s="10">
        <f t="shared" si="26"/>
        <v>5</v>
      </c>
      <c r="CP41" s="12">
        <f t="shared" si="27"/>
        <v>-9199</v>
      </c>
      <c r="CQ41" s="11">
        <f t="shared" si="28"/>
        <v>-7.8636701686598684E-2</v>
      </c>
      <c r="CS41" s="14"/>
      <c r="CT41" s="13" t="s">
        <v>8</v>
      </c>
      <c r="CV41" s="12"/>
      <c r="CW41" s="10">
        <f t="shared" si="29"/>
        <v>-108</v>
      </c>
      <c r="CX41" s="12">
        <f t="shared" si="30"/>
        <v>-107782</v>
      </c>
      <c r="CY41" s="11">
        <f t="shared" si="31"/>
        <v>-1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G42" s="10">
        <v>11</v>
      </c>
      <c r="BH42" s="12">
        <v>77038.095238080001</v>
      </c>
      <c r="BI42" s="10">
        <f t="shared" si="14"/>
        <v>-1</v>
      </c>
      <c r="BJ42" s="12">
        <f t="shared" si="15"/>
        <v>-17133.333333319999</v>
      </c>
      <c r="BK42" s="11">
        <f t="shared" si="16"/>
        <v>-0.18193770226528577</v>
      </c>
      <c r="BM42" s="14"/>
      <c r="BN42" s="13" t="s">
        <v>7</v>
      </c>
      <c r="BO42" s="10">
        <v>4</v>
      </c>
      <c r="BP42" s="12">
        <v>27104.761904750001</v>
      </c>
      <c r="BQ42" s="10">
        <f t="shared" si="17"/>
        <v>-7</v>
      </c>
      <c r="BR42" s="12">
        <f t="shared" si="18"/>
        <v>-49933.333333329996</v>
      </c>
      <c r="BS42" s="11">
        <f t="shared" si="19"/>
        <v>-0.64816417356912925</v>
      </c>
      <c r="BU42" s="14"/>
      <c r="BV42" s="13" t="s">
        <v>7</v>
      </c>
      <c r="BW42" s="10">
        <v>11</v>
      </c>
      <c r="BX42" s="12">
        <v>61324</v>
      </c>
      <c r="BY42" s="10">
        <f t="shared" si="32"/>
        <v>7</v>
      </c>
      <c r="BZ42" s="12">
        <f t="shared" si="21"/>
        <v>34219.238095249995</v>
      </c>
      <c r="CA42" s="11">
        <f t="shared" si="22"/>
        <v>1.2624806746320547</v>
      </c>
      <c r="CC42" s="14"/>
      <c r="CD42" s="13" t="s">
        <v>7</v>
      </c>
      <c r="CE42" s="10">
        <v>10</v>
      </c>
      <c r="CF42" s="12">
        <v>75905</v>
      </c>
      <c r="CG42" s="10">
        <f t="shared" si="23"/>
        <v>-1</v>
      </c>
      <c r="CH42" s="12">
        <f t="shared" si="24"/>
        <v>14581</v>
      </c>
      <c r="CI42" s="11">
        <f t="shared" si="25"/>
        <v>0.23776987802491684</v>
      </c>
      <c r="CK42" s="14"/>
      <c r="CL42" s="13" t="s">
        <v>7</v>
      </c>
      <c r="CM42" s="10">
        <v>11</v>
      </c>
      <c r="CN42" s="12">
        <v>70086</v>
      </c>
      <c r="CO42" s="10">
        <f t="shared" si="26"/>
        <v>1</v>
      </c>
      <c r="CP42" s="12">
        <f t="shared" si="27"/>
        <v>-5819</v>
      </c>
      <c r="CQ42" s="11">
        <f t="shared" si="28"/>
        <v>-7.6661616494302087E-2</v>
      </c>
      <c r="CS42" s="14"/>
      <c r="CT42" s="13" t="s">
        <v>7</v>
      </c>
      <c r="CV42" s="12"/>
      <c r="CW42" s="10">
        <f t="shared" si="29"/>
        <v>-11</v>
      </c>
      <c r="CX42" s="12">
        <f t="shared" si="30"/>
        <v>-70086</v>
      </c>
      <c r="CY42" s="11">
        <f t="shared" si="31"/>
        <v>-1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G43" s="10">
        <v>5</v>
      </c>
      <c r="BH43" s="12">
        <v>54761.904761880003</v>
      </c>
      <c r="BI43" s="10">
        <f t="shared" si="14"/>
        <v>0</v>
      </c>
      <c r="BJ43" s="12">
        <f t="shared" si="15"/>
        <v>0</v>
      </c>
      <c r="BK43" s="11">
        <f t="shared" si="16"/>
        <v>0</v>
      </c>
      <c r="BM43" s="14"/>
      <c r="BN43" s="13" t="s">
        <v>6</v>
      </c>
      <c r="BO43" s="10">
        <v>2</v>
      </c>
      <c r="BP43" s="12">
        <v>16952.380952380001</v>
      </c>
      <c r="BQ43" s="10">
        <f t="shared" si="17"/>
        <v>-3</v>
      </c>
      <c r="BR43" s="12">
        <f t="shared" si="18"/>
        <v>-37809.523809500002</v>
      </c>
      <c r="BS43" s="11">
        <f t="shared" si="19"/>
        <v>-0.69043478260857305</v>
      </c>
      <c r="BU43" s="14"/>
      <c r="BV43" s="13" t="s">
        <v>6</v>
      </c>
      <c r="BW43" s="10">
        <v>3</v>
      </c>
      <c r="BX43" s="12">
        <v>27333</v>
      </c>
      <c r="BY43" s="10">
        <f t="shared" si="32"/>
        <v>1</v>
      </c>
      <c r="BZ43" s="12">
        <f t="shared" si="21"/>
        <v>10380.619047619999</v>
      </c>
      <c r="CA43" s="11">
        <f t="shared" si="22"/>
        <v>0.61233988764053993</v>
      </c>
      <c r="CC43" s="14"/>
      <c r="CD43" s="13" t="s">
        <v>6</v>
      </c>
      <c r="CE43" s="10">
        <v>2</v>
      </c>
      <c r="CF43" s="12">
        <v>15048</v>
      </c>
      <c r="CG43" s="10">
        <f t="shared" si="23"/>
        <v>-1</v>
      </c>
      <c r="CH43" s="12">
        <f t="shared" si="24"/>
        <v>-12285</v>
      </c>
      <c r="CI43" s="11">
        <f t="shared" si="25"/>
        <v>-0.44945670069147187</v>
      </c>
      <c r="CK43" s="14"/>
      <c r="CL43" s="13" t="s">
        <v>6</v>
      </c>
      <c r="CM43" s="10">
        <v>15</v>
      </c>
      <c r="CN43" s="12">
        <v>273333</v>
      </c>
      <c r="CO43" s="10">
        <f t="shared" si="26"/>
        <v>13</v>
      </c>
      <c r="CP43" s="12">
        <f t="shared" si="27"/>
        <v>258285</v>
      </c>
      <c r="CQ43" s="11">
        <f t="shared" si="28"/>
        <v>17.164074960127593</v>
      </c>
      <c r="CS43" s="14"/>
      <c r="CT43" s="13" t="s">
        <v>6</v>
      </c>
      <c r="CV43" s="12"/>
      <c r="CW43" s="10">
        <f t="shared" si="29"/>
        <v>-15</v>
      </c>
      <c r="CX43" s="12">
        <f t="shared" si="30"/>
        <v>-273333</v>
      </c>
      <c r="CY43" s="11">
        <f t="shared" si="31"/>
        <v>-1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G44" s="10">
        <v>3</v>
      </c>
      <c r="BH44" s="12">
        <v>15270</v>
      </c>
      <c r="BI44" s="10">
        <f t="shared" si="14"/>
        <v>3</v>
      </c>
      <c r="BJ44" s="12">
        <f t="shared" si="15"/>
        <v>15270</v>
      </c>
      <c r="BK44" s="11" t="e">
        <f t="shared" si="16"/>
        <v>#DIV/0!</v>
      </c>
      <c r="BM44" s="14"/>
      <c r="BN44" s="13" t="s">
        <v>5</v>
      </c>
      <c r="BO44" s="10">
        <v>2</v>
      </c>
      <c r="BP44" s="12">
        <v>4608</v>
      </c>
      <c r="BQ44" s="10">
        <f t="shared" si="17"/>
        <v>-1</v>
      </c>
      <c r="BR44" s="12">
        <f t="shared" si="18"/>
        <v>-10662</v>
      </c>
      <c r="BS44" s="11">
        <f t="shared" si="19"/>
        <v>-0.69823182711198428</v>
      </c>
      <c r="BU44" s="14"/>
      <c r="BV44" s="13" t="s">
        <v>5</v>
      </c>
      <c r="BW44" s="10">
        <v>2</v>
      </c>
      <c r="BX44" s="12">
        <v>10680</v>
      </c>
      <c r="BY44" s="10">
        <f t="shared" si="32"/>
        <v>0</v>
      </c>
      <c r="BZ44" s="12">
        <f t="shared" si="21"/>
        <v>6072</v>
      </c>
      <c r="CA44" s="11">
        <f t="shared" si="22"/>
        <v>1.3177083333333333</v>
      </c>
      <c r="CC44" s="14"/>
      <c r="CD44" s="13" t="s">
        <v>5</v>
      </c>
      <c r="CE44" s="50">
        <v>1</v>
      </c>
      <c r="CF44" s="50">
        <v>6990</v>
      </c>
      <c r="CG44" s="10">
        <f t="shared" si="23"/>
        <v>-1</v>
      </c>
      <c r="CH44" s="12">
        <f t="shared" si="24"/>
        <v>-3690</v>
      </c>
      <c r="CI44" s="11">
        <f t="shared" si="25"/>
        <v>-0.3455056179775281</v>
      </c>
      <c r="CK44" s="14"/>
      <c r="CL44" s="13" t="s">
        <v>5</v>
      </c>
      <c r="CM44" s="10">
        <v>6</v>
      </c>
      <c r="CN44" s="12">
        <v>38940</v>
      </c>
      <c r="CO44" s="10">
        <f t="shared" si="26"/>
        <v>5</v>
      </c>
      <c r="CP44" s="12">
        <f t="shared" si="27"/>
        <v>31950</v>
      </c>
      <c r="CQ44" s="11">
        <f t="shared" si="28"/>
        <v>4.570815450643777</v>
      </c>
      <c r="CS44" s="14"/>
      <c r="CT44" s="13" t="s">
        <v>5</v>
      </c>
      <c r="CV44" s="12"/>
      <c r="CW44" s="10">
        <f t="shared" si="29"/>
        <v>-6</v>
      </c>
      <c r="CX44" s="12">
        <f t="shared" si="30"/>
        <v>-38940</v>
      </c>
      <c r="CY44" s="11">
        <f t="shared" si="31"/>
        <v>-1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G45" s="10">
        <v>4</v>
      </c>
      <c r="BH45" s="12">
        <v>129160.95238094</v>
      </c>
      <c r="BI45" s="10">
        <f t="shared" si="14"/>
        <v>2</v>
      </c>
      <c r="BJ45" s="12">
        <f t="shared" si="15"/>
        <v>82684.761904760002</v>
      </c>
      <c r="BK45" s="11">
        <f t="shared" si="16"/>
        <v>1.779077868852819</v>
      </c>
      <c r="BM45" s="14"/>
      <c r="BN45" s="13" t="s">
        <v>4</v>
      </c>
      <c r="BO45" s="10">
        <v>7</v>
      </c>
      <c r="BP45" s="12">
        <v>214542.85714281001</v>
      </c>
      <c r="BQ45" s="10">
        <f t="shared" si="17"/>
        <v>3</v>
      </c>
      <c r="BR45" s="12">
        <f t="shared" si="18"/>
        <v>85381.904761870013</v>
      </c>
      <c r="BS45" s="11">
        <f t="shared" si="19"/>
        <v>0.66105044278435998</v>
      </c>
      <c r="BU45" s="14"/>
      <c r="BV45" s="13" t="s">
        <v>4</v>
      </c>
      <c r="BW45" s="10">
        <v>8</v>
      </c>
      <c r="BX45" s="12">
        <v>258722</v>
      </c>
      <c r="BY45" s="10">
        <f t="shared" si="32"/>
        <v>1</v>
      </c>
      <c r="BZ45" s="12">
        <f t="shared" si="21"/>
        <v>44179.142857189989</v>
      </c>
      <c r="CA45" s="11">
        <f t="shared" si="22"/>
        <v>0.20592222666160465</v>
      </c>
      <c r="CC45" s="14"/>
      <c r="CD45" s="13" t="s">
        <v>4</v>
      </c>
      <c r="CE45" s="50">
        <v>4</v>
      </c>
      <c r="CF45" s="50">
        <v>112952</v>
      </c>
      <c r="CG45" s="10">
        <f t="shared" si="23"/>
        <v>-4</v>
      </c>
      <c r="CH45" s="12">
        <f t="shared" si="24"/>
        <v>-145770</v>
      </c>
      <c r="CI45" s="11">
        <f t="shared" si="25"/>
        <v>-0.56342328831718991</v>
      </c>
      <c r="CK45" s="14"/>
      <c r="CL45" s="13" t="s">
        <v>4</v>
      </c>
      <c r="CM45" s="10">
        <v>10</v>
      </c>
      <c r="CN45" s="12">
        <v>312388</v>
      </c>
      <c r="CO45" s="10">
        <f t="shared" si="26"/>
        <v>6</v>
      </c>
      <c r="CP45" s="12">
        <f t="shared" si="27"/>
        <v>199436</v>
      </c>
      <c r="CQ45" s="11">
        <f t="shared" si="28"/>
        <v>1.7656703732558963</v>
      </c>
      <c r="CS45" s="14"/>
      <c r="CT45" s="13" t="s">
        <v>4</v>
      </c>
      <c r="CV45" s="12"/>
      <c r="CW45" s="10">
        <f t="shared" si="29"/>
        <v>-10</v>
      </c>
      <c r="CX45" s="12">
        <f t="shared" si="30"/>
        <v>-312388</v>
      </c>
      <c r="CY45" s="11">
        <f t="shared" si="31"/>
        <v>-1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G46" s="10">
        <v>9</v>
      </c>
      <c r="BH46" s="12">
        <v>215809.52380947</v>
      </c>
      <c r="BI46" s="10">
        <f t="shared" si="14"/>
        <v>2</v>
      </c>
      <c r="BJ46" s="12">
        <f t="shared" si="15"/>
        <v>14666.66666665001</v>
      </c>
      <c r="BK46" s="11">
        <f t="shared" si="16"/>
        <v>7.2916666666597324E-2</v>
      </c>
      <c r="BM46" s="14"/>
      <c r="BN46" s="13" t="s">
        <v>3</v>
      </c>
      <c r="BO46" s="10">
        <v>13</v>
      </c>
      <c r="BP46" s="12">
        <v>245238.09523802</v>
      </c>
      <c r="BQ46" s="10">
        <f t="shared" si="17"/>
        <v>4</v>
      </c>
      <c r="BR46" s="12">
        <f t="shared" si="18"/>
        <v>29428.57142855</v>
      </c>
      <c r="BS46" s="11">
        <f t="shared" si="19"/>
        <v>0.13636363636357107</v>
      </c>
      <c r="BU46" s="14"/>
      <c r="BV46" s="13" t="s">
        <v>3</v>
      </c>
      <c r="BW46" s="10">
        <v>9</v>
      </c>
      <c r="BX46" s="12">
        <v>187810</v>
      </c>
      <c r="BY46" s="10">
        <f t="shared" si="32"/>
        <v>-4</v>
      </c>
      <c r="BZ46" s="12">
        <f t="shared" si="21"/>
        <v>-57428.095238020003</v>
      </c>
      <c r="CA46" s="11">
        <f t="shared" si="22"/>
        <v>-0.23417281553374564</v>
      </c>
      <c r="CC46" s="14"/>
      <c r="CD46" s="13" t="s">
        <v>3</v>
      </c>
      <c r="CE46" s="50">
        <v>24</v>
      </c>
      <c r="CF46" s="50">
        <v>543524</v>
      </c>
      <c r="CG46" s="10">
        <f t="shared" si="23"/>
        <v>15</v>
      </c>
      <c r="CH46" s="12">
        <f t="shared" si="24"/>
        <v>355714</v>
      </c>
      <c r="CI46" s="11">
        <f t="shared" si="25"/>
        <v>1.894009903626005</v>
      </c>
      <c r="CK46" s="14"/>
      <c r="CL46" s="13" t="s">
        <v>3</v>
      </c>
      <c r="CM46" s="10">
        <v>14</v>
      </c>
      <c r="CN46" s="12">
        <v>310381</v>
      </c>
      <c r="CO46" s="10">
        <f t="shared" si="26"/>
        <v>-10</v>
      </c>
      <c r="CP46" s="12">
        <f t="shared" si="27"/>
        <v>-233143</v>
      </c>
      <c r="CQ46" s="11">
        <f t="shared" si="28"/>
        <v>-0.42894701981881206</v>
      </c>
      <c r="CS46" s="14"/>
      <c r="CT46" s="13" t="s">
        <v>3</v>
      </c>
      <c r="CV46" s="12"/>
      <c r="CW46" s="10">
        <f t="shared" si="29"/>
        <v>-14</v>
      </c>
      <c r="CX46" s="12">
        <f t="shared" si="30"/>
        <v>-310381</v>
      </c>
      <c r="CY46" s="11">
        <f t="shared" si="31"/>
        <v>-1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G47" s="10">
        <v>15</v>
      </c>
      <c r="BH47" s="12">
        <v>490952.38095235999</v>
      </c>
      <c r="BI47" s="10">
        <f t="shared" si="14"/>
        <v>-1</v>
      </c>
      <c r="BJ47" s="12">
        <f t="shared" si="15"/>
        <v>-159904.76190476003</v>
      </c>
      <c r="BK47" s="11">
        <f t="shared" si="16"/>
        <v>-0.24568334796605784</v>
      </c>
      <c r="BM47" s="14"/>
      <c r="BN47" s="13" t="s">
        <v>2</v>
      </c>
      <c r="BO47" s="10">
        <v>22</v>
      </c>
      <c r="BP47" s="12">
        <v>702493.33333330997</v>
      </c>
      <c r="BQ47" s="10">
        <f t="shared" si="17"/>
        <v>7</v>
      </c>
      <c r="BR47" s="12">
        <f t="shared" si="18"/>
        <v>211540.95238094998</v>
      </c>
      <c r="BS47" s="11">
        <f t="shared" si="19"/>
        <v>0.43087875848691942</v>
      </c>
      <c r="BU47" s="14"/>
      <c r="BV47" s="13" t="s">
        <v>2</v>
      </c>
      <c r="BW47" s="10">
        <v>15</v>
      </c>
      <c r="BX47" s="12">
        <v>498571</v>
      </c>
      <c r="BY47" s="10">
        <f t="shared" si="32"/>
        <v>-7</v>
      </c>
      <c r="BZ47" s="12">
        <f t="shared" si="21"/>
        <v>-203922.33333330997</v>
      </c>
      <c r="CA47" s="11">
        <f t="shared" si="22"/>
        <v>-0.29028365630988207</v>
      </c>
      <c r="CC47" s="14"/>
      <c r="CD47" s="13" t="s">
        <v>2</v>
      </c>
      <c r="CE47" s="50">
        <v>10</v>
      </c>
      <c r="CF47" s="50">
        <v>400000</v>
      </c>
      <c r="CG47" s="10">
        <f t="shared" si="23"/>
        <v>-5</v>
      </c>
      <c r="CH47" s="12">
        <f t="shared" si="24"/>
        <v>-98571</v>
      </c>
      <c r="CI47" s="11">
        <f t="shared" si="25"/>
        <v>-0.19770704673958173</v>
      </c>
      <c r="CK47" s="14"/>
      <c r="CL47" s="13" t="s">
        <v>2</v>
      </c>
      <c r="CM47" s="10">
        <v>131</v>
      </c>
      <c r="CN47" s="12">
        <v>6077048</v>
      </c>
      <c r="CO47" s="10">
        <f t="shared" si="26"/>
        <v>121</v>
      </c>
      <c r="CP47" s="12">
        <f t="shared" si="27"/>
        <v>5677048</v>
      </c>
      <c r="CQ47" s="11">
        <f t="shared" si="28"/>
        <v>14.19262</v>
      </c>
      <c r="CS47" s="14"/>
      <c r="CT47" s="13" t="s">
        <v>2</v>
      </c>
      <c r="CV47" s="12"/>
      <c r="CW47" s="10">
        <f t="shared" si="29"/>
        <v>-131</v>
      </c>
      <c r="CX47" s="12">
        <f t="shared" si="30"/>
        <v>-6077048</v>
      </c>
      <c r="CY47" s="11">
        <f t="shared" si="31"/>
        <v>-1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>
        <v>231</v>
      </c>
      <c r="BH48" s="7">
        <v>1182069.9999991001</v>
      </c>
      <c r="BI48" s="27">
        <f t="shared" si="14"/>
        <v>28</v>
      </c>
      <c r="BJ48" s="28">
        <f t="shared" si="15"/>
        <v>-28124.285714369966</v>
      </c>
      <c r="BK48" s="29">
        <f t="shared" si="16"/>
        <v>-2.3239479847476964E-2</v>
      </c>
      <c r="BM48" s="9" t="s">
        <v>10</v>
      </c>
      <c r="BN48" s="9"/>
      <c r="BO48" s="8">
        <v>220</v>
      </c>
      <c r="BP48" s="7">
        <v>1372507.9999990601</v>
      </c>
      <c r="BQ48" s="27">
        <f t="shared" si="17"/>
        <v>-11</v>
      </c>
      <c r="BR48" s="28">
        <f t="shared" si="18"/>
        <v>190437.99999995995</v>
      </c>
      <c r="BS48" s="29">
        <f t="shared" si="19"/>
        <v>0.16110551828580788</v>
      </c>
      <c r="BU48" s="9" t="s">
        <v>10</v>
      </c>
      <c r="BV48" s="9"/>
      <c r="BW48" s="8">
        <v>225</v>
      </c>
      <c r="BX48" s="7">
        <v>1198282</v>
      </c>
      <c r="BY48" s="27">
        <f t="shared" si="32"/>
        <v>5</v>
      </c>
      <c r="BZ48" s="28">
        <f t="shared" si="21"/>
        <v>-174225.99999906006</v>
      </c>
      <c r="CA48" s="29">
        <f t="shared" si="22"/>
        <v>-0.12693987940265514</v>
      </c>
      <c r="CC48" s="9" t="s">
        <v>10</v>
      </c>
      <c r="CD48" s="9"/>
      <c r="CE48" s="51">
        <v>259</v>
      </c>
      <c r="CF48" s="51">
        <v>1370601</v>
      </c>
      <c r="CG48" s="27">
        <f t="shared" si="23"/>
        <v>34</v>
      </c>
      <c r="CH48" s="28">
        <f t="shared" si="24"/>
        <v>172319</v>
      </c>
      <c r="CI48" s="29">
        <f t="shared" si="25"/>
        <v>0.14380504755975637</v>
      </c>
      <c r="CK48" s="9" t="s">
        <v>10</v>
      </c>
      <c r="CL48" s="9"/>
      <c r="CM48" s="8">
        <v>511</v>
      </c>
      <c r="CN48" s="7">
        <v>7413361</v>
      </c>
      <c r="CO48" s="27">
        <f t="shared" si="26"/>
        <v>252</v>
      </c>
      <c r="CP48" s="28">
        <f t="shared" si="27"/>
        <v>6042760</v>
      </c>
      <c r="CQ48" s="29">
        <f t="shared" si="28"/>
        <v>4.4088396258283771</v>
      </c>
      <c r="CS48" s="9" t="s">
        <v>10</v>
      </c>
      <c r="CT48" s="9"/>
      <c r="CU48" s="8"/>
      <c r="CV48" s="7"/>
      <c r="CW48" s="27">
        <f t="shared" si="29"/>
        <v>-511</v>
      </c>
      <c r="CX48" s="28">
        <f t="shared" si="30"/>
        <v>-7413361</v>
      </c>
      <c r="CY48" s="29">
        <f t="shared" si="31"/>
        <v>-1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37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37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37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37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19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Y50" s="1">
        <v>3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G50" s="1">
        <v>2</v>
      </c>
      <c r="BH50" s="35"/>
      <c r="BI50" s="10">
        <f t="shared" si="14"/>
        <v>-1</v>
      </c>
      <c r="BJ50" s="12">
        <f t="shared" si="15"/>
        <v>0</v>
      </c>
      <c r="BK50" s="11" t="e">
        <f t="shared" si="16"/>
        <v>#DIV/0!</v>
      </c>
      <c r="BM50" s="14"/>
      <c r="BN50" s="32" t="s">
        <v>38</v>
      </c>
      <c r="BO50" s="1">
        <v>2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38</v>
      </c>
      <c r="BW50" s="15">
        <v>1</v>
      </c>
      <c r="BX50" s="33"/>
      <c r="BY50" s="10">
        <f t="shared" si="32"/>
        <v>-1</v>
      </c>
      <c r="BZ50" s="12">
        <f t="shared" si="21"/>
        <v>0</v>
      </c>
      <c r="CA50" s="11" t="e">
        <f t="shared" si="22"/>
        <v>#DIV/0!</v>
      </c>
      <c r="CC50" s="14"/>
      <c r="CD50" s="32" t="s">
        <v>38</v>
      </c>
      <c r="CE50" s="15">
        <v>2</v>
      </c>
      <c r="CF50" s="33"/>
      <c r="CG50" s="10">
        <f t="shared" si="23"/>
        <v>1</v>
      </c>
      <c r="CH50" s="12">
        <f t="shared" si="24"/>
        <v>0</v>
      </c>
      <c r="CI50" s="11" t="e">
        <f t="shared" si="25"/>
        <v>#DIV/0!</v>
      </c>
      <c r="CK50" s="14"/>
      <c r="CL50" s="32" t="s">
        <v>38</v>
      </c>
      <c r="CM50" s="15"/>
      <c r="CN50" s="33"/>
      <c r="CO50" s="10">
        <f t="shared" si="26"/>
        <v>-2</v>
      </c>
      <c r="CP50" s="12">
        <f t="shared" si="27"/>
        <v>0</v>
      </c>
      <c r="CQ50" s="11" t="e">
        <f t="shared" si="28"/>
        <v>#DIV/0!</v>
      </c>
      <c r="CS50" s="14"/>
      <c r="CT50" s="32" t="s">
        <v>20</v>
      </c>
      <c r="CU50" s="15"/>
      <c r="CV50" s="33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G51" s="10">
        <v>114</v>
      </c>
      <c r="BH51" s="12">
        <v>109647.61904706</v>
      </c>
      <c r="BI51" s="10">
        <f t="shared" si="14"/>
        <v>2</v>
      </c>
      <c r="BJ51" s="12">
        <f t="shared" si="15"/>
        <v>-1961.9047618699988</v>
      </c>
      <c r="BK51" s="11">
        <f t="shared" si="16"/>
        <v>-1.757829166289324E-2</v>
      </c>
      <c r="BM51" s="14"/>
      <c r="BN51" s="13" t="s">
        <v>9</v>
      </c>
      <c r="BO51" s="10">
        <v>109</v>
      </c>
      <c r="BP51" s="12">
        <v>108975.23809471</v>
      </c>
      <c r="BQ51" s="10">
        <f t="shared" si="17"/>
        <v>-5</v>
      </c>
      <c r="BR51" s="12">
        <f t="shared" si="18"/>
        <v>-672.38095234999491</v>
      </c>
      <c r="BS51" s="11">
        <f t="shared" si="19"/>
        <v>-6.1321983841839166E-3</v>
      </c>
      <c r="BU51" s="14"/>
      <c r="BV51" s="13" t="s">
        <v>9</v>
      </c>
      <c r="BW51" s="10">
        <v>104</v>
      </c>
      <c r="BX51" s="12">
        <v>95841</v>
      </c>
      <c r="BY51" s="10">
        <f t="shared" si="32"/>
        <v>-5</v>
      </c>
      <c r="BZ51" s="12">
        <f t="shared" si="21"/>
        <v>-13134.238094710003</v>
      </c>
      <c r="CA51" s="11">
        <f t="shared" si="22"/>
        <v>-0.1205249772732323</v>
      </c>
      <c r="CC51" s="14"/>
      <c r="CD51" s="13" t="s">
        <v>9</v>
      </c>
      <c r="CE51" s="10">
        <v>90</v>
      </c>
      <c r="CF51" s="12">
        <v>89890</v>
      </c>
      <c r="CG51" s="10">
        <f t="shared" si="23"/>
        <v>-14</v>
      </c>
      <c r="CH51" s="12">
        <f t="shared" si="24"/>
        <v>-5951</v>
      </c>
      <c r="CI51" s="11">
        <f t="shared" si="25"/>
        <v>-6.2092423910434992E-2</v>
      </c>
      <c r="CK51" s="14"/>
      <c r="CL51" s="13" t="s">
        <v>9</v>
      </c>
      <c r="CM51" s="10">
        <v>177</v>
      </c>
      <c r="CN51" s="12">
        <v>167083</v>
      </c>
      <c r="CO51" s="10">
        <f t="shared" si="26"/>
        <v>87</v>
      </c>
      <c r="CP51" s="12">
        <f t="shared" si="27"/>
        <v>77193</v>
      </c>
      <c r="CQ51" s="11">
        <f t="shared" si="28"/>
        <v>0.85874958282345093</v>
      </c>
      <c r="CS51" s="14"/>
      <c r="CT51" s="13" t="s">
        <v>9</v>
      </c>
      <c r="CV51" s="12"/>
      <c r="CW51" s="10">
        <f t="shared" si="29"/>
        <v>-177</v>
      </c>
      <c r="CX51" s="12">
        <f t="shared" si="30"/>
        <v>-167083</v>
      </c>
      <c r="CY51" s="11">
        <f t="shared" si="31"/>
        <v>-1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G52" s="10">
        <v>71</v>
      </c>
      <c r="BH52" s="12">
        <v>81323.809523529999</v>
      </c>
      <c r="BI52" s="10">
        <f t="shared" si="14"/>
        <v>3</v>
      </c>
      <c r="BJ52" s="12">
        <f t="shared" si="15"/>
        <v>14161.904761850004</v>
      </c>
      <c r="BK52" s="11">
        <f t="shared" si="16"/>
        <v>0.21086216676109287</v>
      </c>
      <c r="BM52" s="14"/>
      <c r="BN52" s="13" t="s">
        <v>8</v>
      </c>
      <c r="BO52" s="10">
        <v>76</v>
      </c>
      <c r="BP52" s="12">
        <v>76523.809523589996</v>
      </c>
      <c r="BQ52" s="10">
        <f t="shared" si="17"/>
        <v>5</v>
      </c>
      <c r="BR52" s="12">
        <f t="shared" si="18"/>
        <v>-4799.9999999400025</v>
      </c>
      <c r="BS52" s="11">
        <f t="shared" si="19"/>
        <v>-5.9023304836097037E-2</v>
      </c>
      <c r="BU52" s="14"/>
      <c r="BV52" s="13" t="s">
        <v>8</v>
      </c>
      <c r="BW52" s="10">
        <v>63</v>
      </c>
      <c r="BX52" s="12">
        <v>89305</v>
      </c>
      <c r="BY52" s="10">
        <f t="shared" si="32"/>
        <v>-13</v>
      </c>
      <c r="BZ52" s="12">
        <f t="shared" si="21"/>
        <v>12781.190476410004</v>
      </c>
      <c r="CA52" s="11">
        <f t="shared" si="22"/>
        <v>0.167022401994636</v>
      </c>
      <c r="CC52" s="14"/>
      <c r="CD52" s="13" t="s">
        <v>8</v>
      </c>
      <c r="CE52" s="10">
        <v>77</v>
      </c>
      <c r="CF52" s="12">
        <v>75171</v>
      </c>
      <c r="CG52" s="10">
        <f t="shared" si="23"/>
        <v>14</v>
      </c>
      <c r="CH52" s="12">
        <f t="shared" si="24"/>
        <v>-14134</v>
      </c>
      <c r="CI52" s="11">
        <f t="shared" si="25"/>
        <v>-0.15826661441128717</v>
      </c>
      <c r="CK52" s="14"/>
      <c r="CL52" s="13" t="s">
        <v>8</v>
      </c>
      <c r="CM52" s="10">
        <v>69</v>
      </c>
      <c r="CN52" s="12">
        <v>69724</v>
      </c>
      <c r="CO52" s="10">
        <f t="shared" si="26"/>
        <v>-8</v>
      </c>
      <c r="CP52" s="12">
        <f t="shared" si="27"/>
        <v>-5447</v>
      </c>
      <c r="CQ52" s="11">
        <f t="shared" si="28"/>
        <v>-7.2461454550292001E-2</v>
      </c>
      <c r="CS52" s="14"/>
      <c r="CT52" s="13" t="s">
        <v>8</v>
      </c>
      <c r="CV52" s="12"/>
      <c r="CW52" s="10">
        <f t="shared" si="29"/>
        <v>-69</v>
      </c>
      <c r="CX52" s="12">
        <f t="shared" si="30"/>
        <v>-69724</v>
      </c>
      <c r="CY52" s="11">
        <f t="shared" si="31"/>
        <v>-1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G53" s="10">
        <v>15</v>
      </c>
      <c r="BH53" s="12">
        <v>112238.09523806001</v>
      </c>
      <c r="BI53" s="10">
        <f t="shared" si="14"/>
        <v>4</v>
      </c>
      <c r="BJ53" s="12">
        <f t="shared" si="15"/>
        <v>49485.714285700014</v>
      </c>
      <c r="BK53" s="11">
        <f t="shared" si="16"/>
        <v>0.78858703900443727</v>
      </c>
      <c r="BM53" s="14"/>
      <c r="BN53" s="13" t="s">
        <v>7</v>
      </c>
      <c r="BO53" s="10">
        <v>7</v>
      </c>
      <c r="BP53" s="12">
        <v>51958.095238069996</v>
      </c>
      <c r="BQ53" s="10">
        <f t="shared" si="17"/>
        <v>-8</v>
      </c>
      <c r="BR53" s="12">
        <f t="shared" si="18"/>
        <v>-60279.99999999001</v>
      </c>
      <c r="BS53" s="11">
        <f t="shared" si="19"/>
        <v>-0.5370725498515857</v>
      </c>
      <c r="BU53" s="14"/>
      <c r="BV53" s="13" t="s">
        <v>7</v>
      </c>
      <c r="BW53" s="10">
        <v>6</v>
      </c>
      <c r="BX53" s="12">
        <v>35657</v>
      </c>
      <c r="BY53" s="10">
        <f t="shared" si="32"/>
        <v>-1</v>
      </c>
      <c r="BZ53" s="12">
        <f t="shared" si="21"/>
        <v>-16301.095238069996</v>
      </c>
      <c r="CA53" s="11">
        <f t="shared" si="22"/>
        <v>-0.31373542781695524</v>
      </c>
      <c r="CC53" s="14"/>
      <c r="CD53" s="13" t="s">
        <v>7</v>
      </c>
      <c r="CE53" s="10">
        <v>13</v>
      </c>
      <c r="CF53" s="12">
        <v>103781</v>
      </c>
      <c r="CG53" s="10">
        <f t="shared" si="23"/>
        <v>7</v>
      </c>
      <c r="CH53" s="12">
        <f t="shared" si="24"/>
        <v>68124</v>
      </c>
      <c r="CI53" s="11">
        <f t="shared" si="25"/>
        <v>1.9105365005468773</v>
      </c>
      <c r="CK53" s="14"/>
      <c r="CL53" s="13" t="s">
        <v>7</v>
      </c>
      <c r="CM53" s="10">
        <v>16</v>
      </c>
      <c r="CN53" s="12">
        <v>96800</v>
      </c>
      <c r="CO53" s="10">
        <f t="shared" si="26"/>
        <v>3</v>
      </c>
      <c r="CP53" s="12">
        <f t="shared" si="27"/>
        <v>-6981</v>
      </c>
      <c r="CQ53" s="11">
        <f t="shared" si="28"/>
        <v>-6.7266648037694762E-2</v>
      </c>
      <c r="CS53" s="14"/>
      <c r="CT53" s="13" t="s">
        <v>7</v>
      </c>
      <c r="CV53" s="12"/>
      <c r="CW53" s="10">
        <f t="shared" si="29"/>
        <v>-16</v>
      </c>
      <c r="CX53" s="12">
        <f t="shared" si="30"/>
        <v>-96800</v>
      </c>
      <c r="CY53" s="11">
        <f t="shared" si="31"/>
        <v>-1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G54" s="10">
        <v>11</v>
      </c>
      <c r="BH54" s="12">
        <v>124666.66666662</v>
      </c>
      <c r="BI54" s="10">
        <f t="shared" si="14"/>
        <v>3</v>
      </c>
      <c r="BJ54" s="12">
        <f t="shared" si="15"/>
        <v>32095.238095230001</v>
      </c>
      <c r="BK54" s="11">
        <f t="shared" si="16"/>
        <v>0.34670781893009817</v>
      </c>
      <c r="BM54" s="14"/>
      <c r="BN54" s="13" t="s">
        <v>6</v>
      </c>
      <c r="BO54" s="10">
        <v>3</v>
      </c>
      <c r="BP54" s="12">
        <v>22571.4285714</v>
      </c>
      <c r="BQ54" s="10">
        <f t="shared" si="17"/>
        <v>-8</v>
      </c>
      <c r="BR54" s="12">
        <f t="shared" si="18"/>
        <v>-102095.23809522</v>
      </c>
      <c r="BS54" s="11">
        <f t="shared" si="19"/>
        <v>-0.81894576012239217</v>
      </c>
      <c r="BU54" s="14"/>
      <c r="BV54" s="13" t="s">
        <v>6</v>
      </c>
      <c r="BW54" s="10">
        <v>2</v>
      </c>
      <c r="BX54" s="12">
        <v>15048</v>
      </c>
      <c r="BY54" s="10">
        <f t="shared" si="32"/>
        <v>-1</v>
      </c>
      <c r="BZ54" s="12">
        <f t="shared" si="21"/>
        <v>-7523.4285713999998</v>
      </c>
      <c r="CA54" s="11">
        <f t="shared" si="22"/>
        <v>-0.33331645569535862</v>
      </c>
      <c r="CC54" s="14"/>
      <c r="CD54" s="13" t="s">
        <v>6</v>
      </c>
      <c r="CE54" s="10">
        <v>1</v>
      </c>
      <c r="CF54" s="12">
        <v>7524</v>
      </c>
      <c r="CG54" s="10">
        <f t="shared" si="23"/>
        <v>-1</v>
      </c>
      <c r="CH54" s="12">
        <f t="shared" si="24"/>
        <v>-7524</v>
      </c>
      <c r="CI54" s="11">
        <f t="shared" si="25"/>
        <v>-0.5</v>
      </c>
      <c r="CK54" s="14"/>
      <c r="CL54" s="13" t="s">
        <v>6</v>
      </c>
      <c r="CM54" s="10">
        <v>16</v>
      </c>
      <c r="CN54" s="12">
        <v>252762</v>
      </c>
      <c r="CO54" s="10">
        <f t="shared" si="26"/>
        <v>15</v>
      </c>
      <c r="CP54" s="12">
        <f t="shared" si="27"/>
        <v>245238</v>
      </c>
      <c r="CQ54" s="11">
        <f t="shared" si="28"/>
        <v>32.59409888357257</v>
      </c>
      <c r="CS54" s="14"/>
      <c r="CT54" s="13" t="s">
        <v>6</v>
      </c>
      <c r="CV54" s="12"/>
      <c r="CW54" s="10">
        <f t="shared" si="29"/>
        <v>-16</v>
      </c>
      <c r="CX54" s="12">
        <f t="shared" si="30"/>
        <v>-252762</v>
      </c>
      <c r="CY54" s="11">
        <f t="shared" si="31"/>
        <v>-1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G55" s="10">
        <v>3</v>
      </c>
      <c r="BH55" s="12">
        <v>11370</v>
      </c>
      <c r="BI55" s="10">
        <f t="shared" si="14"/>
        <v>-3</v>
      </c>
      <c r="BJ55" s="12">
        <f t="shared" si="15"/>
        <v>-3470</v>
      </c>
      <c r="BK55" s="11">
        <f t="shared" si="16"/>
        <v>-0.23382749326145552</v>
      </c>
      <c r="BM55" s="14"/>
      <c r="BN55" s="13" t="s">
        <v>5</v>
      </c>
      <c r="BO55" s="10">
        <v>2</v>
      </c>
      <c r="BP55" s="12">
        <v>9680</v>
      </c>
      <c r="BQ55" s="10">
        <f t="shared" si="17"/>
        <v>-1</v>
      </c>
      <c r="BR55" s="12">
        <f t="shared" si="18"/>
        <v>-1690</v>
      </c>
      <c r="BS55" s="11">
        <f t="shared" si="19"/>
        <v>-0.14863676341248899</v>
      </c>
      <c r="BU55" s="14"/>
      <c r="BV55" s="13" t="s">
        <v>5</v>
      </c>
      <c r="BW55" s="10">
        <v>3</v>
      </c>
      <c r="BX55" s="12">
        <v>13770</v>
      </c>
      <c r="BY55" s="10">
        <f t="shared" si="32"/>
        <v>1</v>
      </c>
      <c r="BZ55" s="12">
        <f t="shared" si="21"/>
        <v>4090</v>
      </c>
      <c r="CA55" s="11">
        <f t="shared" si="22"/>
        <v>0.4225206611570248</v>
      </c>
      <c r="CC55" s="14"/>
      <c r="CD55" s="13" t="s">
        <v>5</v>
      </c>
      <c r="CE55" s="50">
        <v>3</v>
      </c>
      <c r="CF55" s="50">
        <v>9970</v>
      </c>
      <c r="CG55" s="10">
        <f t="shared" si="23"/>
        <v>0</v>
      </c>
      <c r="CH55" s="12">
        <f t="shared" si="24"/>
        <v>-3800</v>
      </c>
      <c r="CI55" s="11">
        <f t="shared" si="25"/>
        <v>-0.27596223674655046</v>
      </c>
      <c r="CK55" s="14"/>
      <c r="CL55" s="13" t="s">
        <v>5</v>
      </c>
      <c r="CM55" s="10">
        <v>8</v>
      </c>
      <c r="CN55" s="12">
        <v>42320</v>
      </c>
      <c r="CO55" s="10">
        <f t="shared" si="26"/>
        <v>5</v>
      </c>
      <c r="CP55" s="12">
        <f t="shared" si="27"/>
        <v>32350</v>
      </c>
      <c r="CQ55" s="11">
        <f t="shared" si="28"/>
        <v>3.2447342026078236</v>
      </c>
      <c r="CS55" s="14"/>
      <c r="CT55" s="13" t="s">
        <v>5</v>
      </c>
      <c r="CV55" s="12"/>
      <c r="CW55" s="10">
        <f t="shared" si="29"/>
        <v>-8</v>
      </c>
      <c r="CX55" s="12">
        <f t="shared" si="30"/>
        <v>-42320</v>
      </c>
      <c r="CY55" s="11">
        <f t="shared" si="31"/>
        <v>-1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G56" s="10">
        <v>6</v>
      </c>
      <c r="BH56" s="12">
        <v>191647.61904758</v>
      </c>
      <c r="BI56" s="10">
        <f t="shared" si="14"/>
        <v>0</v>
      </c>
      <c r="BJ56" s="12">
        <f t="shared" si="15"/>
        <v>-191590.47619048</v>
      </c>
      <c r="BK56" s="11">
        <f t="shared" si="16"/>
        <v>-0.49992544731615929</v>
      </c>
      <c r="BM56" s="14"/>
      <c r="BN56" s="13" t="s">
        <v>4</v>
      </c>
      <c r="BO56" s="10">
        <v>8</v>
      </c>
      <c r="BP56" s="12">
        <v>273257.1428571</v>
      </c>
      <c r="BQ56" s="10">
        <f t="shared" si="17"/>
        <v>2</v>
      </c>
      <c r="BR56" s="12">
        <f t="shared" si="18"/>
        <v>81609.523809520004</v>
      </c>
      <c r="BS56" s="11">
        <f t="shared" si="19"/>
        <v>0.42583113849830279</v>
      </c>
      <c r="BU56" s="14"/>
      <c r="BV56" s="13" t="s">
        <v>4</v>
      </c>
      <c r="BW56" s="10">
        <v>5</v>
      </c>
      <c r="BX56" s="12">
        <v>170368</v>
      </c>
      <c r="BY56" s="10">
        <f t="shared" si="32"/>
        <v>-3</v>
      </c>
      <c r="BZ56" s="12">
        <f t="shared" si="21"/>
        <v>-102889.1428571</v>
      </c>
      <c r="CA56" s="11">
        <f t="shared" si="22"/>
        <v>-0.37652864910069689</v>
      </c>
      <c r="CC56" s="14"/>
      <c r="CD56" s="13" t="s">
        <v>4</v>
      </c>
      <c r="CE56" s="50">
        <v>5</v>
      </c>
      <c r="CF56" s="50">
        <v>139524</v>
      </c>
      <c r="CG56" s="10">
        <f t="shared" si="23"/>
        <v>0</v>
      </c>
      <c r="CH56" s="12">
        <f t="shared" si="24"/>
        <v>-30844</v>
      </c>
      <c r="CI56" s="11">
        <f t="shared" si="25"/>
        <v>-0.18104338842975207</v>
      </c>
      <c r="CK56" s="14"/>
      <c r="CL56" s="13" t="s">
        <v>4</v>
      </c>
      <c r="CM56" s="10">
        <v>1</v>
      </c>
      <c r="CN56" s="12">
        <v>24667</v>
      </c>
      <c r="CO56" s="10">
        <f t="shared" si="26"/>
        <v>-4</v>
      </c>
      <c r="CP56" s="12">
        <f t="shared" si="27"/>
        <v>-114857</v>
      </c>
      <c r="CQ56" s="11">
        <f t="shared" si="28"/>
        <v>-0.82320604340471892</v>
      </c>
      <c r="CS56" s="14"/>
      <c r="CT56" s="13" t="s">
        <v>4</v>
      </c>
      <c r="CV56" s="12"/>
      <c r="CW56" s="10">
        <f t="shared" si="29"/>
        <v>-1</v>
      </c>
      <c r="CX56" s="12">
        <f t="shared" si="30"/>
        <v>-24667</v>
      </c>
      <c r="CY56" s="11">
        <f t="shared" si="31"/>
        <v>-1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G57" s="10">
        <v>17</v>
      </c>
      <c r="BH57" s="12">
        <v>399809.52380944003</v>
      </c>
      <c r="BI57" s="10">
        <f t="shared" si="14"/>
        <v>9</v>
      </c>
      <c r="BJ57" s="12">
        <f t="shared" si="15"/>
        <v>199142.85714282002</v>
      </c>
      <c r="BK57" s="11">
        <f t="shared" si="16"/>
        <v>0.9924062648315598</v>
      </c>
      <c r="BM57" s="14"/>
      <c r="BN57" s="13" t="s">
        <v>3</v>
      </c>
      <c r="BO57" s="10">
        <v>12</v>
      </c>
      <c r="BP57" s="12">
        <v>318857.14285708999</v>
      </c>
      <c r="BQ57" s="10">
        <f t="shared" si="17"/>
        <v>-5</v>
      </c>
      <c r="BR57" s="12">
        <f t="shared" si="18"/>
        <v>-80952.380952350039</v>
      </c>
      <c r="BS57" s="11">
        <f t="shared" si="19"/>
        <v>-0.20247737017623951</v>
      </c>
      <c r="BU57" s="14"/>
      <c r="BV57" s="13" t="s">
        <v>3</v>
      </c>
      <c r="BW57" s="10">
        <v>8</v>
      </c>
      <c r="BX57" s="12">
        <v>152095</v>
      </c>
      <c r="BY57" s="10">
        <f t="shared" si="32"/>
        <v>-4</v>
      </c>
      <c r="BZ57" s="12">
        <f t="shared" si="21"/>
        <v>-166762.14285708999</v>
      </c>
      <c r="CA57" s="11">
        <f t="shared" si="22"/>
        <v>-0.52299955197124703</v>
      </c>
      <c r="CC57" s="14"/>
      <c r="CD57" s="13" t="s">
        <v>3</v>
      </c>
      <c r="CE57" s="50">
        <v>10</v>
      </c>
      <c r="CF57" s="50">
        <v>218571</v>
      </c>
      <c r="CG57" s="10">
        <f t="shared" si="23"/>
        <v>2</v>
      </c>
      <c r="CH57" s="12">
        <f t="shared" si="24"/>
        <v>66476</v>
      </c>
      <c r="CI57" s="11">
        <f t="shared" si="25"/>
        <v>0.43706893717742201</v>
      </c>
      <c r="CK57" s="14"/>
      <c r="CL57" s="13" t="s">
        <v>3</v>
      </c>
      <c r="CM57" s="10">
        <v>12</v>
      </c>
      <c r="CN57" s="12">
        <v>285048</v>
      </c>
      <c r="CO57" s="10">
        <f t="shared" si="26"/>
        <v>2</v>
      </c>
      <c r="CP57" s="12">
        <f t="shared" si="27"/>
        <v>66477</v>
      </c>
      <c r="CQ57" s="11">
        <f t="shared" si="28"/>
        <v>0.30414373361516395</v>
      </c>
      <c r="CS57" s="14"/>
      <c r="CT57" s="13" t="s">
        <v>3</v>
      </c>
      <c r="CV57" s="12"/>
      <c r="CW57" s="10">
        <f t="shared" si="29"/>
        <v>-12</v>
      </c>
      <c r="CX57" s="12">
        <f t="shared" si="30"/>
        <v>-285048</v>
      </c>
      <c r="CY57" s="11">
        <f t="shared" si="31"/>
        <v>-1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G58" s="10">
        <v>17</v>
      </c>
      <c r="BH58" s="12">
        <v>645047.61904757994</v>
      </c>
      <c r="BI58" s="10">
        <f t="shared" si="14"/>
        <v>-2</v>
      </c>
      <c r="BJ58" s="12">
        <f t="shared" si="15"/>
        <v>-128380.9523809501</v>
      </c>
      <c r="BK58" s="11">
        <f t="shared" si="16"/>
        <v>-0.16598941017116711</v>
      </c>
      <c r="BM58" s="14"/>
      <c r="BN58" s="13" t="s">
        <v>2</v>
      </c>
      <c r="BO58" s="10">
        <v>9</v>
      </c>
      <c r="BP58" s="12">
        <v>284857.14285712998</v>
      </c>
      <c r="BQ58" s="10">
        <f t="shared" si="17"/>
        <v>-8</v>
      </c>
      <c r="BR58" s="12">
        <f t="shared" si="18"/>
        <v>-360190.47619044996</v>
      </c>
      <c r="BS58" s="11">
        <f t="shared" si="19"/>
        <v>-0.55839362173334617</v>
      </c>
      <c r="BU58" s="14"/>
      <c r="BV58" s="13" t="s">
        <v>2</v>
      </c>
      <c r="BW58" s="10">
        <v>12</v>
      </c>
      <c r="BX58" s="12">
        <v>365524</v>
      </c>
      <c r="BY58" s="10">
        <f t="shared" si="32"/>
        <v>3</v>
      </c>
      <c r="BZ58" s="12">
        <f t="shared" si="21"/>
        <v>80666.857142870023</v>
      </c>
      <c r="CA58" s="11">
        <f t="shared" si="22"/>
        <v>0.28318355065201389</v>
      </c>
      <c r="CC58" s="14"/>
      <c r="CD58" s="13" t="s">
        <v>2</v>
      </c>
      <c r="CE58" s="50">
        <v>12</v>
      </c>
      <c r="CF58" s="50">
        <v>400672</v>
      </c>
      <c r="CG58" s="10">
        <f t="shared" si="23"/>
        <v>0</v>
      </c>
      <c r="CH58" s="12">
        <f t="shared" si="24"/>
        <v>35148</v>
      </c>
      <c r="CI58" s="11">
        <f t="shared" si="25"/>
        <v>9.6157844628533287E-2</v>
      </c>
      <c r="CK58" s="14"/>
      <c r="CL58" s="13" t="s">
        <v>2</v>
      </c>
      <c r="CM58" s="10">
        <v>129</v>
      </c>
      <c r="CN58" s="12">
        <v>5971261</v>
      </c>
      <c r="CO58" s="10">
        <f t="shared" si="26"/>
        <v>117</v>
      </c>
      <c r="CP58" s="12">
        <f t="shared" si="27"/>
        <v>5570589</v>
      </c>
      <c r="CQ58" s="11">
        <f t="shared" si="28"/>
        <v>13.903115266352527</v>
      </c>
      <c r="CS58" s="14"/>
      <c r="CT58" s="13" t="s">
        <v>2</v>
      </c>
      <c r="CV58" s="12"/>
      <c r="CW58" s="10">
        <f t="shared" si="29"/>
        <v>-129</v>
      </c>
      <c r="CX58" s="12">
        <f t="shared" si="30"/>
        <v>-5971261</v>
      </c>
      <c r="CY58" s="11">
        <f t="shared" si="31"/>
        <v>-1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>
        <v>254</v>
      </c>
      <c r="BH59" s="7">
        <v>1675750.95237987</v>
      </c>
      <c r="BI59" s="27">
        <f t="shared" si="14"/>
        <v>16</v>
      </c>
      <c r="BJ59" s="28">
        <f t="shared" si="15"/>
        <v>-30517.619047699962</v>
      </c>
      <c r="BK59" s="29">
        <f t="shared" si="16"/>
        <v>-1.7885589384188817E-2</v>
      </c>
      <c r="BM59" s="9" t="s">
        <v>1</v>
      </c>
      <c r="BN59" s="9"/>
      <c r="BO59" s="8">
        <v>226</v>
      </c>
      <c r="BP59" s="7">
        <v>1146679.9999990901</v>
      </c>
      <c r="BQ59" s="27">
        <f t="shared" si="17"/>
        <v>-28</v>
      </c>
      <c r="BR59" s="28">
        <f t="shared" si="18"/>
        <v>-529070.9523807799</v>
      </c>
      <c r="BS59" s="29">
        <f t="shared" si="19"/>
        <v>-0.31572170770925312</v>
      </c>
      <c r="BU59" s="9" t="s">
        <v>1</v>
      </c>
      <c r="BV59" s="9"/>
      <c r="BW59" s="8">
        <v>203</v>
      </c>
      <c r="BX59" s="7">
        <v>937608</v>
      </c>
      <c r="BY59" s="27">
        <f t="shared" si="32"/>
        <v>-23</v>
      </c>
      <c r="BZ59" s="28">
        <f t="shared" si="21"/>
        <v>-209071.9999990901</v>
      </c>
      <c r="CA59" s="29">
        <f t="shared" si="22"/>
        <v>-0.18232811246315972</v>
      </c>
      <c r="CC59" s="9" t="s">
        <v>1</v>
      </c>
      <c r="CD59" s="9"/>
      <c r="CE59" s="51">
        <v>211</v>
      </c>
      <c r="CF59" s="51">
        <v>1045103</v>
      </c>
      <c r="CG59" s="27">
        <f t="shared" si="23"/>
        <v>8</v>
      </c>
      <c r="CH59" s="28">
        <f t="shared" si="24"/>
        <v>107495</v>
      </c>
      <c r="CI59" s="29">
        <f t="shared" si="25"/>
        <v>0.1146481258692332</v>
      </c>
      <c r="CK59" s="9" t="s">
        <v>1</v>
      </c>
      <c r="CL59" s="9"/>
      <c r="CM59" s="8">
        <v>428</v>
      </c>
      <c r="CN59" s="7">
        <v>6909665</v>
      </c>
      <c r="CO59" s="27">
        <f t="shared" si="26"/>
        <v>217</v>
      </c>
      <c r="CP59" s="28">
        <f t="shared" si="27"/>
        <v>5864562</v>
      </c>
      <c r="CQ59" s="29">
        <f t="shared" si="28"/>
        <v>5.6114679605742213</v>
      </c>
      <c r="CS59" s="9" t="s">
        <v>1</v>
      </c>
      <c r="CT59" s="9"/>
      <c r="CU59" s="8"/>
      <c r="CV59" s="7"/>
      <c r="CW59" s="27">
        <f t="shared" si="29"/>
        <v>-428</v>
      </c>
      <c r="CX59" s="28">
        <f t="shared" si="30"/>
        <v>-6909665</v>
      </c>
      <c r="CY59" s="29">
        <f t="shared" si="31"/>
        <v>-1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>
        <v>1717</v>
      </c>
      <c r="BH60" s="2">
        <v>10998812.76189879</v>
      </c>
      <c r="BI60" s="6">
        <f t="shared" si="14"/>
        <v>-83</v>
      </c>
      <c r="BJ60" s="5">
        <f t="shared" si="15"/>
        <v>-3725988.1904762201</v>
      </c>
      <c r="BK60" s="30">
        <f t="shared" si="16"/>
        <v>-0.2530416677636137</v>
      </c>
      <c r="BM60" s="4" t="s">
        <v>0</v>
      </c>
      <c r="BN60" s="4"/>
      <c r="BO60" s="3">
        <v>1693</v>
      </c>
      <c r="BP60" s="2">
        <v>10316829.33332772</v>
      </c>
      <c r="BQ60" s="6">
        <f t="shared" si="17"/>
        <v>-24</v>
      </c>
      <c r="BR60" s="5">
        <f t="shared" si="18"/>
        <v>-681983.42857106961</v>
      </c>
      <c r="BS60" s="30">
        <f t="shared" si="19"/>
        <v>-6.2005185771826413E-2</v>
      </c>
      <c r="BU60" s="4" t="s">
        <v>0</v>
      </c>
      <c r="BV60" s="4"/>
      <c r="BW60" s="3">
        <v>1694</v>
      </c>
      <c r="BX60" s="2">
        <v>11194351</v>
      </c>
      <c r="BY60" s="6">
        <f t="shared" si="32"/>
        <v>1</v>
      </c>
      <c r="BZ60" s="5">
        <f t="shared" si="21"/>
        <v>877521.66667228006</v>
      </c>
      <c r="CA60" s="30">
        <f t="shared" si="22"/>
        <v>8.5057301843456321E-2</v>
      </c>
      <c r="CC60" s="4" t="s">
        <v>0</v>
      </c>
      <c r="CD60" s="4"/>
      <c r="CE60" s="3">
        <v>1721</v>
      </c>
      <c r="CF60" s="2">
        <v>11523227</v>
      </c>
      <c r="CG60" s="6">
        <f t="shared" si="23"/>
        <v>27</v>
      </c>
      <c r="CH60" s="5">
        <f t="shared" si="24"/>
        <v>328876</v>
      </c>
      <c r="CI60" s="30">
        <f t="shared" si="25"/>
        <v>2.937874647668275E-2</v>
      </c>
      <c r="CK60" s="4" t="s">
        <v>0</v>
      </c>
      <c r="CL60" s="4"/>
      <c r="CM60" s="3">
        <v>3547</v>
      </c>
      <c r="CN60" s="2">
        <v>61401032</v>
      </c>
      <c r="CO60" s="6">
        <f t="shared" si="26"/>
        <v>1826</v>
      </c>
      <c r="CP60" s="5">
        <f t="shared" si="27"/>
        <v>49877805</v>
      </c>
      <c r="CQ60" s="30">
        <f t="shared" si="28"/>
        <v>4.3284580786267597</v>
      </c>
      <c r="CS60" s="4" t="s">
        <v>0</v>
      </c>
      <c r="CT60" s="4"/>
      <c r="CU60" s="3"/>
      <c r="CV60" s="2"/>
      <c r="CW60" s="6">
        <f t="shared" si="29"/>
        <v>-3547</v>
      </c>
      <c r="CX60" s="5">
        <f t="shared" si="30"/>
        <v>-61401032</v>
      </c>
      <c r="CY60" s="30">
        <f t="shared" si="31"/>
        <v>-1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2026-09-20T05:32:17Z</dcterms:modified>
</cp:coreProperties>
</file>