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4059DEA3-341C-A749-AB3E-D3F4EE2237E8}" xr6:coauthVersionLast="47" xr6:coauthVersionMax="47" xr10:uidLastSave="{00000000-0000-0000-0000-000000000000}"/>
  <bookViews>
    <workbookView xWindow="0" yWindow="600" windowWidth="28160" windowHeight="159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<sst xmlns="http://schemas.openxmlformats.org/spreadsheetml/2006/main" count="878" uniqueCount="40">
  <si>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</si>
  <si>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</si>
  <si>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</si>
  <si>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</si>
  <si>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</si>
  <si>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</si>
  <si>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</si>
  <si>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</si>
  <si>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</si>
  <si>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</si>
  <si>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</si>
  <si>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</si>
  <si>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</si>
  <si>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</si>
  <si>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</si>
  <si>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</si>
  <si>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</si>
  <si>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</si>
  <si>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</si>
  <si>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</si>
  <si>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</si>
  <si>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</si>
  <si>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</si>
  <si>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</si>
  <si>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</si>
  <si>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26Q3W3</t>
    <phoneticPr fontId="2" type="noConversion"/>
  </si>
  <si>
    <t>04/12~04/18</t>
    <phoneticPr fontId="2" type="noConversion"/>
  </si>
  <si>
    <t>04/05~04/11</t>
    <phoneticPr fontId="2" type="noConversion"/>
  </si>
  <si>
    <t>26Q3W4</t>
    <phoneticPr fontId="2" type="noConversion"/>
  </si>
  <si>
    <t>04/19~04/25</t>
    <phoneticPr fontId="2" type="noConversion"/>
  </si>
  <si>
    <t>26Q3W5</t>
    <phoneticPr fontId="2" type="noConversion"/>
  </si>
  <si>
    <t>04/26~05/02</t>
    <phoneticPr fontId="2" type="noConversion"/>
  </si>
  <si>
    <t>26Q3W6</t>
    <phoneticPr fontId="2" type="noConversion"/>
  </si>
  <si>
    <t>05/03~05/09</t>
    <phoneticPr fontId="2" type="noConversion"/>
  </si>
  <si>
    <t>26Q3W7</t>
    <phoneticPr fontId="2" type="noConversion"/>
  </si>
  <si>
    <t>05/10~05/16</t>
    <phoneticPr fontId="2" type="noConversion"/>
  </si>
  <si>
    <t>26Q3W8</t>
    <phoneticPr fontId="2" type="noConversion"/>
  </si>
  <si>
    <t>05/17~05/23</t>
    <phoneticPr fontId="2" type="noConversion"/>
  </si>
  <si>
    <t>26Q3W9</t>
    <phoneticPr fontId="2" type="noConversion"/>
  </si>
  <si>
    <t>05/24~05/30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</si>
</sst>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7" fillId="5" borderId="0" xfId="0" applyNumberFormat="1" applyFont="1" applyFill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12" zoomScale="75" workbookViewId="0">
      <pane xSplit="1" topLeftCell="AW1" activePane="topRight" state="frozen"/>
      <selection pane="topRight" activeCell="BE29" sqref="BE29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50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25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41"/>
      <c r="AO1" s="26" t="s">
        <v>32</v>
      </c>
      <c r="AP1" s="26"/>
      <c r="AR1" s="25"/>
      <c r="AW1" s="26" t="s">
        <v>34</v>
      </c>
      <c r="AX1" s="26"/>
      <c r="AZ1" s="25"/>
      <c r="BE1" s="26" t="s">
        <v>36</v>
      </c>
      <c r="BF1" s="26"/>
      <c r="BH1" s="25"/>
      <c r="BM1" s="26" t="s">
        <v>38</v>
      </c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27</v>
      </c>
      <c r="K2" s="23"/>
      <c r="M2" s="23"/>
      <c r="O2" s="23"/>
      <c r="Q2" s="23" t="s">
        <v>26</v>
      </c>
      <c r="S2" s="23"/>
      <c r="U2" s="23"/>
      <c r="W2" s="23"/>
      <c r="Y2" s="23" t="s">
        <v>29</v>
      </c>
      <c r="Z2" s="22"/>
      <c r="AB2" s="21"/>
      <c r="AG2" s="23" t="s">
        <v>31</v>
      </c>
      <c r="AJ2" s="42"/>
      <c r="AK2" s="22"/>
      <c r="AL2" s="22"/>
      <c r="AN2" s="21"/>
      <c r="AO2" s="23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37</v>
      </c>
      <c r="BG2" s="22"/>
      <c r="BH2" s="22"/>
      <c r="BJ2" s="21"/>
      <c r="BM2" s="20" t="s">
        <v>39</v>
      </c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43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5617</v>
      </c>
      <c r="AB5" s="1"/>
      <c r="AC5" s="10">
        <f t="shared" ref="AC5:AD65" si="5">AA5-S5</f>
        <v>390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7979</v>
      </c>
      <c r="AJ5" s="44"/>
      <c r="AK5" s="10">
        <f t="shared" ref="AK5:AL65" si="7">AI5-AA5</f>
        <v>2362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6004</v>
      </c>
      <c r="AR5" s="1"/>
      <c r="AS5" s="10">
        <f t="shared" ref="AS5:AT65" si="9">AQ5-AI5</f>
        <v>-1975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5761</v>
      </c>
      <c r="AZ5" s="1"/>
      <c r="BA5" s="10">
        <f t="shared" ref="BA5:BA65" si="11">AY5-AQ5</f>
        <v>-243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5642</v>
      </c>
      <c r="BH5" s="1"/>
      <c r="BI5" s="10">
        <f t="shared" ref="BI5:BI65" si="14">BG5-AY5</f>
        <v>-119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>
        <v>5351</v>
      </c>
      <c r="BP5" s="1"/>
      <c r="BQ5" s="10">
        <f t="shared" ref="BQ5:BQ65" si="17">BO5-BG5</f>
        <v>-291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-5351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8</v>
      </c>
      <c r="T6" s="33"/>
      <c r="U6" s="10">
        <f t="shared" si="2"/>
        <v>-4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5</v>
      </c>
      <c r="AB6" s="33"/>
      <c r="AC6" s="10">
        <f t="shared" si="5"/>
        <v>-3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17</v>
      </c>
      <c r="AJ6" s="45"/>
      <c r="AK6" s="10">
        <f t="shared" si="7"/>
        <v>12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15</v>
      </c>
      <c r="AR6" s="33"/>
      <c r="AS6" s="10">
        <f t="shared" si="9"/>
        <v>-2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16</v>
      </c>
      <c r="AZ6" s="33"/>
      <c r="BA6" s="10">
        <f t="shared" si="11"/>
        <v>1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G6" s="15">
        <v>11</v>
      </c>
      <c r="BH6" s="33"/>
      <c r="BI6" s="10">
        <f t="shared" si="14"/>
        <v>-5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-11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A7" s="10">
        <v>194</v>
      </c>
      <c r="AB7" s="12">
        <v>201242.85714209004</v>
      </c>
      <c r="AC7" s="10">
        <f t="shared" si="5"/>
        <v>1</v>
      </c>
      <c r="AD7" s="12">
        <f t="shared" si="5"/>
        <v>-454.28571420989465</v>
      </c>
      <c r="AE7" s="11">
        <f t="shared" si="6"/>
        <v>-2.2523160604885346E-3</v>
      </c>
      <c r="AG7" s="14"/>
      <c r="AH7" s="13" t="s">
        <v>10</v>
      </c>
      <c r="AI7" s="13">
        <v>228</v>
      </c>
      <c r="AJ7" s="46">
        <v>274511.42857061001</v>
      </c>
      <c r="AK7" s="10">
        <f t="shared" si="7"/>
        <v>34</v>
      </c>
      <c r="AL7" s="12">
        <f t="shared" si="7"/>
        <v>73268.571428519965</v>
      </c>
      <c r="AM7" s="11">
        <f t="shared" si="8"/>
        <v>0.36408035777780562</v>
      </c>
      <c r="AO7" s="14"/>
      <c r="AP7" s="13" t="s">
        <v>10</v>
      </c>
      <c r="AQ7" s="10">
        <v>202</v>
      </c>
      <c r="AR7" s="12">
        <v>198379.04761833997</v>
      </c>
      <c r="AS7" s="10">
        <f t="shared" si="9"/>
        <v>-26</v>
      </c>
      <c r="AT7" s="12">
        <f t="shared" si="9"/>
        <v>-76132.380952270032</v>
      </c>
      <c r="AU7" s="11">
        <f t="shared" si="10"/>
        <v>-0.27733774636886277</v>
      </c>
      <c r="AW7" s="14"/>
      <c r="AX7" s="13" t="s">
        <v>10</v>
      </c>
      <c r="AY7" s="10">
        <v>143</v>
      </c>
      <c r="AZ7" s="12">
        <v>188053.33333271995</v>
      </c>
      <c r="BA7" s="10">
        <f t="shared" si="11"/>
        <v>-59</v>
      </c>
      <c r="BB7" s="12">
        <f t="shared" si="12"/>
        <v>-10325.714285620023</v>
      </c>
      <c r="BC7" s="11">
        <f t="shared" si="13"/>
        <v>-5.2050427752257336E-2</v>
      </c>
      <c r="BE7" s="14"/>
      <c r="BF7" s="13" t="s">
        <v>10</v>
      </c>
      <c r="BG7" s="10">
        <v>197</v>
      </c>
      <c r="BH7" s="12">
        <v>247345.71428483998</v>
      </c>
      <c r="BI7" s="10">
        <f t="shared" si="14"/>
        <v>54</v>
      </c>
      <c r="BJ7" s="12">
        <f t="shared" si="15"/>
        <v>59292.380952120031</v>
      </c>
      <c r="BK7" s="11">
        <f t="shared" si="16"/>
        <v>0.31529555951669791</v>
      </c>
      <c r="BM7" s="14"/>
      <c r="BN7" s="13" t="s">
        <v>10</v>
      </c>
      <c r="BP7" s="12"/>
      <c r="BQ7" s="10">
        <f t="shared" si="17"/>
        <v>-197</v>
      </c>
      <c r="BR7" s="12">
        <f t="shared" si="18"/>
        <v>-247345.71428483998</v>
      </c>
      <c r="BS7" s="11">
        <f t="shared" si="19"/>
        <v>-1</v>
      </c>
      <c r="BU7" s="14"/>
      <c r="BV7" s="13" t="s">
        <v>10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A8" s="10">
        <v>251</v>
      </c>
      <c r="AB8" s="12">
        <v>475849.52380930987</v>
      </c>
      <c r="AC8" s="10">
        <f t="shared" si="5"/>
        <v>45</v>
      </c>
      <c r="AD8" s="12">
        <f t="shared" si="5"/>
        <v>100886.6666665799</v>
      </c>
      <c r="AE8" s="11">
        <f t="shared" si="6"/>
        <v>0.26905776064154879</v>
      </c>
      <c r="AG8" s="14"/>
      <c r="AH8" s="13" t="s">
        <v>9</v>
      </c>
      <c r="AI8" s="13">
        <v>286</v>
      </c>
      <c r="AJ8" s="46">
        <v>419689.52380937996</v>
      </c>
      <c r="AK8" s="10">
        <f t="shared" si="7"/>
        <v>35</v>
      </c>
      <c r="AL8" s="12">
        <f t="shared" si="7"/>
        <v>-56159.999999929918</v>
      </c>
      <c r="AM8" s="11">
        <f t="shared" si="8"/>
        <v>-0.1180205026798246</v>
      </c>
      <c r="AO8" s="14"/>
      <c r="AP8" s="13" t="s">
        <v>9</v>
      </c>
      <c r="AQ8" s="10">
        <v>214</v>
      </c>
      <c r="AR8" s="12">
        <v>356401.90476171992</v>
      </c>
      <c r="AS8" s="10">
        <f t="shared" si="9"/>
        <v>-72</v>
      </c>
      <c r="AT8" s="12">
        <f t="shared" si="9"/>
        <v>-63287.619047660031</v>
      </c>
      <c r="AU8" s="11">
        <f t="shared" si="10"/>
        <v>-0.15079628024359459</v>
      </c>
      <c r="AW8" s="14"/>
      <c r="AX8" s="13" t="s">
        <v>9</v>
      </c>
      <c r="AY8" s="10">
        <v>191</v>
      </c>
      <c r="AZ8" s="12">
        <v>307257.14285700995</v>
      </c>
      <c r="BA8" s="10">
        <f t="shared" si="11"/>
        <v>-23</v>
      </c>
      <c r="BB8" s="12">
        <f t="shared" si="12"/>
        <v>-49144.761904709972</v>
      </c>
      <c r="BC8" s="11">
        <f t="shared" si="13"/>
        <v>-0.1378914120494579</v>
      </c>
      <c r="BE8" s="14"/>
      <c r="BF8" s="13" t="s">
        <v>9</v>
      </c>
      <c r="BG8" s="10">
        <v>224</v>
      </c>
      <c r="BH8" s="12">
        <v>321190.47619030986</v>
      </c>
      <c r="BI8" s="10">
        <f t="shared" si="14"/>
        <v>33</v>
      </c>
      <c r="BJ8" s="12">
        <f t="shared" si="15"/>
        <v>13933.333333299903</v>
      </c>
      <c r="BK8" s="11">
        <f t="shared" si="16"/>
        <v>4.5347467608862518E-2</v>
      </c>
      <c r="BM8" s="14"/>
      <c r="BN8" s="13" t="s">
        <v>9</v>
      </c>
      <c r="BP8" s="12"/>
      <c r="BQ8" s="10">
        <f t="shared" si="17"/>
        <v>-224</v>
      </c>
      <c r="BR8" s="12">
        <f t="shared" si="18"/>
        <v>-321190.47619030986</v>
      </c>
      <c r="BS8" s="11">
        <f t="shared" si="19"/>
        <v>-1</v>
      </c>
      <c r="BU8" s="14"/>
      <c r="BV8" s="13" t="s">
        <v>9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A9" s="10">
        <v>69</v>
      </c>
      <c r="AB9" s="12">
        <v>426009.52380950004</v>
      </c>
      <c r="AC9" s="10">
        <f t="shared" si="5"/>
        <v>7</v>
      </c>
      <c r="AD9" s="12">
        <f t="shared" si="5"/>
        <v>35361.904761900078</v>
      </c>
      <c r="AE9" s="11">
        <f t="shared" si="6"/>
        <v>9.0521234579932941E-2</v>
      </c>
      <c r="AG9" s="14"/>
      <c r="AH9" s="13" t="s">
        <v>8</v>
      </c>
      <c r="AI9" s="13">
        <v>83</v>
      </c>
      <c r="AJ9" s="46">
        <v>529685.7142857</v>
      </c>
      <c r="AK9" s="10">
        <f t="shared" si="7"/>
        <v>14</v>
      </c>
      <c r="AL9" s="12">
        <f t="shared" si="7"/>
        <v>103676.19047619996</v>
      </c>
      <c r="AM9" s="11">
        <f t="shared" si="8"/>
        <v>0.2433658983702936</v>
      </c>
      <c r="AO9" s="14"/>
      <c r="AP9" s="13" t="s">
        <v>8</v>
      </c>
      <c r="AQ9" s="10">
        <v>68</v>
      </c>
      <c r="AR9" s="12">
        <v>427923.80952379003</v>
      </c>
      <c r="AS9" s="10">
        <f t="shared" si="9"/>
        <v>-15</v>
      </c>
      <c r="AT9" s="12">
        <f t="shared" si="9"/>
        <v>-101761.90476190997</v>
      </c>
      <c r="AU9" s="11">
        <f t="shared" si="10"/>
        <v>-0.19211751802507929</v>
      </c>
      <c r="AW9" s="14"/>
      <c r="AX9" s="13" t="s">
        <v>8</v>
      </c>
      <c r="AY9" s="10">
        <v>68</v>
      </c>
      <c r="AZ9" s="12">
        <v>503638.09523805999</v>
      </c>
      <c r="BA9" s="10">
        <f t="shared" si="11"/>
        <v>0</v>
      </c>
      <c r="BB9" s="12">
        <f t="shared" si="12"/>
        <v>75714.285714269965</v>
      </c>
      <c r="BC9" s="11">
        <f t="shared" si="13"/>
        <v>0.17693403365082144</v>
      </c>
      <c r="BE9" s="14"/>
      <c r="BF9" s="13" t="s">
        <v>8</v>
      </c>
      <c r="BG9" s="10">
        <v>55</v>
      </c>
      <c r="BH9" s="12">
        <v>375190.47619045997</v>
      </c>
      <c r="BI9" s="10">
        <f t="shared" si="14"/>
        <v>-13</v>
      </c>
      <c r="BJ9" s="12">
        <f t="shared" si="15"/>
        <v>-128447.61904760002</v>
      </c>
      <c r="BK9" s="11">
        <f t="shared" si="16"/>
        <v>-0.25503952195452034</v>
      </c>
      <c r="BM9" s="14"/>
      <c r="BN9" s="13" t="s">
        <v>8</v>
      </c>
      <c r="BP9" s="12"/>
      <c r="BQ9" s="10">
        <f t="shared" si="17"/>
        <v>-55</v>
      </c>
      <c r="BR9" s="12">
        <f t="shared" si="18"/>
        <v>-375190.47619045997</v>
      </c>
      <c r="BS9" s="11">
        <f t="shared" si="19"/>
        <v>-1</v>
      </c>
      <c r="BU9" s="14"/>
      <c r="BV9" s="13" t="s">
        <v>8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A10" s="10">
        <v>58</v>
      </c>
      <c r="AB10" s="12">
        <v>787523.80952371005</v>
      </c>
      <c r="AC10" s="10">
        <f t="shared" si="5"/>
        <v>2</v>
      </c>
      <c r="AD10" s="12">
        <f t="shared" si="5"/>
        <v>-21904.761904780054</v>
      </c>
      <c r="AE10" s="11">
        <f t="shared" si="6"/>
        <v>-2.7062007295001023E-2</v>
      </c>
      <c r="AG10" s="14"/>
      <c r="AH10" s="13" t="s">
        <v>7</v>
      </c>
      <c r="AI10" s="13">
        <v>53</v>
      </c>
      <c r="AJ10" s="46">
        <v>707333.33333325002</v>
      </c>
      <c r="AK10" s="10">
        <f t="shared" si="7"/>
        <v>-5</v>
      </c>
      <c r="AL10" s="12">
        <f t="shared" si="7"/>
        <v>-80190.476190460031</v>
      </c>
      <c r="AM10" s="11">
        <f t="shared" si="8"/>
        <v>-0.10182609747247995</v>
      </c>
      <c r="AO10" s="14"/>
      <c r="AP10" s="13" t="s">
        <v>7</v>
      </c>
      <c r="AQ10" s="10">
        <v>59</v>
      </c>
      <c r="AR10" s="12">
        <v>820004.76190469007</v>
      </c>
      <c r="AS10" s="10">
        <f t="shared" si="9"/>
        <v>6</v>
      </c>
      <c r="AT10" s="12">
        <f t="shared" si="9"/>
        <v>112671.42857144005</v>
      </c>
      <c r="AU10" s="11">
        <f t="shared" si="10"/>
        <v>0.15929042682109329</v>
      </c>
      <c r="AW10" s="14"/>
      <c r="AX10" s="13" t="s">
        <v>7</v>
      </c>
      <c r="AY10" s="10">
        <v>50</v>
      </c>
      <c r="AZ10" s="12">
        <v>656190.47619036003</v>
      </c>
      <c r="BA10" s="10">
        <f t="shared" si="11"/>
        <v>-9</v>
      </c>
      <c r="BB10" s="12">
        <f t="shared" si="12"/>
        <v>-163814.28571433004</v>
      </c>
      <c r="BC10" s="11">
        <f t="shared" si="13"/>
        <v>-0.19977235904560556</v>
      </c>
      <c r="BE10" s="14"/>
      <c r="BF10" s="13" t="s">
        <v>7</v>
      </c>
      <c r="BG10" s="10">
        <v>34</v>
      </c>
      <c r="BH10" s="12">
        <v>411047.61904753</v>
      </c>
      <c r="BI10" s="10">
        <f t="shared" si="14"/>
        <v>-16</v>
      </c>
      <c r="BJ10" s="12">
        <f t="shared" si="15"/>
        <v>-245142.85714283003</v>
      </c>
      <c r="BK10" s="11">
        <f t="shared" si="16"/>
        <v>-0.3735849056604022</v>
      </c>
      <c r="BM10" s="14"/>
      <c r="BN10" s="13" t="s">
        <v>7</v>
      </c>
      <c r="BP10" s="12"/>
      <c r="BQ10" s="10">
        <f t="shared" si="17"/>
        <v>-34</v>
      </c>
      <c r="BR10" s="12">
        <f t="shared" si="18"/>
        <v>-411047.61904753</v>
      </c>
      <c r="BS10" s="11">
        <f t="shared" si="19"/>
        <v>-1</v>
      </c>
      <c r="BU10" s="14"/>
      <c r="BV10" s="13" t="s">
        <v>7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>
        <v>2</v>
      </c>
      <c r="AJ11" s="46">
        <v>11514.285714279999</v>
      </c>
      <c r="AK11" s="10">
        <f t="shared" si="7"/>
        <v>2</v>
      </c>
      <c r="AL11" s="12">
        <f t="shared" si="7"/>
        <v>11514.285714279999</v>
      </c>
      <c r="AM11" s="11" t="e">
        <f t="shared" si="8"/>
        <v>#DIV/0!</v>
      </c>
      <c r="AO11" s="14"/>
      <c r="AP11" s="13" t="s">
        <v>6</v>
      </c>
      <c r="AQ11" s="10">
        <v>1</v>
      </c>
      <c r="AR11" s="12">
        <v>2657.1428571400002</v>
      </c>
      <c r="AS11" s="10">
        <f t="shared" si="9"/>
        <v>-1</v>
      </c>
      <c r="AT11" s="12">
        <f t="shared" si="9"/>
        <v>-8857.1428571399993</v>
      </c>
      <c r="AU11" s="11">
        <f t="shared" si="10"/>
        <v>-0.76923076923090283</v>
      </c>
      <c r="AW11" s="14"/>
      <c r="AX11" s="13" t="s">
        <v>6</v>
      </c>
      <c r="AY11" s="10">
        <v>1</v>
      </c>
      <c r="AZ11" s="12">
        <v>8857.1428571399993</v>
      </c>
      <c r="BA11" s="10">
        <f t="shared" si="11"/>
        <v>0</v>
      </c>
      <c r="BB11" s="12">
        <f t="shared" si="12"/>
        <v>6199.9999999999991</v>
      </c>
      <c r="BC11" s="11">
        <f t="shared" si="13"/>
        <v>2.3333333333358417</v>
      </c>
      <c r="BE11" s="14"/>
      <c r="BF11" s="13" t="s">
        <v>6</v>
      </c>
      <c r="BG11" s="10">
        <v>1</v>
      </c>
      <c r="BH11" s="12">
        <v>8857.1428571399993</v>
      </c>
      <c r="BI11" s="10">
        <f t="shared" si="14"/>
        <v>0</v>
      </c>
      <c r="BJ11" s="12">
        <f t="shared" si="15"/>
        <v>0</v>
      </c>
      <c r="BK11" s="11">
        <f t="shared" si="16"/>
        <v>0</v>
      </c>
      <c r="BM11" s="14"/>
      <c r="BN11" s="13" t="s">
        <v>6</v>
      </c>
      <c r="BP11" s="12"/>
      <c r="BQ11" s="10">
        <f t="shared" si="17"/>
        <v>-1</v>
      </c>
      <c r="BR11" s="12">
        <f t="shared" si="18"/>
        <v>-8857.1428571399993</v>
      </c>
      <c r="BS11" s="11">
        <f t="shared" si="19"/>
        <v>-1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A12" s="10">
        <v>4</v>
      </c>
      <c r="AB12" s="12">
        <v>26860</v>
      </c>
      <c r="AC12" s="10">
        <f t="shared" si="5"/>
        <v>-1</v>
      </c>
      <c r="AD12" s="12">
        <f t="shared" si="5"/>
        <v>110</v>
      </c>
      <c r="AE12" s="11">
        <f t="shared" si="6"/>
        <v>4.1121495327102802E-3</v>
      </c>
      <c r="AG12" s="14"/>
      <c r="AH12" s="13" t="s">
        <v>5</v>
      </c>
      <c r="AI12" s="13">
        <v>29</v>
      </c>
      <c r="AJ12" s="46">
        <v>148110</v>
      </c>
      <c r="AK12" s="10">
        <f t="shared" si="7"/>
        <v>25</v>
      </c>
      <c r="AL12" s="12">
        <f t="shared" si="7"/>
        <v>121250</v>
      </c>
      <c r="AM12" s="11">
        <f t="shared" si="8"/>
        <v>4.5141474311243481</v>
      </c>
      <c r="AO12" s="14"/>
      <c r="AP12" s="13" t="s">
        <v>5</v>
      </c>
      <c r="AQ12" s="10">
        <v>10</v>
      </c>
      <c r="AR12" s="12">
        <v>40420</v>
      </c>
      <c r="AS12" s="10">
        <f t="shared" si="9"/>
        <v>-19</v>
      </c>
      <c r="AT12" s="12">
        <f t="shared" si="9"/>
        <v>-107690</v>
      </c>
      <c r="AU12" s="11">
        <f t="shared" si="10"/>
        <v>-0.72709472689217469</v>
      </c>
      <c r="AW12" s="14"/>
      <c r="AX12" s="13" t="s">
        <v>5</v>
      </c>
      <c r="AY12" s="10">
        <v>18</v>
      </c>
      <c r="AZ12" s="12">
        <v>87850</v>
      </c>
      <c r="BA12" s="10">
        <f t="shared" si="11"/>
        <v>8</v>
      </c>
      <c r="BB12" s="12">
        <f t="shared" si="12"/>
        <v>47430</v>
      </c>
      <c r="BC12" s="11">
        <f t="shared" si="13"/>
        <v>1.1734289955467589</v>
      </c>
      <c r="BE12" s="14"/>
      <c r="BF12" s="13" t="s">
        <v>5</v>
      </c>
      <c r="BG12" s="10">
        <v>7</v>
      </c>
      <c r="BH12" s="12">
        <v>40030</v>
      </c>
      <c r="BI12" s="10">
        <f t="shared" si="14"/>
        <v>-11</v>
      </c>
      <c r="BJ12" s="12">
        <f t="shared" si="15"/>
        <v>-47820</v>
      </c>
      <c r="BK12" s="11">
        <f t="shared" si="16"/>
        <v>-0.54433693796243598</v>
      </c>
      <c r="BM12" s="14"/>
      <c r="BN12" s="13" t="s">
        <v>5</v>
      </c>
      <c r="BP12" s="12"/>
      <c r="BQ12" s="10">
        <f t="shared" si="17"/>
        <v>-7</v>
      </c>
      <c r="BR12" s="12">
        <f t="shared" si="18"/>
        <v>-40030</v>
      </c>
      <c r="BS12" s="11">
        <f t="shared" si="19"/>
        <v>-1</v>
      </c>
      <c r="BU12" s="14"/>
      <c r="BV12" s="13" t="s">
        <v>5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A13" s="10">
        <v>44</v>
      </c>
      <c r="AB13" s="12">
        <v>1773776.1904760499</v>
      </c>
      <c r="AC13" s="10">
        <f t="shared" si="5"/>
        <v>39</v>
      </c>
      <c r="AD13" s="12">
        <f t="shared" si="5"/>
        <v>1498019.04761892</v>
      </c>
      <c r="AE13" s="11">
        <f t="shared" si="6"/>
        <v>5.4323852941682276</v>
      </c>
      <c r="AG13" s="14"/>
      <c r="AH13" s="13" t="s">
        <v>4</v>
      </c>
      <c r="AI13" s="13">
        <v>55</v>
      </c>
      <c r="AJ13" s="46">
        <v>2281052.3809522097</v>
      </c>
      <c r="AK13" s="10">
        <f t="shared" si="7"/>
        <v>11</v>
      </c>
      <c r="AL13" s="12">
        <f t="shared" si="7"/>
        <v>507276.1904761598</v>
      </c>
      <c r="AM13" s="11">
        <f t="shared" si="8"/>
        <v>0.28598658229819623</v>
      </c>
      <c r="AO13" s="14"/>
      <c r="AP13" s="13" t="s">
        <v>4</v>
      </c>
      <c r="AQ13" s="10">
        <v>23</v>
      </c>
      <c r="AR13" s="12">
        <v>1014895.2380951601</v>
      </c>
      <c r="AS13" s="10">
        <f t="shared" si="9"/>
        <v>-32</v>
      </c>
      <c r="AT13" s="12">
        <f t="shared" si="9"/>
        <v>-1266157.1428570496</v>
      </c>
      <c r="AU13" s="11">
        <f t="shared" si="10"/>
        <v>-0.5550758735003275</v>
      </c>
      <c r="AW13" s="14"/>
      <c r="AX13" s="13" t="s">
        <v>4</v>
      </c>
      <c r="AY13" s="10">
        <v>27</v>
      </c>
      <c r="AZ13" s="12">
        <v>1004395.2380951699</v>
      </c>
      <c r="BA13" s="10">
        <f t="shared" si="11"/>
        <v>4</v>
      </c>
      <c r="BB13" s="12">
        <f t="shared" si="12"/>
        <v>-10499.999999990221</v>
      </c>
      <c r="BC13" s="11">
        <f t="shared" si="13"/>
        <v>-1.0345895424337092E-2</v>
      </c>
      <c r="BE13" s="14"/>
      <c r="BF13" s="13" t="s">
        <v>4</v>
      </c>
      <c r="BG13" s="10">
        <v>38</v>
      </c>
      <c r="BH13" s="12">
        <v>1349485.7142855995</v>
      </c>
      <c r="BI13" s="10">
        <f t="shared" si="14"/>
        <v>11</v>
      </c>
      <c r="BJ13" s="12">
        <f t="shared" si="15"/>
        <v>345090.47619042965</v>
      </c>
      <c r="BK13" s="11">
        <f t="shared" si="16"/>
        <v>0.34358035870907938</v>
      </c>
      <c r="BM13" s="14"/>
      <c r="BN13" s="13" t="s">
        <v>4</v>
      </c>
      <c r="BP13" s="12"/>
      <c r="BQ13" s="10">
        <f t="shared" si="17"/>
        <v>-38</v>
      </c>
      <c r="BR13" s="12">
        <f t="shared" si="18"/>
        <v>-1349485.7142855995</v>
      </c>
      <c r="BS13" s="11">
        <f t="shared" si="19"/>
        <v>-1</v>
      </c>
      <c r="BU13" s="14"/>
      <c r="BV13" s="13" t="s">
        <v>4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A14" s="10">
        <v>72</v>
      </c>
      <c r="AB14" s="12">
        <v>1379619.0476189305</v>
      </c>
      <c r="AC14" s="10">
        <f t="shared" si="5"/>
        <v>-46</v>
      </c>
      <c r="AD14" s="12">
        <f t="shared" si="5"/>
        <v>-1061047.6190475996</v>
      </c>
      <c r="AE14" s="11">
        <f t="shared" si="6"/>
        <v>-0.43473680103017986</v>
      </c>
      <c r="AG14" s="14"/>
      <c r="AH14" s="13" t="s">
        <v>3</v>
      </c>
      <c r="AI14" s="13">
        <v>120</v>
      </c>
      <c r="AJ14" s="46">
        <v>2500095.23809504</v>
      </c>
      <c r="AK14" s="10">
        <f t="shared" si="7"/>
        <v>48</v>
      </c>
      <c r="AL14" s="12">
        <f t="shared" si="7"/>
        <v>1120476.1904761095</v>
      </c>
      <c r="AM14" s="11">
        <f t="shared" si="8"/>
        <v>0.81216346817618035</v>
      </c>
      <c r="AO14" s="14"/>
      <c r="AP14" s="13" t="s">
        <v>3</v>
      </c>
      <c r="AQ14" s="10">
        <v>80</v>
      </c>
      <c r="AR14" s="12">
        <v>1749238.0952379704</v>
      </c>
      <c r="AS14" s="10">
        <f t="shared" si="9"/>
        <v>-40</v>
      </c>
      <c r="AT14" s="12">
        <f t="shared" si="9"/>
        <v>-750857.14285706962</v>
      </c>
      <c r="AU14" s="11">
        <f t="shared" si="10"/>
        <v>-0.30033141594605373</v>
      </c>
      <c r="AW14" s="14"/>
      <c r="AX14" s="13" t="s">
        <v>3</v>
      </c>
      <c r="AY14" s="10">
        <v>56</v>
      </c>
      <c r="AZ14" s="12">
        <v>1272679.9999998901</v>
      </c>
      <c r="BA14" s="10">
        <f t="shared" si="11"/>
        <v>-24</v>
      </c>
      <c r="BB14" s="12">
        <f t="shared" si="12"/>
        <v>-476558.09523808025</v>
      </c>
      <c r="BC14" s="11">
        <f t="shared" si="13"/>
        <v>-0.27243752381990527</v>
      </c>
      <c r="BE14" s="14"/>
      <c r="BF14" s="13" t="s">
        <v>3</v>
      </c>
      <c r="BG14" s="10">
        <v>51</v>
      </c>
      <c r="BH14" s="12">
        <v>939619.04761893023</v>
      </c>
      <c r="BI14" s="10">
        <f t="shared" si="14"/>
        <v>-5</v>
      </c>
      <c r="BJ14" s="12">
        <f t="shared" si="15"/>
        <v>-333060.95238095988</v>
      </c>
      <c r="BK14" s="11">
        <f t="shared" si="16"/>
        <v>-0.26170046860246776</v>
      </c>
      <c r="BM14" s="14"/>
      <c r="BN14" s="13" t="s">
        <v>3</v>
      </c>
      <c r="BP14" s="12"/>
      <c r="BQ14" s="10">
        <f t="shared" si="17"/>
        <v>-51</v>
      </c>
      <c r="BR14" s="12">
        <f t="shared" si="18"/>
        <v>-939619.04761893023</v>
      </c>
      <c r="BS14" s="11">
        <f t="shared" si="19"/>
        <v>-1</v>
      </c>
      <c r="BU14" s="14"/>
      <c r="BV14" s="13" t="s">
        <v>3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A15" s="10">
        <v>81</v>
      </c>
      <c r="AB15" s="12">
        <v>2842761.9047618099</v>
      </c>
      <c r="AC15" s="10">
        <f t="shared" si="5"/>
        <v>-82</v>
      </c>
      <c r="AD15" s="12">
        <f t="shared" si="5"/>
        <v>-3654095.23809525</v>
      </c>
      <c r="AE15" s="11">
        <f t="shared" si="6"/>
        <v>-0.56244044739581944</v>
      </c>
      <c r="AG15" s="14"/>
      <c r="AH15" s="13" t="s">
        <v>2</v>
      </c>
      <c r="AI15" s="13">
        <v>99</v>
      </c>
      <c r="AJ15" s="46">
        <v>3540095.2380951596</v>
      </c>
      <c r="AK15" s="10">
        <f t="shared" si="7"/>
        <v>18</v>
      </c>
      <c r="AL15" s="12">
        <f t="shared" si="7"/>
        <v>697333.33333334979</v>
      </c>
      <c r="AM15" s="11">
        <f t="shared" si="8"/>
        <v>0.24530135012899651</v>
      </c>
      <c r="AO15" s="14"/>
      <c r="AP15" s="13" t="s">
        <v>2</v>
      </c>
      <c r="AQ15" s="10">
        <v>137</v>
      </c>
      <c r="AR15" s="12">
        <v>5078379.0476189293</v>
      </c>
      <c r="AS15" s="10">
        <f t="shared" si="9"/>
        <v>38</v>
      </c>
      <c r="AT15" s="12">
        <f t="shared" si="9"/>
        <v>1538283.8095237697</v>
      </c>
      <c r="AU15" s="11">
        <f t="shared" si="10"/>
        <v>0.43453175862903715</v>
      </c>
      <c r="AW15" s="14"/>
      <c r="AX15" s="13" t="s">
        <v>2</v>
      </c>
      <c r="AY15" s="10">
        <v>58</v>
      </c>
      <c r="AZ15" s="12">
        <v>2142095.2380951699</v>
      </c>
      <c r="BA15" s="10">
        <f t="shared" si="11"/>
        <v>-79</v>
      </c>
      <c r="BB15" s="12">
        <f t="shared" si="12"/>
        <v>-2936283.8095237594</v>
      </c>
      <c r="BC15" s="11">
        <f t="shared" si="13"/>
        <v>-0.57819311673879048</v>
      </c>
      <c r="BE15" s="14"/>
      <c r="BF15" s="13" t="s">
        <v>2</v>
      </c>
      <c r="BG15" s="10">
        <v>84</v>
      </c>
      <c r="BH15" s="12">
        <v>3233904.7619046797</v>
      </c>
      <c r="BI15" s="10">
        <f t="shared" si="14"/>
        <v>26</v>
      </c>
      <c r="BJ15" s="12">
        <f t="shared" si="15"/>
        <v>1091809.5238095098</v>
      </c>
      <c r="BK15" s="11">
        <f t="shared" si="16"/>
        <v>0.5096923350524728</v>
      </c>
      <c r="BM15" s="14"/>
      <c r="BN15" s="13" t="s">
        <v>2</v>
      </c>
      <c r="BP15" s="12"/>
      <c r="BQ15" s="10">
        <f t="shared" si="17"/>
        <v>-84</v>
      </c>
      <c r="BR15" s="12">
        <f t="shared" si="18"/>
        <v>-3233904.7619046797</v>
      </c>
      <c r="BS15" s="11">
        <f t="shared" si="19"/>
        <v>-1</v>
      </c>
      <c r="BU15" s="14"/>
      <c r="BV15" s="13" t="s">
        <v>2</v>
      </c>
      <c r="BX15" s="12"/>
      <c r="BY15" s="10">
        <f t="shared" si="20"/>
        <v>0</v>
      </c>
      <c r="BZ15" s="12">
        <f t="shared" si="21"/>
        <v>0</v>
      </c>
      <c r="CA15" s="11" t="e">
        <f t="shared" si="22"/>
        <v>#DIV/0!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>
        <v>773</v>
      </c>
      <c r="AB16" s="7">
        <v>7913642.8571413998</v>
      </c>
      <c r="AC16" s="27">
        <f t="shared" si="5"/>
        <v>-36</v>
      </c>
      <c r="AD16" s="28">
        <f t="shared" si="5"/>
        <v>-3105781.42857158</v>
      </c>
      <c r="AE16" s="29">
        <f t="shared" si="6"/>
        <v>-0.2818460699982594</v>
      </c>
      <c r="AG16" s="9" t="s">
        <v>19</v>
      </c>
      <c r="AH16" s="9"/>
      <c r="AI16" s="9">
        <v>955</v>
      </c>
      <c r="AJ16" s="47">
        <v>10412087.142855629</v>
      </c>
      <c r="AK16" s="27">
        <f t="shared" si="7"/>
        <v>182</v>
      </c>
      <c r="AL16" s="28">
        <f t="shared" si="7"/>
        <v>2498444.2857142296</v>
      </c>
      <c r="AM16" s="29">
        <f t="shared" si="8"/>
        <v>0.31571355073973206</v>
      </c>
      <c r="AO16" s="9" t="s">
        <v>19</v>
      </c>
      <c r="AP16" s="9"/>
      <c r="AQ16" s="8">
        <v>794</v>
      </c>
      <c r="AR16" s="7">
        <v>9688299.0476177391</v>
      </c>
      <c r="AS16" s="27">
        <f t="shared" si="9"/>
        <v>-161</v>
      </c>
      <c r="AT16" s="28">
        <f t="shared" si="9"/>
        <v>-723788.09523789026</v>
      </c>
      <c r="AU16" s="29">
        <f t="shared" si="10"/>
        <v>-6.9514217976414619E-2</v>
      </c>
      <c r="AW16" s="9" t="s">
        <v>19</v>
      </c>
      <c r="AX16" s="9"/>
      <c r="AY16" s="8">
        <v>612</v>
      </c>
      <c r="AZ16" s="7">
        <v>6171016.6666655196</v>
      </c>
      <c r="BA16" s="27">
        <f t="shared" si="11"/>
        <v>-182</v>
      </c>
      <c r="BB16" s="28">
        <f t="shared" si="12"/>
        <v>-3517282.3809522195</v>
      </c>
      <c r="BC16" s="29">
        <f t="shared" si="13"/>
        <v>-0.36304436554495972</v>
      </c>
      <c r="BE16" s="9" t="s">
        <v>19</v>
      </c>
      <c r="BF16" s="9"/>
      <c r="BG16" s="8">
        <v>691</v>
      </c>
      <c r="BH16" s="7">
        <v>6926670.9523794893</v>
      </c>
      <c r="BI16" s="27">
        <f t="shared" si="14"/>
        <v>79</v>
      </c>
      <c r="BJ16" s="28">
        <f t="shared" si="15"/>
        <v>755654.28571396973</v>
      </c>
      <c r="BK16" s="29">
        <f t="shared" si="16"/>
        <v>0.1224521544068822</v>
      </c>
      <c r="BM16" s="9" t="s">
        <v>19</v>
      </c>
      <c r="BN16" s="9"/>
      <c r="BO16" s="8"/>
      <c r="BP16" s="7"/>
      <c r="BQ16" s="27">
        <f t="shared" si="17"/>
        <v>-691</v>
      </c>
      <c r="BR16" s="28">
        <f t="shared" si="18"/>
        <v>-6926670.9523794893</v>
      </c>
      <c r="BS16" s="29">
        <f t="shared" si="19"/>
        <v>-1</v>
      </c>
      <c r="BU16" s="9" t="s">
        <v>19</v>
      </c>
      <c r="BV16" s="9"/>
      <c r="BW16" s="8"/>
      <c r="BX16" s="7"/>
      <c r="BY16" s="27">
        <f t="shared" si="20"/>
        <v>0</v>
      </c>
      <c r="BZ16" s="28">
        <f t="shared" si="21"/>
        <v>0</v>
      </c>
      <c r="CA16" s="29" t="e">
        <f t="shared" si="22"/>
        <v>#DIV/0!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3858</v>
      </c>
      <c r="AB17" s="35"/>
      <c r="AC17" s="10">
        <f t="shared" si="5"/>
        <v>3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5198</v>
      </c>
      <c r="AJ17" s="48"/>
      <c r="AK17" s="10">
        <f t="shared" si="7"/>
        <v>1340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4360</v>
      </c>
      <c r="AR17" s="35"/>
      <c r="AS17" s="10">
        <f t="shared" si="9"/>
        <v>-838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4372</v>
      </c>
      <c r="AZ17" s="35"/>
      <c r="BA17" s="10">
        <f t="shared" si="11"/>
        <v>12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4036</v>
      </c>
      <c r="BH17" s="35"/>
      <c r="BI17" s="10">
        <f t="shared" si="14"/>
        <v>-336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O17" s="1">
        <v>3865</v>
      </c>
      <c r="BP17" s="35"/>
      <c r="BQ17" s="10">
        <f t="shared" si="17"/>
        <v>-171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-3865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9</v>
      </c>
      <c r="T18" s="35"/>
      <c r="U18" s="10">
        <f t="shared" si="2"/>
        <v>-3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9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J18" s="48"/>
      <c r="AK18" s="10">
        <f t="shared" si="7"/>
        <v>1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14</v>
      </c>
      <c r="AR18" s="35"/>
      <c r="AS18" s="10">
        <f t="shared" si="9"/>
        <v>4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9</v>
      </c>
      <c r="AZ18" s="35"/>
      <c r="BA18" s="10">
        <f t="shared" si="11"/>
        <v>-5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G18" s="1">
        <v>3</v>
      </c>
      <c r="BH18" s="35"/>
      <c r="BI18" s="10">
        <f t="shared" si="14"/>
        <v>-6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-3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A19" s="10">
        <v>146</v>
      </c>
      <c r="AB19" s="12">
        <v>152445.71428508</v>
      </c>
      <c r="AC19" s="10">
        <f t="shared" si="5"/>
        <v>4</v>
      </c>
      <c r="AD19" s="12">
        <f t="shared" si="5"/>
        <v>-3762.8571428299474</v>
      </c>
      <c r="AE19" s="11">
        <f t="shared" si="6"/>
        <v>-2.4088672653705824E-2</v>
      </c>
      <c r="AG19" s="14"/>
      <c r="AH19" s="13" t="s">
        <v>10</v>
      </c>
      <c r="AI19" s="13">
        <v>148</v>
      </c>
      <c r="AJ19" s="46">
        <v>168661.90476126003</v>
      </c>
      <c r="AK19" s="10">
        <f t="shared" si="7"/>
        <v>2</v>
      </c>
      <c r="AL19" s="12">
        <f t="shared" si="7"/>
        <v>16216.190476180025</v>
      </c>
      <c r="AM19" s="11">
        <f t="shared" si="8"/>
        <v>0.10637354124534493</v>
      </c>
      <c r="AO19" s="14"/>
      <c r="AP19" s="13" t="s">
        <v>10</v>
      </c>
      <c r="AQ19" s="10">
        <v>157</v>
      </c>
      <c r="AR19" s="12">
        <v>172610.47618982001</v>
      </c>
      <c r="AS19" s="10">
        <f t="shared" si="9"/>
        <v>9</v>
      </c>
      <c r="AT19" s="12">
        <f t="shared" si="9"/>
        <v>3948.5714285599825</v>
      </c>
      <c r="AU19" s="11">
        <f t="shared" si="10"/>
        <v>2.3411163499838111E-2</v>
      </c>
      <c r="AW19" s="14"/>
      <c r="AX19" s="13" t="s">
        <v>10</v>
      </c>
      <c r="AY19" s="10">
        <v>158</v>
      </c>
      <c r="AZ19" s="12">
        <v>186339.99999941007</v>
      </c>
      <c r="BA19" s="10">
        <f t="shared" si="11"/>
        <v>1</v>
      </c>
      <c r="BB19" s="12">
        <f t="shared" si="12"/>
        <v>13729.523809590057</v>
      </c>
      <c r="BC19" s="11">
        <f t="shared" si="13"/>
        <v>7.9540501322131099E-2</v>
      </c>
      <c r="BE19" s="14"/>
      <c r="BF19" s="13" t="s">
        <v>10</v>
      </c>
      <c r="BG19" s="10">
        <v>119</v>
      </c>
      <c r="BH19" s="12">
        <v>121252.38095184001</v>
      </c>
      <c r="BI19" s="10">
        <f t="shared" si="14"/>
        <v>-39</v>
      </c>
      <c r="BJ19" s="12">
        <f t="shared" si="15"/>
        <v>-65087.619047570057</v>
      </c>
      <c r="BK19" s="11">
        <f t="shared" si="16"/>
        <v>-0.34929493961455466</v>
      </c>
      <c r="BM19" s="14"/>
      <c r="BN19" s="13" t="s">
        <v>10</v>
      </c>
      <c r="BP19" s="12"/>
      <c r="BQ19" s="10">
        <f t="shared" si="17"/>
        <v>-119</v>
      </c>
      <c r="BR19" s="12">
        <f t="shared" si="18"/>
        <v>-121252.38095184001</v>
      </c>
      <c r="BS19" s="11">
        <f t="shared" si="19"/>
        <v>-1</v>
      </c>
      <c r="BU19" s="14"/>
      <c r="BV19" s="13" t="s">
        <v>10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A20" s="10">
        <v>173</v>
      </c>
      <c r="AB20" s="12">
        <v>205209.52380940001</v>
      </c>
      <c r="AC20" s="10">
        <f t="shared" si="5"/>
        <v>0</v>
      </c>
      <c r="AD20" s="12">
        <f t="shared" si="5"/>
        <v>-46097.142857119965</v>
      </c>
      <c r="AE20" s="11">
        <f t="shared" si="6"/>
        <v>-0.18342984477323937</v>
      </c>
      <c r="AG20" s="14"/>
      <c r="AH20" s="13" t="s">
        <v>9</v>
      </c>
      <c r="AI20" s="13">
        <v>200</v>
      </c>
      <c r="AJ20" s="46">
        <v>196704.76190463002</v>
      </c>
      <c r="AK20" s="10">
        <f t="shared" si="7"/>
        <v>27</v>
      </c>
      <c r="AL20" s="12">
        <f t="shared" si="7"/>
        <v>-8504.7619047699845</v>
      </c>
      <c r="AM20" s="11">
        <f t="shared" si="8"/>
        <v>-4.1444284587245889E-2</v>
      </c>
      <c r="AO20" s="14"/>
      <c r="AP20" s="13" t="s">
        <v>9</v>
      </c>
      <c r="AQ20" s="10">
        <v>174</v>
      </c>
      <c r="AR20" s="12">
        <v>188534.28571418999</v>
      </c>
      <c r="AS20" s="10">
        <f t="shared" si="9"/>
        <v>-26</v>
      </c>
      <c r="AT20" s="12">
        <f t="shared" si="9"/>
        <v>-8170.4761904400366</v>
      </c>
      <c r="AU20" s="11">
        <f t="shared" si="10"/>
        <v>-4.1536748329465432E-2</v>
      </c>
      <c r="AW20" s="14"/>
      <c r="AX20" s="13" t="s">
        <v>9</v>
      </c>
      <c r="AY20" s="10">
        <v>150</v>
      </c>
      <c r="AZ20" s="12">
        <v>203866.66666649005</v>
      </c>
      <c r="BA20" s="10">
        <f t="shared" si="11"/>
        <v>-24</v>
      </c>
      <c r="BB20" s="12">
        <f t="shared" si="12"/>
        <v>15332.380952300067</v>
      </c>
      <c r="BC20" s="11">
        <f t="shared" si="13"/>
        <v>8.1324099190867111E-2</v>
      </c>
      <c r="BE20" s="14"/>
      <c r="BF20" s="13" t="s">
        <v>9</v>
      </c>
      <c r="BG20" s="10">
        <v>158</v>
      </c>
      <c r="BH20" s="12">
        <v>167201.90476180997</v>
      </c>
      <c r="BI20" s="10">
        <f t="shared" si="14"/>
        <v>8</v>
      </c>
      <c r="BJ20" s="12">
        <f t="shared" si="15"/>
        <v>-36664.761904680083</v>
      </c>
      <c r="BK20" s="11">
        <f t="shared" si="16"/>
        <v>-0.17984677193285731</v>
      </c>
      <c r="BM20" s="14"/>
      <c r="BN20" s="13" t="s">
        <v>9</v>
      </c>
      <c r="BP20" s="12"/>
      <c r="BQ20" s="10">
        <f t="shared" si="17"/>
        <v>-158</v>
      </c>
      <c r="BR20" s="12">
        <f t="shared" si="18"/>
        <v>-167201.90476180997</v>
      </c>
      <c r="BS20" s="11">
        <f t="shared" si="19"/>
        <v>-1</v>
      </c>
      <c r="BU20" s="14"/>
      <c r="BV20" s="13" t="s">
        <v>9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A21" s="10">
        <v>46</v>
      </c>
      <c r="AB21" s="12">
        <v>269276.19047617004</v>
      </c>
      <c r="AC21" s="10">
        <f t="shared" si="5"/>
        <v>4</v>
      </c>
      <c r="AD21" s="12">
        <f t="shared" si="5"/>
        <v>16723.809523800039</v>
      </c>
      <c r="AE21" s="11">
        <f t="shared" si="6"/>
        <v>6.6219171883214425E-2</v>
      </c>
      <c r="AG21" s="14"/>
      <c r="AH21" s="13" t="s">
        <v>8</v>
      </c>
      <c r="AI21" s="13">
        <v>36</v>
      </c>
      <c r="AJ21" s="46">
        <v>229657.14285712998</v>
      </c>
      <c r="AK21" s="10">
        <f t="shared" si="7"/>
        <v>-10</v>
      </c>
      <c r="AL21" s="12">
        <f t="shared" si="7"/>
        <v>-39619.047619040066</v>
      </c>
      <c r="AM21" s="11">
        <f t="shared" si="8"/>
        <v>-0.14713164037630058</v>
      </c>
      <c r="AO21" s="14"/>
      <c r="AP21" s="13" t="s">
        <v>8</v>
      </c>
      <c r="AQ21" s="10">
        <v>42</v>
      </c>
      <c r="AR21" s="12">
        <v>262457.14285713003</v>
      </c>
      <c r="AS21" s="10">
        <f t="shared" si="9"/>
        <v>6</v>
      </c>
      <c r="AT21" s="12">
        <f t="shared" si="9"/>
        <v>32800.000000000058</v>
      </c>
      <c r="AU21" s="11">
        <f t="shared" si="10"/>
        <v>0.14282159741229988</v>
      </c>
      <c r="AW21" s="14"/>
      <c r="AX21" s="13" t="s">
        <v>8</v>
      </c>
      <c r="AY21" s="10">
        <v>46</v>
      </c>
      <c r="AZ21" s="12">
        <v>305752.38095235999</v>
      </c>
      <c r="BA21" s="10">
        <f t="shared" si="11"/>
        <v>4</v>
      </c>
      <c r="BB21" s="12">
        <f t="shared" si="12"/>
        <v>43295.238095229957</v>
      </c>
      <c r="BC21" s="11">
        <f t="shared" si="13"/>
        <v>0.16496117279916422</v>
      </c>
      <c r="BE21" s="14"/>
      <c r="BF21" s="13" t="s">
        <v>8</v>
      </c>
      <c r="BG21" s="10">
        <v>39</v>
      </c>
      <c r="BH21" s="12">
        <v>258199.99999998001</v>
      </c>
      <c r="BI21" s="10">
        <f t="shared" si="14"/>
        <v>-7</v>
      </c>
      <c r="BJ21" s="12">
        <f t="shared" si="15"/>
        <v>-47552.380952379986</v>
      </c>
      <c r="BK21" s="11">
        <f t="shared" si="16"/>
        <v>-0.15552579117867682</v>
      </c>
      <c r="BM21" s="14"/>
      <c r="BN21" s="13" t="s">
        <v>8</v>
      </c>
      <c r="BP21" s="12"/>
      <c r="BQ21" s="10">
        <f t="shared" si="17"/>
        <v>-39</v>
      </c>
      <c r="BR21" s="12">
        <f t="shared" si="18"/>
        <v>-258199.99999998001</v>
      </c>
      <c r="BS21" s="11">
        <f t="shared" si="19"/>
        <v>-1</v>
      </c>
      <c r="BU21" s="14"/>
      <c r="BV21" s="13" t="s">
        <v>8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A22" s="10">
        <v>39</v>
      </c>
      <c r="AB22" s="12">
        <v>479142.85714278999</v>
      </c>
      <c r="AC22" s="10">
        <f t="shared" si="5"/>
        <v>15</v>
      </c>
      <c r="AD22" s="12">
        <f t="shared" si="5"/>
        <v>157047.61904760997</v>
      </c>
      <c r="AE22" s="11">
        <f t="shared" si="6"/>
        <v>0.48758131283270317</v>
      </c>
      <c r="AG22" s="14"/>
      <c r="AH22" s="13" t="s">
        <v>7</v>
      </c>
      <c r="AI22" s="13">
        <v>39</v>
      </c>
      <c r="AJ22" s="46">
        <v>498761.90476185002</v>
      </c>
      <c r="AK22" s="10">
        <f t="shared" si="7"/>
        <v>0</v>
      </c>
      <c r="AL22" s="12">
        <f t="shared" si="7"/>
        <v>19619.047619060031</v>
      </c>
      <c r="AM22" s="11">
        <f t="shared" si="8"/>
        <v>4.0946133969421428E-2</v>
      </c>
      <c r="AO22" s="14"/>
      <c r="AP22" s="13" t="s">
        <v>7</v>
      </c>
      <c r="AQ22" s="10">
        <v>48</v>
      </c>
      <c r="AR22" s="12">
        <v>592190.47619040008</v>
      </c>
      <c r="AS22" s="10">
        <f t="shared" si="9"/>
        <v>9</v>
      </c>
      <c r="AT22" s="12">
        <f t="shared" si="9"/>
        <v>93428.571428550058</v>
      </c>
      <c r="AU22" s="11">
        <f t="shared" si="10"/>
        <v>0.18732098529690344</v>
      </c>
      <c r="AW22" s="14"/>
      <c r="AX22" s="13" t="s">
        <v>7</v>
      </c>
      <c r="AY22" s="10">
        <v>22</v>
      </c>
      <c r="AZ22" s="12">
        <v>295047.61904756998</v>
      </c>
      <c r="BA22" s="10">
        <f t="shared" si="11"/>
        <v>-26</v>
      </c>
      <c r="BB22" s="12">
        <f t="shared" si="12"/>
        <v>-297142.85714283009</v>
      </c>
      <c r="BC22" s="11">
        <f t="shared" si="13"/>
        <v>-0.50176905757480172</v>
      </c>
      <c r="BE22" s="14"/>
      <c r="BF22" s="13" t="s">
        <v>7</v>
      </c>
      <c r="BG22" s="10">
        <v>13</v>
      </c>
      <c r="BH22" s="12">
        <v>152095.23809519003</v>
      </c>
      <c r="BI22" s="10">
        <f t="shared" si="14"/>
        <v>-9</v>
      </c>
      <c r="BJ22" s="12">
        <f t="shared" si="15"/>
        <v>-142952.38095237996</v>
      </c>
      <c r="BK22" s="11">
        <f t="shared" si="16"/>
        <v>-0.48450613298910239</v>
      </c>
      <c r="BM22" s="14"/>
      <c r="BN22" s="13" t="s">
        <v>7</v>
      </c>
      <c r="BP22" s="12"/>
      <c r="BQ22" s="10">
        <f t="shared" si="17"/>
        <v>-13</v>
      </c>
      <c r="BR22" s="12">
        <f t="shared" si="18"/>
        <v>-152095.23809519003</v>
      </c>
      <c r="BS22" s="11">
        <f t="shared" si="19"/>
        <v>-1</v>
      </c>
      <c r="BU22" s="14"/>
      <c r="BV22" s="13" t="s">
        <v>7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J23" s="46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Y23" s="10">
        <v>0</v>
      </c>
      <c r="AZ23" s="12">
        <v>0</v>
      </c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A24" s="10">
        <v>12</v>
      </c>
      <c r="AB24" s="12">
        <v>59080</v>
      </c>
      <c r="AC24" s="10">
        <f t="shared" si="5"/>
        <v>1</v>
      </c>
      <c r="AD24" s="12">
        <f t="shared" si="5"/>
        <v>-410</v>
      </c>
      <c r="AE24" s="11">
        <f t="shared" si="6"/>
        <v>-6.8919146074970586E-3</v>
      </c>
      <c r="AG24" s="14"/>
      <c r="AH24" s="13" t="s">
        <v>5</v>
      </c>
      <c r="AI24" s="13">
        <v>21</v>
      </c>
      <c r="AJ24" s="46">
        <v>121490</v>
      </c>
      <c r="AK24" s="10">
        <f t="shared" si="7"/>
        <v>9</v>
      </c>
      <c r="AL24" s="12">
        <f t="shared" si="7"/>
        <v>62410</v>
      </c>
      <c r="AM24" s="11">
        <f t="shared" si="8"/>
        <v>1.0563642518618821</v>
      </c>
      <c r="AO24" s="14"/>
      <c r="AP24" s="13" t="s">
        <v>5</v>
      </c>
      <c r="AQ24" s="10">
        <v>15</v>
      </c>
      <c r="AR24" s="12">
        <v>71260</v>
      </c>
      <c r="AS24" s="10">
        <f t="shared" si="9"/>
        <v>-6</v>
      </c>
      <c r="AT24" s="12">
        <f t="shared" si="9"/>
        <v>-50230</v>
      </c>
      <c r="AU24" s="11">
        <f t="shared" si="10"/>
        <v>-0.41344966663922955</v>
      </c>
      <c r="AW24" s="14"/>
      <c r="AX24" s="13" t="s">
        <v>5</v>
      </c>
      <c r="AY24" s="10">
        <v>21</v>
      </c>
      <c r="AZ24" s="12">
        <v>84960</v>
      </c>
      <c r="BA24" s="10">
        <f t="shared" si="11"/>
        <v>6</v>
      </c>
      <c r="BB24" s="12">
        <f t="shared" si="12"/>
        <v>13700</v>
      </c>
      <c r="BC24" s="11">
        <f t="shared" si="13"/>
        <v>0.19225371877631209</v>
      </c>
      <c r="BE24" s="14"/>
      <c r="BF24" s="13" t="s">
        <v>5</v>
      </c>
      <c r="BG24" s="10">
        <v>14</v>
      </c>
      <c r="BH24" s="12">
        <v>74580</v>
      </c>
      <c r="BI24" s="10">
        <f t="shared" si="14"/>
        <v>-7</v>
      </c>
      <c r="BJ24" s="12">
        <f t="shared" si="15"/>
        <v>-10380</v>
      </c>
      <c r="BK24" s="11">
        <f t="shared" si="16"/>
        <v>-0.12217514124293785</v>
      </c>
      <c r="BM24" s="14"/>
      <c r="BN24" s="13" t="s">
        <v>5</v>
      </c>
      <c r="BP24" s="12"/>
      <c r="BQ24" s="10">
        <f t="shared" si="17"/>
        <v>-14</v>
      </c>
      <c r="BR24" s="12">
        <f t="shared" si="18"/>
        <v>-74580</v>
      </c>
      <c r="BS24" s="11">
        <f t="shared" si="19"/>
        <v>-1</v>
      </c>
      <c r="BU24" s="14"/>
      <c r="BV24" s="13" t="s">
        <v>5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A25" s="10">
        <v>25</v>
      </c>
      <c r="AB25" s="12">
        <v>974552.38095230004</v>
      </c>
      <c r="AC25" s="10">
        <f t="shared" si="5"/>
        <v>21</v>
      </c>
      <c r="AD25" s="12">
        <f t="shared" si="5"/>
        <v>750261.90476184001</v>
      </c>
      <c r="AE25" s="11">
        <f t="shared" si="6"/>
        <v>3.3450457527440558</v>
      </c>
      <c r="AG25" s="14"/>
      <c r="AH25" s="13" t="s">
        <v>4</v>
      </c>
      <c r="AI25" s="13">
        <v>33</v>
      </c>
      <c r="AJ25" s="46">
        <v>1195909.5238094102</v>
      </c>
      <c r="AK25" s="10">
        <f t="shared" si="7"/>
        <v>8</v>
      </c>
      <c r="AL25" s="12">
        <f t="shared" si="7"/>
        <v>221357.14285711013</v>
      </c>
      <c r="AM25" s="11">
        <f t="shared" si="8"/>
        <v>0.22713724493783219</v>
      </c>
      <c r="AO25" s="14"/>
      <c r="AP25" s="13" t="s">
        <v>4</v>
      </c>
      <c r="AQ25" s="10">
        <v>11</v>
      </c>
      <c r="AR25" s="12">
        <v>432152.38095233002</v>
      </c>
      <c r="AS25" s="10">
        <f t="shared" si="9"/>
        <v>-22</v>
      </c>
      <c r="AT25" s="12">
        <f t="shared" si="9"/>
        <v>-763757.14285708009</v>
      </c>
      <c r="AU25" s="11">
        <f t="shared" si="10"/>
        <v>-0.63864124137437561</v>
      </c>
      <c r="AW25" s="14"/>
      <c r="AX25" s="13" t="s">
        <v>4</v>
      </c>
      <c r="AY25" s="10">
        <v>29</v>
      </c>
      <c r="AZ25" s="12">
        <v>923890.4761904201</v>
      </c>
      <c r="BA25" s="10">
        <f t="shared" si="11"/>
        <v>18</v>
      </c>
      <c r="BB25" s="12">
        <f t="shared" si="12"/>
        <v>491738.09523809009</v>
      </c>
      <c r="BC25" s="11">
        <f t="shared" si="13"/>
        <v>1.1378812588153548</v>
      </c>
      <c r="BE25" s="14"/>
      <c r="BF25" s="13" t="s">
        <v>4</v>
      </c>
      <c r="BG25" s="10">
        <v>17</v>
      </c>
      <c r="BH25" s="12">
        <v>685052.38095231005</v>
      </c>
      <c r="BI25" s="10">
        <f t="shared" si="14"/>
        <v>-12</v>
      </c>
      <c r="BJ25" s="12">
        <f t="shared" si="15"/>
        <v>-238838.09523811005</v>
      </c>
      <c r="BK25" s="11">
        <f t="shared" si="16"/>
        <v>-0.25851342923561416</v>
      </c>
      <c r="BM25" s="14"/>
      <c r="BN25" s="13" t="s">
        <v>4</v>
      </c>
      <c r="BP25" s="12"/>
      <c r="BQ25" s="10">
        <f t="shared" si="17"/>
        <v>-17</v>
      </c>
      <c r="BR25" s="12">
        <f t="shared" si="18"/>
        <v>-685052.38095231005</v>
      </c>
      <c r="BS25" s="11">
        <f t="shared" si="19"/>
        <v>-1</v>
      </c>
      <c r="BU25" s="14"/>
      <c r="BV25" s="13" t="s">
        <v>4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A26" s="10">
        <v>22</v>
      </c>
      <c r="AB26" s="12">
        <v>385999.99999995006</v>
      </c>
      <c r="AC26" s="10">
        <f t="shared" si="5"/>
        <v>-8</v>
      </c>
      <c r="AD26" s="12">
        <f t="shared" si="5"/>
        <v>-193999.99999997008</v>
      </c>
      <c r="AE26" s="11">
        <f t="shared" si="6"/>
        <v>-0.33448275862068411</v>
      </c>
      <c r="AG26" s="14"/>
      <c r="AH26" s="13" t="s">
        <v>3</v>
      </c>
      <c r="AI26" s="13">
        <v>40</v>
      </c>
      <c r="AJ26" s="46">
        <v>843333.33333324024</v>
      </c>
      <c r="AK26" s="10">
        <f t="shared" si="7"/>
        <v>18</v>
      </c>
      <c r="AL26" s="12">
        <f t="shared" si="7"/>
        <v>457333.33333329018</v>
      </c>
      <c r="AM26" s="11">
        <f t="shared" si="8"/>
        <v>1.1848013816926148</v>
      </c>
      <c r="AO26" s="14"/>
      <c r="AP26" s="13" t="s">
        <v>3</v>
      </c>
      <c r="AQ26" s="10">
        <v>34</v>
      </c>
      <c r="AR26" s="12">
        <v>635809.5238094501</v>
      </c>
      <c r="AS26" s="10">
        <f t="shared" si="9"/>
        <v>-6</v>
      </c>
      <c r="AT26" s="12">
        <f t="shared" si="9"/>
        <v>-207523.80952379014</v>
      </c>
      <c r="AU26" s="11">
        <f t="shared" si="10"/>
        <v>-0.24607566346697199</v>
      </c>
      <c r="AW26" s="14"/>
      <c r="AX26" s="13" t="s">
        <v>3</v>
      </c>
      <c r="AY26" s="10">
        <v>39</v>
      </c>
      <c r="AZ26" s="12">
        <v>694476.19047613</v>
      </c>
      <c r="BA26" s="10">
        <f t="shared" si="11"/>
        <v>5</v>
      </c>
      <c r="BB26" s="12">
        <f t="shared" si="12"/>
        <v>58666.666666679899</v>
      </c>
      <c r="BC26" s="11">
        <f t="shared" si="13"/>
        <v>9.2270820850840374E-2</v>
      </c>
      <c r="BE26" s="14"/>
      <c r="BF26" s="13" t="s">
        <v>3</v>
      </c>
      <c r="BG26" s="10">
        <v>22</v>
      </c>
      <c r="BH26" s="12">
        <v>387999.99999995006</v>
      </c>
      <c r="BI26" s="10">
        <f t="shared" si="14"/>
        <v>-17</v>
      </c>
      <c r="BJ26" s="12">
        <f t="shared" si="15"/>
        <v>-306476.19047617994</v>
      </c>
      <c r="BK26" s="11">
        <f t="shared" si="16"/>
        <v>-0.44130554031818015</v>
      </c>
      <c r="BM26" s="14"/>
      <c r="BN26" s="13" t="s">
        <v>3</v>
      </c>
      <c r="BP26" s="12"/>
      <c r="BQ26" s="10">
        <f t="shared" si="17"/>
        <v>-22</v>
      </c>
      <c r="BR26" s="12">
        <f t="shared" si="18"/>
        <v>-387999.99999995006</v>
      </c>
      <c r="BS26" s="11">
        <f t="shared" si="19"/>
        <v>-1</v>
      </c>
      <c r="BU26" s="14"/>
      <c r="BV26" s="13" t="s">
        <v>3</v>
      </c>
      <c r="BX26" s="12"/>
      <c r="BY26" s="10">
        <f t="shared" si="20"/>
        <v>0</v>
      </c>
      <c r="BZ26" s="12">
        <f t="shared" si="21"/>
        <v>0</v>
      </c>
      <c r="CA26" s="11" t="e">
        <f t="shared" si="22"/>
        <v>#DIV/0!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A27" s="10">
        <v>72</v>
      </c>
      <c r="AB27" s="12">
        <v>2358857.1428570701</v>
      </c>
      <c r="AC27" s="10">
        <f t="shared" si="5"/>
        <v>-11</v>
      </c>
      <c r="AD27" s="12">
        <f t="shared" si="5"/>
        <v>-791333.33333330043</v>
      </c>
      <c r="AE27" s="11">
        <f t="shared" si="6"/>
        <v>-0.25120174139129708</v>
      </c>
      <c r="AG27" s="14"/>
      <c r="AH27" s="13" t="s">
        <v>2</v>
      </c>
      <c r="AI27" s="13">
        <v>48</v>
      </c>
      <c r="AJ27" s="46">
        <v>1537333.3333332799</v>
      </c>
      <c r="AK27" s="10">
        <f t="shared" si="7"/>
        <v>-24</v>
      </c>
      <c r="AL27" s="12">
        <f t="shared" si="7"/>
        <v>-821523.80952379014</v>
      </c>
      <c r="AM27" s="11">
        <f t="shared" si="8"/>
        <v>-0.34827196382429193</v>
      </c>
      <c r="AO27" s="14"/>
      <c r="AP27" s="13" t="s">
        <v>2</v>
      </c>
      <c r="AQ27" s="10">
        <v>74</v>
      </c>
      <c r="AR27" s="12">
        <v>2682476.1904761102</v>
      </c>
      <c r="AS27" s="10">
        <f t="shared" si="9"/>
        <v>26</v>
      </c>
      <c r="AT27" s="12">
        <f t="shared" si="9"/>
        <v>1145142.8571428303</v>
      </c>
      <c r="AU27" s="11">
        <f t="shared" si="10"/>
        <v>0.74488910915624673</v>
      </c>
      <c r="AW27" s="14"/>
      <c r="AX27" s="13" t="s">
        <v>2</v>
      </c>
      <c r="AY27" s="10">
        <v>44</v>
      </c>
      <c r="AZ27" s="12">
        <v>1570095.2380951999</v>
      </c>
      <c r="BA27" s="10">
        <f t="shared" si="11"/>
        <v>-30</v>
      </c>
      <c r="BB27" s="12">
        <f t="shared" si="12"/>
        <v>-1112380.9523809103</v>
      </c>
      <c r="BC27" s="11">
        <f t="shared" si="13"/>
        <v>-0.41468437122771806</v>
      </c>
      <c r="BE27" s="14"/>
      <c r="BF27" s="13" t="s">
        <v>2</v>
      </c>
      <c r="BG27" s="10">
        <v>48</v>
      </c>
      <c r="BH27" s="12">
        <v>1667809.52380947</v>
      </c>
      <c r="BI27" s="10">
        <f t="shared" si="14"/>
        <v>4</v>
      </c>
      <c r="BJ27" s="12">
        <f t="shared" si="15"/>
        <v>97714.285714270081</v>
      </c>
      <c r="BK27" s="11">
        <f t="shared" si="16"/>
        <v>6.2234623316745168E-2</v>
      </c>
      <c r="BM27" s="14"/>
      <c r="BN27" s="13" t="s">
        <v>2</v>
      </c>
      <c r="BP27" s="12"/>
      <c r="BQ27" s="10">
        <f t="shared" si="17"/>
        <v>-48</v>
      </c>
      <c r="BR27" s="12">
        <f t="shared" si="18"/>
        <v>-1667809.52380947</v>
      </c>
      <c r="BS27" s="11">
        <f t="shared" si="19"/>
        <v>-1</v>
      </c>
      <c r="BU27" s="14"/>
      <c r="BV27" s="13" t="s">
        <v>2</v>
      </c>
      <c r="BX27" s="12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>
        <v>535</v>
      </c>
      <c r="AB28" s="7">
        <v>4884563.809522761</v>
      </c>
      <c r="AC28" s="27">
        <f t="shared" si="5"/>
        <v>25</v>
      </c>
      <c r="AD28" s="28">
        <f t="shared" si="5"/>
        <v>-120427.1428571092</v>
      </c>
      <c r="AE28" s="29">
        <f t="shared" si="6"/>
        <v>-2.4061410700422177E-2</v>
      </c>
      <c r="AG28" s="9" t="s">
        <v>13</v>
      </c>
      <c r="AH28" s="9"/>
      <c r="AI28" s="9">
        <v>565</v>
      </c>
      <c r="AJ28" s="47">
        <v>4791851.9047608003</v>
      </c>
      <c r="AK28" s="27">
        <f t="shared" si="7"/>
        <v>30</v>
      </c>
      <c r="AL28" s="28">
        <f t="shared" si="7"/>
        <v>-92711.90476196073</v>
      </c>
      <c r="AM28" s="29">
        <f t="shared" si="8"/>
        <v>-1.8980590361254591E-2</v>
      </c>
      <c r="AO28" s="9" t="s">
        <v>13</v>
      </c>
      <c r="AP28" s="9"/>
      <c r="AQ28" s="8">
        <v>555</v>
      </c>
      <c r="AR28" s="7">
        <v>5037490.4761894308</v>
      </c>
      <c r="AS28" s="27">
        <f t="shared" si="9"/>
        <v>-10</v>
      </c>
      <c r="AT28" s="28">
        <f t="shared" si="9"/>
        <v>245638.5714286305</v>
      </c>
      <c r="AU28" s="29">
        <f t="shared" si="10"/>
        <v>5.1261720168059383E-2</v>
      </c>
      <c r="AW28" s="9" t="s">
        <v>13</v>
      </c>
      <c r="AX28" s="9"/>
      <c r="AY28" s="8">
        <v>509</v>
      </c>
      <c r="AZ28" s="7">
        <v>4264428.57142758</v>
      </c>
      <c r="BA28" s="27">
        <f t="shared" si="11"/>
        <v>-46</v>
      </c>
      <c r="BB28" s="28">
        <f t="shared" si="12"/>
        <v>-773061.90476185083</v>
      </c>
      <c r="BC28" s="29">
        <f t="shared" si="13"/>
        <v>-0.15346171043218076</v>
      </c>
      <c r="BE28" s="9" t="s">
        <v>13</v>
      </c>
      <c r="BF28" s="9"/>
      <c r="BG28" s="8">
        <v>430</v>
      </c>
      <c r="BH28" s="7">
        <v>3514191.4285705499</v>
      </c>
      <c r="BI28" s="27">
        <f t="shared" si="14"/>
        <v>-79</v>
      </c>
      <c r="BJ28" s="28">
        <f t="shared" si="15"/>
        <v>-750237.14285703003</v>
      </c>
      <c r="BK28" s="29">
        <f t="shared" si="16"/>
        <v>-0.17592911460254032</v>
      </c>
      <c r="BM28" s="9" t="s">
        <v>13</v>
      </c>
      <c r="BN28" s="9"/>
      <c r="BO28" s="8"/>
      <c r="BP28" s="7"/>
      <c r="BQ28" s="27">
        <f t="shared" si="17"/>
        <v>-430</v>
      </c>
      <c r="BR28" s="28">
        <f t="shared" si="18"/>
        <v>-3514191.4285705499</v>
      </c>
      <c r="BS28" s="29">
        <f t="shared" si="19"/>
        <v>-1</v>
      </c>
      <c r="BU28" s="9" t="s">
        <v>13</v>
      </c>
      <c r="BV28" s="9"/>
      <c r="BW28" s="8"/>
      <c r="BX28" s="7"/>
      <c r="BY28" s="27">
        <f t="shared" si="20"/>
        <v>0</v>
      </c>
      <c r="BZ28" s="28">
        <f t="shared" si="21"/>
        <v>0</v>
      </c>
      <c r="CA28" s="29" t="e">
        <f t="shared" si="22"/>
        <v>#DIV/0!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2979</v>
      </c>
      <c r="AB29" s="35"/>
      <c r="AC29" s="10">
        <f t="shared" si="5"/>
        <v>81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4528</v>
      </c>
      <c r="AJ29" s="48"/>
      <c r="AK29" s="10">
        <f t="shared" si="7"/>
        <v>1549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3298</v>
      </c>
      <c r="AR29" s="35"/>
      <c r="AS29" s="10">
        <f t="shared" si="9"/>
        <v>-1230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3551</v>
      </c>
      <c r="AZ29" s="35"/>
      <c r="BA29" s="10">
        <f t="shared" si="11"/>
        <v>253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3581</v>
      </c>
      <c r="BH29" s="35"/>
      <c r="BI29" s="10">
        <f t="shared" si="14"/>
        <v>30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O29" s="1">
        <v>3127</v>
      </c>
      <c r="BP29" s="35"/>
      <c r="BQ29" s="10">
        <f t="shared" si="17"/>
        <v>-454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-3127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1</v>
      </c>
      <c r="T30" s="35"/>
      <c r="U30" s="10">
        <f t="shared" si="2"/>
        <v>-2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2</v>
      </c>
      <c r="AJ30" s="48"/>
      <c r="AK30" s="10">
        <f t="shared" si="7"/>
        <v>1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3</v>
      </c>
      <c r="AR30" s="35"/>
      <c r="AS30" s="10">
        <f t="shared" si="9"/>
        <v>1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2</v>
      </c>
      <c r="AZ30" s="35"/>
      <c r="BA30" s="10">
        <f t="shared" si="11"/>
        <v>-1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G30" s="1">
        <v>2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-2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A31" s="10">
        <v>97</v>
      </c>
      <c r="AB31" s="12">
        <v>92987.619047320011</v>
      </c>
      <c r="AC31" s="10">
        <f t="shared" si="5"/>
        <v>-40</v>
      </c>
      <c r="AD31" s="12">
        <f t="shared" si="5"/>
        <v>-32511.428571290002</v>
      </c>
      <c r="AE31" s="11">
        <f t="shared" si="6"/>
        <v>-0.25905717364558667</v>
      </c>
      <c r="AG31" s="14"/>
      <c r="AH31" s="13" t="s">
        <v>10</v>
      </c>
      <c r="AI31" s="13">
        <v>118</v>
      </c>
      <c r="AJ31" s="46">
        <v>124480.95238046</v>
      </c>
      <c r="AK31" s="10">
        <f t="shared" si="7"/>
        <v>21</v>
      </c>
      <c r="AL31" s="12">
        <f t="shared" si="7"/>
        <v>31493.333333139992</v>
      </c>
      <c r="AM31" s="11">
        <f t="shared" si="8"/>
        <v>0.33868308120797785</v>
      </c>
      <c r="AO31" s="14"/>
      <c r="AP31" s="13" t="s">
        <v>10</v>
      </c>
      <c r="AQ31" s="10">
        <v>85</v>
      </c>
      <c r="AR31" s="12">
        <v>74525.714285370021</v>
      </c>
      <c r="AS31" s="10">
        <f t="shared" si="9"/>
        <v>-33</v>
      </c>
      <c r="AT31" s="12">
        <f t="shared" si="9"/>
        <v>-49955.238095089982</v>
      </c>
      <c r="AU31" s="11">
        <f t="shared" si="10"/>
        <v>-0.40130828966031873</v>
      </c>
      <c r="AW31" s="14"/>
      <c r="AX31" s="13" t="s">
        <v>10</v>
      </c>
      <c r="AY31" s="10">
        <v>96</v>
      </c>
      <c r="AZ31" s="12">
        <v>96162.857142399967</v>
      </c>
      <c r="BA31" s="10">
        <f t="shared" si="11"/>
        <v>11</v>
      </c>
      <c r="BB31" s="12">
        <f t="shared" si="12"/>
        <v>21637.142857029947</v>
      </c>
      <c r="BC31" s="11">
        <f t="shared" si="13"/>
        <v>0.29033123754008067</v>
      </c>
      <c r="BE31" s="14"/>
      <c r="BF31" s="13" t="s">
        <v>10</v>
      </c>
      <c r="BG31" s="10">
        <v>104</v>
      </c>
      <c r="BH31" s="12">
        <v>104592.38095199002</v>
      </c>
      <c r="BI31" s="10">
        <f t="shared" si="14"/>
        <v>8</v>
      </c>
      <c r="BJ31" s="12">
        <f t="shared" si="15"/>
        <v>8429.5238095900568</v>
      </c>
      <c r="BK31" s="11">
        <f t="shared" si="16"/>
        <v>8.7658832735257042E-2</v>
      </c>
      <c r="BM31" s="14"/>
      <c r="BN31" s="13" t="s">
        <v>10</v>
      </c>
      <c r="BP31" s="12"/>
      <c r="BQ31" s="10">
        <f t="shared" si="17"/>
        <v>-104</v>
      </c>
      <c r="BR31" s="12">
        <f t="shared" si="18"/>
        <v>-104592.38095199002</v>
      </c>
      <c r="BS31" s="11">
        <f t="shared" si="19"/>
        <v>-1</v>
      </c>
      <c r="BU31" s="14"/>
      <c r="BV31" s="13" t="s">
        <v>10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A32" s="10">
        <v>45</v>
      </c>
      <c r="AB32" s="12">
        <v>37430.476190390007</v>
      </c>
      <c r="AC32" s="10">
        <f t="shared" si="5"/>
        <v>-15</v>
      </c>
      <c r="AD32" s="12">
        <f t="shared" si="5"/>
        <v>-38379.047619039979</v>
      </c>
      <c r="AE32" s="11">
        <f t="shared" si="6"/>
        <v>-0.50625628140756096</v>
      </c>
      <c r="AG32" s="14"/>
      <c r="AH32" s="13" t="s">
        <v>9</v>
      </c>
      <c r="AI32" s="13">
        <v>80</v>
      </c>
      <c r="AJ32" s="46">
        <v>85572.38095224998</v>
      </c>
      <c r="AK32" s="10">
        <f t="shared" si="7"/>
        <v>35</v>
      </c>
      <c r="AL32" s="12">
        <f t="shared" si="7"/>
        <v>48141.904761859972</v>
      </c>
      <c r="AM32" s="11">
        <f t="shared" si="8"/>
        <v>1.2861686428189243</v>
      </c>
      <c r="AO32" s="14"/>
      <c r="AP32" s="13" t="s">
        <v>9</v>
      </c>
      <c r="AQ32" s="10">
        <v>67</v>
      </c>
      <c r="AR32" s="12">
        <v>65083.80952372001</v>
      </c>
      <c r="AS32" s="10">
        <f t="shared" si="9"/>
        <v>-13</v>
      </c>
      <c r="AT32" s="12">
        <f t="shared" si="9"/>
        <v>-20488.571428529969</v>
      </c>
      <c r="AU32" s="11">
        <f t="shared" si="10"/>
        <v>-0.2394297225405326</v>
      </c>
      <c r="AW32" s="14"/>
      <c r="AX32" s="13" t="s">
        <v>9</v>
      </c>
      <c r="AY32" s="10">
        <v>73</v>
      </c>
      <c r="AZ32" s="12">
        <v>68838.09523803</v>
      </c>
      <c r="BA32" s="10">
        <f t="shared" si="11"/>
        <v>6</v>
      </c>
      <c r="BB32" s="12">
        <f t="shared" si="12"/>
        <v>3754.28571430999</v>
      </c>
      <c r="BC32" s="11">
        <f t="shared" si="13"/>
        <v>5.7683865492565059E-2</v>
      </c>
      <c r="BE32" s="14"/>
      <c r="BF32" s="13" t="s">
        <v>9</v>
      </c>
      <c r="BG32" s="10">
        <v>61</v>
      </c>
      <c r="BH32" s="12">
        <v>63001.904761810008</v>
      </c>
      <c r="BI32" s="10">
        <f t="shared" si="14"/>
        <v>-12</v>
      </c>
      <c r="BJ32" s="12">
        <f t="shared" si="15"/>
        <v>-5836.190476219992</v>
      </c>
      <c r="BK32" s="11">
        <f t="shared" si="16"/>
        <v>-8.4781405645224114E-2</v>
      </c>
      <c r="BM32" s="14"/>
      <c r="BN32" s="13" t="s">
        <v>9</v>
      </c>
      <c r="BP32" s="12"/>
      <c r="BQ32" s="10">
        <f t="shared" si="17"/>
        <v>-61</v>
      </c>
      <c r="BR32" s="12">
        <f t="shared" si="18"/>
        <v>-63001.904761810008</v>
      </c>
      <c r="BS32" s="11">
        <f t="shared" si="19"/>
        <v>-1</v>
      </c>
      <c r="BU32" s="14"/>
      <c r="BV32" s="13" t="s">
        <v>9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A33" s="10">
        <v>12</v>
      </c>
      <c r="AB33" s="12">
        <v>74076.190476179996</v>
      </c>
      <c r="AC33" s="10">
        <f t="shared" si="5"/>
        <v>-2</v>
      </c>
      <c r="AD33" s="12">
        <f t="shared" si="5"/>
        <v>-12076.190476190008</v>
      </c>
      <c r="AE33" s="11">
        <f t="shared" si="6"/>
        <v>-0.14017245191245986</v>
      </c>
      <c r="AG33" s="14"/>
      <c r="AH33" s="13" t="s">
        <v>8</v>
      </c>
      <c r="AI33" s="13">
        <v>29</v>
      </c>
      <c r="AJ33" s="46">
        <v>194009.52380950999</v>
      </c>
      <c r="AK33" s="10">
        <f t="shared" si="7"/>
        <v>17</v>
      </c>
      <c r="AL33" s="12">
        <f t="shared" si="7"/>
        <v>119933.33333333</v>
      </c>
      <c r="AM33" s="11">
        <f t="shared" si="8"/>
        <v>1.6190537413218606</v>
      </c>
      <c r="AO33" s="14"/>
      <c r="AP33" s="13" t="s">
        <v>8</v>
      </c>
      <c r="AQ33" s="10">
        <v>13</v>
      </c>
      <c r="AR33" s="12">
        <v>79495.238095229986</v>
      </c>
      <c r="AS33" s="10">
        <f t="shared" si="9"/>
        <v>-16</v>
      </c>
      <c r="AT33" s="12">
        <f t="shared" si="9"/>
        <v>-114514.28571428001</v>
      </c>
      <c r="AU33" s="11">
        <f t="shared" si="10"/>
        <v>-0.59025084679202089</v>
      </c>
      <c r="AW33" s="14"/>
      <c r="AX33" s="13" t="s">
        <v>8</v>
      </c>
      <c r="AY33" s="10">
        <v>16</v>
      </c>
      <c r="AZ33" s="12">
        <v>99847.619047610002</v>
      </c>
      <c r="BA33" s="10">
        <f t="shared" si="11"/>
        <v>3</v>
      </c>
      <c r="BB33" s="12">
        <f t="shared" si="12"/>
        <v>20352.380952380016</v>
      </c>
      <c r="BC33" s="11">
        <f t="shared" si="13"/>
        <v>0.25602012699174787</v>
      </c>
      <c r="BE33" s="14"/>
      <c r="BF33" s="13" t="s">
        <v>8</v>
      </c>
      <c r="BG33" s="10">
        <v>19</v>
      </c>
      <c r="BH33" s="12">
        <v>119819.04761903</v>
      </c>
      <c r="BI33" s="10">
        <f t="shared" si="14"/>
        <v>3</v>
      </c>
      <c r="BJ33" s="12">
        <f t="shared" si="15"/>
        <v>19971.428571419994</v>
      </c>
      <c r="BK33" s="11">
        <f t="shared" si="16"/>
        <v>0.20001907668821914</v>
      </c>
      <c r="BM33" s="14"/>
      <c r="BN33" s="13" t="s">
        <v>8</v>
      </c>
      <c r="BP33" s="12"/>
      <c r="BQ33" s="10">
        <f t="shared" si="17"/>
        <v>-19</v>
      </c>
      <c r="BR33" s="12">
        <f t="shared" si="18"/>
        <v>-119819.04761903</v>
      </c>
      <c r="BS33" s="11">
        <f t="shared" si="19"/>
        <v>-1</v>
      </c>
      <c r="BU33" s="14"/>
      <c r="BV33" s="13" t="s">
        <v>8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A34" s="10">
        <v>12</v>
      </c>
      <c r="AB34" s="12">
        <v>142666.66666663002</v>
      </c>
      <c r="AC34" s="10">
        <f t="shared" si="5"/>
        <v>-4</v>
      </c>
      <c r="AD34" s="12">
        <f t="shared" si="5"/>
        <v>-45809.523809520004</v>
      </c>
      <c r="AE34" s="11">
        <f t="shared" si="6"/>
        <v>-0.24305204648815729</v>
      </c>
      <c r="AG34" s="14"/>
      <c r="AH34" s="13" t="s">
        <v>7</v>
      </c>
      <c r="AI34" s="13">
        <v>18</v>
      </c>
      <c r="AJ34" s="46">
        <v>190666.66666663002</v>
      </c>
      <c r="AK34" s="10">
        <f t="shared" si="7"/>
        <v>6</v>
      </c>
      <c r="AL34" s="12">
        <f t="shared" si="7"/>
        <v>48000</v>
      </c>
      <c r="AM34" s="11">
        <f t="shared" si="8"/>
        <v>0.33644859813092753</v>
      </c>
      <c r="AO34" s="14"/>
      <c r="AP34" s="13" t="s">
        <v>7</v>
      </c>
      <c r="AQ34" s="10">
        <v>17</v>
      </c>
      <c r="AR34" s="12">
        <v>251714.28571425998</v>
      </c>
      <c r="AS34" s="10">
        <f t="shared" si="9"/>
        <v>-1</v>
      </c>
      <c r="AT34" s="12">
        <f t="shared" si="9"/>
        <v>61047.619047629967</v>
      </c>
      <c r="AU34" s="11">
        <f t="shared" si="10"/>
        <v>0.32017982017993901</v>
      </c>
      <c r="AW34" s="14"/>
      <c r="AX34" s="13" t="s">
        <v>7</v>
      </c>
      <c r="AY34" s="10">
        <v>16</v>
      </c>
      <c r="AZ34" s="12">
        <v>192761.90476186998</v>
      </c>
      <c r="BA34" s="10">
        <f t="shared" si="11"/>
        <v>-1</v>
      </c>
      <c r="BB34" s="12">
        <f t="shared" si="12"/>
        <v>-58952.380952389998</v>
      </c>
      <c r="BC34" s="11">
        <f t="shared" si="13"/>
        <v>-0.2342035565645699</v>
      </c>
      <c r="BE34" s="14"/>
      <c r="BF34" s="13" t="s">
        <v>7</v>
      </c>
      <c r="BG34" s="10">
        <v>14</v>
      </c>
      <c r="BH34" s="12">
        <v>163904.76190471998</v>
      </c>
      <c r="BI34" s="10">
        <f t="shared" si="14"/>
        <v>-2</v>
      </c>
      <c r="BJ34" s="12">
        <f t="shared" si="15"/>
        <v>-28857.14285715</v>
      </c>
      <c r="BK34" s="11">
        <f t="shared" si="16"/>
        <v>-0.14970355731231702</v>
      </c>
      <c r="BM34" s="14"/>
      <c r="BN34" s="13" t="s">
        <v>7</v>
      </c>
      <c r="BP34" s="12"/>
      <c r="BQ34" s="10">
        <f t="shared" si="17"/>
        <v>-14</v>
      </c>
      <c r="BR34" s="12">
        <f t="shared" si="18"/>
        <v>-163904.76190471998</v>
      </c>
      <c r="BS34" s="11">
        <f t="shared" si="19"/>
        <v>-1</v>
      </c>
      <c r="BU34" s="14"/>
      <c r="BV34" s="13" t="s">
        <v>7</v>
      </c>
      <c r="BX34" s="12"/>
      <c r="BY34" s="10">
        <f t="shared" si="20"/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>
        <v>2</v>
      </c>
      <c r="AJ35" s="46">
        <v>11714.285714279999</v>
      </c>
      <c r="AK35" s="10">
        <f t="shared" si="7"/>
        <v>2</v>
      </c>
      <c r="AL35" s="12">
        <f t="shared" si="7"/>
        <v>11714.285714279999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-2</v>
      </c>
      <c r="AT35" s="12">
        <f t="shared" si="9"/>
        <v>-11714.285714279999</v>
      </c>
      <c r="AU35" s="11">
        <f t="shared" si="10"/>
        <v>-1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A36" s="10">
        <v>1</v>
      </c>
      <c r="AB36" s="12">
        <v>2857.1428571400002</v>
      </c>
      <c r="AC36" s="10">
        <f t="shared" si="5"/>
        <v>-4</v>
      </c>
      <c r="AD36" s="12">
        <f t="shared" si="5"/>
        <v>-7492.8571428599998</v>
      </c>
      <c r="AE36" s="11">
        <f t="shared" si="6"/>
        <v>-0.72394755003478262</v>
      </c>
      <c r="AG36" s="14"/>
      <c r="AH36" s="13" t="s">
        <v>5</v>
      </c>
      <c r="AI36" s="13">
        <v>8</v>
      </c>
      <c r="AJ36" s="46">
        <v>33320</v>
      </c>
      <c r="AK36" s="10">
        <f t="shared" si="7"/>
        <v>7</v>
      </c>
      <c r="AL36" s="12">
        <f t="shared" si="7"/>
        <v>30462.857142860001</v>
      </c>
      <c r="AM36" s="11">
        <f t="shared" si="8"/>
        <v>10.662000000011661</v>
      </c>
      <c r="AO36" s="14"/>
      <c r="AP36" s="13" t="s">
        <v>5</v>
      </c>
      <c r="AQ36" s="10">
        <v>5</v>
      </c>
      <c r="AR36" s="12">
        <v>17950</v>
      </c>
      <c r="AS36" s="10">
        <f t="shared" si="9"/>
        <v>-3</v>
      </c>
      <c r="AT36" s="12">
        <f t="shared" si="9"/>
        <v>-15370</v>
      </c>
      <c r="AU36" s="11">
        <f t="shared" si="10"/>
        <v>-0.46128451380552221</v>
      </c>
      <c r="AW36" s="14"/>
      <c r="AX36" s="13" t="s">
        <v>5</v>
      </c>
      <c r="AY36" s="10">
        <v>3</v>
      </c>
      <c r="AZ36" s="12">
        <v>6470</v>
      </c>
      <c r="BA36" s="10">
        <f t="shared" si="11"/>
        <v>-2</v>
      </c>
      <c r="BB36" s="12">
        <f t="shared" si="12"/>
        <v>-11480</v>
      </c>
      <c r="BC36" s="11">
        <f t="shared" si="13"/>
        <v>-0.63955431754874648</v>
      </c>
      <c r="BE36" s="14"/>
      <c r="BF36" s="13" t="s">
        <v>5</v>
      </c>
      <c r="BG36" s="10">
        <v>7</v>
      </c>
      <c r="BH36" s="12">
        <v>34530</v>
      </c>
      <c r="BI36" s="10">
        <f t="shared" si="14"/>
        <v>4</v>
      </c>
      <c r="BJ36" s="12">
        <f t="shared" si="15"/>
        <v>28060</v>
      </c>
      <c r="BK36" s="11">
        <f t="shared" si="16"/>
        <v>4.3369397217928904</v>
      </c>
      <c r="BM36" s="14"/>
      <c r="BN36" s="13" t="s">
        <v>5</v>
      </c>
      <c r="BP36" s="12"/>
      <c r="BQ36" s="10">
        <f t="shared" si="17"/>
        <v>-7</v>
      </c>
      <c r="BR36" s="12">
        <f t="shared" si="18"/>
        <v>-34530</v>
      </c>
      <c r="BS36" s="11">
        <f t="shared" si="19"/>
        <v>-1</v>
      </c>
      <c r="BU36" s="14"/>
      <c r="BV36" s="13" t="s">
        <v>5</v>
      </c>
      <c r="BX36" s="12"/>
      <c r="BY36" s="10">
        <f t="shared" si="20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A37" s="10">
        <v>5</v>
      </c>
      <c r="AB37" s="12">
        <v>19650</v>
      </c>
      <c r="AC37" s="10">
        <f t="shared" si="5"/>
        <v>4</v>
      </c>
      <c r="AD37" s="12">
        <f t="shared" si="5"/>
        <v>-27873.809523800002</v>
      </c>
      <c r="AE37" s="11">
        <f t="shared" si="6"/>
        <v>-0.58652304609210149</v>
      </c>
      <c r="AG37" s="14"/>
      <c r="AH37" s="13" t="s">
        <v>4</v>
      </c>
      <c r="AI37" s="13">
        <v>10</v>
      </c>
      <c r="AJ37" s="46">
        <v>369458.09523806005</v>
      </c>
      <c r="AK37" s="10">
        <f t="shared" si="7"/>
        <v>5</v>
      </c>
      <c r="AL37" s="12">
        <f t="shared" si="7"/>
        <v>349808.09523806005</v>
      </c>
      <c r="AM37" s="11">
        <f t="shared" si="8"/>
        <v>17.801938688959797</v>
      </c>
      <c r="AO37" s="14"/>
      <c r="AP37" s="13" t="s">
        <v>4</v>
      </c>
      <c r="AQ37" s="10">
        <v>2</v>
      </c>
      <c r="AR37" s="12">
        <v>66476.190476179996</v>
      </c>
      <c r="AS37" s="10">
        <f t="shared" si="9"/>
        <v>-8</v>
      </c>
      <c r="AT37" s="12">
        <f t="shared" si="9"/>
        <v>-302981.90476188005</v>
      </c>
      <c r="AU37" s="11">
        <f t="shared" si="10"/>
        <v>-0.82007109511744192</v>
      </c>
      <c r="AW37" s="14"/>
      <c r="AX37" s="13" t="s">
        <v>4</v>
      </c>
      <c r="AY37" s="10">
        <v>2</v>
      </c>
      <c r="AZ37" s="12">
        <v>55999.999999990003</v>
      </c>
      <c r="BA37" s="10">
        <f t="shared" si="11"/>
        <v>0</v>
      </c>
      <c r="BB37" s="12">
        <f t="shared" si="12"/>
        <v>-10476.190476189993</v>
      </c>
      <c r="BC37" s="11">
        <f t="shared" si="13"/>
        <v>-0.15759312320918664</v>
      </c>
      <c r="BE37" s="14"/>
      <c r="BF37" s="13" t="s">
        <v>4</v>
      </c>
      <c r="BG37" s="10">
        <v>4</v>
      </c>
      <c r="BH37" s="12">
        <v>110559.04761903</v>
      </c>
      <c r="BI37" s="10">
        <f t="shared" si="14"/>
        <v>2</v>
      </c>
      <c r="BJ37" s="12">
        <f t="shared" si="15"/>
        <v>54559.047619039993</v>
      </c>
      <c r="BK37" s="11">
        <f t="shared" si="16"/>
        <v>0.97426870748303096</v>
      </c>
      <c r="BM37" s="14"/>
      <c r="BN37" s="13" t="s">
        <v>4</v>
      </c>
      <c r="BP37" s="12"/>
      <c r="BQ37" s="10">
        <f t="shared" si="17"/>
        <v>-4</v>
      </c>
      <c r="BR37" s="12">
        <f t="shared" si="18"/>
        <v>-110559.04761903</v>
      </c>
      <c r="BS37" s="11">
        <f t="shared" si="19"/>
        <v>-1</v>
      </c>
      <c r="BU37" s="14"/>
      <c r="BV37" s="13" t="s">
        <v>4</v>
      </c>
      <c r="BX37" s="12"/>
      <c r="BY37" s="10">
        <f t="shared" ref="BY37:BY65" si="32">BW37-BO37</f>
        <v>0</v>
      </c>
      <c r="BZ37" s="12">
        <f t="shared" si="21"/>
        <v>0</v>
      </c>
      <c r="CA37" s="11" t="e">
        <f t="shared" si="22"/>
        <v>#DIV/0!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A38" s="10">
        <v>11</v>
      </c>
      <c r="AB38" s="12">
        <v>154952.38095235999</v>
      </c>
      <c r="AC38" s="10">
        <f t="shared" si="5"/>
        <v>2</v>
      </c>
      <c r="AD38" s="12">
        <f t="shared" si="5"/>
        <v>-23714.285714269994</v>
      </c>
      <c r="AE38" s="11">
        <f t="shared" si="6"/>
        <v>-0.1327292110873593</v>
      </c>
      <c r="AG38" s="14"/>
      <c r="AH38" s="13" t="s">
        <v>3</v>
      </c>
      <c r="AI38" s="13">
        <v>20</v>
      </c>
      <c r="AJ38" s="46">
        <v>379999.99999995995</v>
      </c>
      <c r="AK38" s="10">
        <f t="shared" si="7"/>
        <v>9</v>
      </c>
      <c r="AL38" s="12">
        <f t="shared" si="7"/>
        <v>225047.61904759996</v>
      </c>
      <c r="AM38" s="11">
        <f t="shared" si="8"/>
        <v>1.4523663183774549</v>
      </c>
      <c r="AO38" s="14"/>
      <c r="AP38" s="13" t="s">
        <v>3</v>
      </c>
      <c r="AQ38" s="10">
        <v>14</v>
      </c>
      <c r="AR38" s="12">
        <v>245809.52380949</v>
      </c>
      <c r="AS38" s="10">
        <f t="shared" si="9"/>
        <v>-6</v>
      </c>
      <c r="AT38" s="12">
        <f t="shared" si="9"/>
        <v>-134190.47619046996</v>
      </c>
      <c r="AU38" s="11">
        <f t="shared" si="10"/>
        <v>-0.35313283208022128</v>
      </c>
      <c r="AW38" s="14"/>
      <c r="AX38" s="13" t="s">
        <v>3</v>
      </c>
      <c r="AY38" s="10">
        <v>19</v>
      </c>
      <c r="AZ38" s="12">
        <v>305333.33333328</v>
      </c>
      <c r="BA38" s="10">
        <f t="shared" si="11"/>
        <v>5</v>
      </c>
      <c r="BB38" s="12">
        <f t="shared" si="12"/>
        <v>59523.809523789998</v>
      </c>
      <c r="BC38" s="11">
        <f t="shared" si="13"/>
        <v>0.24215420379693178</v>
      </c>
      <c r="BE38" s="14"/>
      <c r="BF38" s="13" t="s">
        <v>3</v>
      </c>
      <c r="BG38" s="10">
        <v>12</v>
      </c>
      <c r="BH38" s="12">
        <v>210285.71428568001</v>
      </c>
      <c r="BI38" s="10">
        <f t="shared" si="14"/>
        <v>-7</v>
      </c>
      <c r="BJ38" s="12">
        <f t="shared" si="15"/>
        <v>-95047.61904759999</v>
      </c>
      <c r="BK38" s="11">
        <f t="shared" si="16"/>
        <v>-0.31129132875856963</v>
      </c>
      <c r="BM38" s="14"/>
      <c r="BN38" s="13" t="s">
        <v>3</v>
      </c>
      <c r="BP38" s="12"/>
      <c r="BQ38" s="10">
        <f t="shared" si="17"/>
        <v>-12</v>
      </c>
      <c r="BR38" s="12">
        <f t="shared" si="18"/>
        <v>-210285.71428568001</v>
      </c>
      <c r="BS38" s="11">
        <f t="shared" si="19"/>
        <v>-1</v>
      </c>
      <c r="BU38" s="14"/>
      <c r="BV38" s="13" t="s">
        <v>3</v>
      </c>
      <c r="BX38" s="12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A39" s="10">
        <v>6</v>
      </c>
      <c r="AB39" s="12">
        <v>236571.42857142002</v>
      </c>
      <c r="AC39" s="10">
        <f t="shared" si="5"/>
        <v>-11</v>
      </c>
      <c r="AD39" s="12">
        <f t="shared" si="5"/>
        <v>-324666.66666664998</v>
      </c>
      <c r="AE39" s="11">
        <f t="shared" si="6"/>
        <v>-0.57848294586797522</v>
      </c>
      <c r="AG39" s="14"/>
      <c r="AH39" s="13" t="s">
        <v>2</v>
      </c>
      <c r="AI39" s="13">
        <v>18</v>
      </c>
      <c r="AJ39" s="46">
        <v>651619.04761901998</v>
      </c>
      <c r="AK39" s="10">
        <f t="shared" si="7"/>
        <v>12</v>
      </c>
      <c r="AL39" s="12">
        <f t="shared" si="7"/>
        <v>415047.61904759996</v>
      </c>
      <c r="AM39" s="11">
        <f t="shared" si="8"/>
        <v>1.7544283413848458</v>
      </c>
      <c r="AO39" s="14"/>
      <c r="AP39" s="13" t="s">
        <v>2</v>
      </c>
      <c r="AQ39" s="10">
        <v>12</v>
      </c>
      <c r="AR39" s="12">
        <v>393142.85714282992</v>
      </c>
      <c r="AS39" s="10">
        <f t="shared" si="9"/>
        <v>-6</v>
      </c>
      <c r="AT39" s="12">
        <f t="shared" si="9"/>
        <v>-258476.19047619007</v>
      </c>
      <c r="AU39" s="11">
        <f t="shared" si="10"/>
        <v>-0.39666764104064761</v>
      </c>
      <c r="AW39" s="14"/>
      <c r="AX39" s="13" t="s">
        <v>2</v>
      </c>
      <c r="AY39" s="10">
        <v>15</v>
      </c>
      <c r="AZ39" s="12">
        <v>517619.04761902994</v>
      </c>
      <c r="BA39" s="10">
        <f t="shared" si="11"/>
        <v>3</v>
      </c>
      <c r="BB39" s="12">
        <f t="shared" si="12"/>
        <v>124476.19047620002</v>
      </c>
      <c r="BC39" s="11">
        <f t="shared" si="13"/>
        <v>0.31661821705430976</v>
      </c>
      <c r="BE39" s="14"/>
      <c r="BF39" s="13" t="s">
        <v>2</v>
      </c>
      <c r="BG39" s="10">
        <v>16</v>
      </c>
      <c r="BH39" s="12">
        <v>520380.95238091995</v>
      </c>
      <c r="BI39" s="10">
        <f t="shared" si="14"/>
        <v>1</v>
      </c>
      <c r="BJ39" s="12">
        <f t="shared" si="15"/>
        <v>2761.9047618900076</v>
      </c>
      <c r="BK39" s="11">
        <f t="shared" si="16"/>
        <v>5.3357865685089365E-3</v>
      </c>
      <c r="BM39" s="14"/>
      <c r="BN39" s="13" t="s">
        <v>2</v>
      </c>
      <c r="BP39" s="12"/>
      <c r="BQ39" s="10">
        <f t="shared" si="17"/>
        <v>-16</v>
      </c>
      <c r="BR39" s="12">
        <f t="shared" si="18"/>
        <v>-520380.95238091995</v>
      </c>
      <c r="BS39" s="11">
        <f t="shared" si="19"/>
        <v>-1</v>
      </c>
      <c r="BU39" s="14"/>
      <c r="BV39" s="13" t="s">
        <v>2</v>
      </c>
      <c r="BX39" s="12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>
        <v>189</v>
      </c>
      <c r="AB40" s="7">
        <v>761191.90476144012</v>
      </c>
      <c r="AC40" s="27">
        <f t="shared" si="5"/>
        <v>-70</v>
      </c>
      <c r="AD40" s="28">
        <f t="shared" si="5"/>
        <v>-512523.80952361971</v>
      </c>
      <c r="AE40" s="29">
        <f t="shared" si="6"/>
        <v>-0.40238477375722786</v>
      </c>
      <c r="AG40" s="9" t="s">
        <v>12</v>
      </c>
      <c r="AH40" s="9"/>
      <c r="AI40" s="9">
        <v>303</v>
      </c>
      <c r="AJ40" s="47">
        <v>2040840.9523801701</v>
      </c>
      <c r="AK40" s="27">
        <f t="shared" si="7"/>
        <v>114</v>
      </c>
      <c r="AL40" s="28">
        <f t="shared" si="7"/>
        <v>1279649.04761873</v>
      </c>
      <c r="AM40" s="29">
        <f t="shared" si="8"/>
        <v>1.6811122656641704</v>
      </c>
      <c r="AO40" s="9" t="s">
        <v>12</v>
      </c>
      <c r="AP40" s="9"/>
      <c r="AQ40" s="8">
        <v>215</v>
      </c>
      <c r="AR40" s="7">
        <v>1194197.6190470799</v>
      </c>
      <c r="AS40" s="27">
        <f t="shared" si="9"/>
        <v>-88</v>
      </c>
      <c r="AT40" s="28">
        <f t="shared" si="9"/>
        <v>-846643.33333309018</v>
      </c>
      <c r="AU40" s="29">
        <f t="shared" si="10"/>
        <v>-0.41485022747396166</v>
      </c>
      <c r="AW40" s="9" t="s">
        <v>12</v>
      </c>
      <c r="AX40" s="9"/>
      <c r="AY40" s="8">
        <v>240</v>
      </c>
      <c r="AZ40" s="7">
        <v>1343032.8571422098</v>
      </c>
      <c r="BA40" s="27">
        <f t="shared" si="11"/>
        <v>25</v>
      </c>
      <c r="BB40" s="28">
        <f t="shared" si="12"/>
        <v>148835.23809512984</v>
      </c>
      <c r="BC40" s="29">
        <f t="shared" si="13"/>
        <v>0.12463200036681883</v>
      </c>
      <c r="BE40" s="9" t="s">
        <v>12</v>
      </c>
      <c r="BF40" s="9"/>
      <c r="BG40" s="8">
        <v>237</v>
      </c>
      <c r="BH40" s="7">
        <v>1327073.8095231799</v>
      </c>
      <c r="BI40" s="27">
        <f t="shared" si="14"/>
        <v>-3</v>
      </c>
      <c r="BJ40" s="28">
        <f t="shared" si="15"/>
        <v>-15959.04761902988</v>
      </c>
      <c r="BK40" s="29">
        <f t="shared" si="16"/>
        <v>-1.1882842280559353E-2</v>
      </c>
      <c r="BM40" s="9" t="s">
        <v>12</v>
      </c>
      <c r="BN40" s="9"/>
      <c r="BO40" s="8"/>
      <c r="BP40" s="7"/>
      <c r="BQ40" s="27">
        <f t="shared" si="17"/>
        <v>-237</v>
      </c>
      <c r="BR40" s="28">
        <f t="shared" si="18"/>
        <v>-1327073.8095231799</v>
      </c>
      <c r="BS40" s="29">
        <f t="shared" si="19"/>
        <v>-1</v>
      </c>
      <c r="BU40" s="9" t="s">
        <v>12</v>
      </c>
      <c r="BV40" s="9"/>
      <c r="BW40" s="8"/>
      <c r="BX40" s="7"/>
      <c r="BY40" s="27">
        <f t="shared" si="32"/>
        <v>0</v>
      </c>
      <c r="BZ40" s="28">
        <f t="shared" si="21"/>
        <v>0</v>
      </c>
      <c r="CA40" s="29" t="e">
        <f t="shared" si="22"/>
        <v>#DIV/0!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1019</v>
      </c>
      <c r="AB41" s="35"/>
      <c r="AC41" s="10">
        <f t="shared" si="5"/>
        <v>-30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1393</v>
      </c>
      <c r="AJ41" s="48"/>
      <c r="AK41" s="10">
        <f t="shared" si="7"/>
        <v>374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1188</v>
      </c>
      <c r="AR41" s="35"/>
      <c r="AS41" s="10">
        <f t="shared" si="9"/>
        <v>-205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1295</v>
      </c>
      <c r="AZ41" s="35"/>
      <c r="BA41" s="10">
        <f t="shared" si="11"/>
        <v>107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1157</v>
      </c>
      <c r="BH41" s="35"/>
      <c r="BI41" s="10">
        <f t="shared" si="14"/>
        <v>-138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O41" s="1">
        <v>1340</v>
      </c>
      <c r="BP41" s="35"/>
      <c r="BQ41" s="10">
        <f t="shared" si="17"/>
        <v>183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-1340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5</v>
      </c>
      <c r="T42" s="35"/>
      <c r="U42" s="10">
        <f t="shared" si="2"/>
        <v>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1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3</v>
      </c>
      <c r="AJ42" s="48"/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3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2</v>
      </c>
      <c r="AZ42" s="35"/>
      <c r="BA42" s="10">
        <f t="shared" si="11"/>
        <v>-1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G42" s="1">
        <v>5</v>
      </c>
      <c r="BH42" s="35"/>
      <c r="BI42" s="10">
        <f t="shared" si="14"/>
        <v>3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-5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A43" s="10">
        <v>72</v>
      </c>
      <c r="AB43" s="12">
        <v>64970.47619015001</v>
      </c>
      <c r="AC43" s="10">
        <f t="shared" si="5"/>
        <v>-38</v>
      </c>
      <c r="AD43" s="12">
        <f t="shared" si="5"/>
        <v>-44528.571428409945</v>
      </c>
      <c r="AE43" s="11">
        <f t="shared" si="6"/>
        <v>-0.4066571572706757</v>
      </c>
      <c r="AG43" s="14"/>
      <c r="AH43" s="13" t="s">
        <v>10</v>
      </c>
      <c r="AI43" s="13">
        <v>78</v>
      </c>
      <c r="AJ43" s="46">
        <v>80907.619047240005</v>
      </c>
      <c r="AK43" s="10">
        <f t="shared" si="7"/>
        <v>6</v>
      </c>
      <c r="AL43" s="12">
        <f t="shared" si="7"/>
        <v>15937.142857089995</v>
      </c>
      <c r="AM43" s="11">
        <f t="shared" si="8"/>
        <v>0.24529823069861045</v>
      </c>
      <c r="AO43" s="14"/>
      <c r="AP43" s="13" t="s">
        <v>10</v>
      </c>
      <c r="AQ43" s="10">
        <v>107</v>
      </c>
      <c r="AR43" s="12">
        <v>97992.380951889994</v>
      </c>
      <c r="AS43" s="10">
        <f t="shared" si="9"/>
        <v>29</v>
      </c>
      <c r="AT43" s="12">
        <f t="shared" si="9"/>
        <v>17084.761904649989</v>
      </c>
      <c r="AU43" s="11">
        <f t="shared" si="10"/>
        <v>0.21116381999419126</v>
      </c>
      <c r="AW43" s="14"/>
      <c r="AX43" s="13" t="s">
        <v>10</v>
      </c>
      <c r="AY43" s="10">
        <v>59</v>
      </c>
      <c r="AZ43" s="12">
        <v>64087.619047350017</v>
      </c>
      <c r="BA43" s="10">
        <f t="shared" si="11"/>
        <v>-48</v>
      </c>
      <c r="BB43" s="12">
        <f t="shared" si="12"/>
        <v>-33904.761904539977</v>
      </c>
      <c r="BC43" s="11">
        <f t="shared" si="13"/>
        <v>-0.34599385763660284</v>
      </c>
      <c r="BE43" s="14"/>
      <c r="BF43" s="13" t="s">
        <v>10</v>
      </c>
      <c r="BG43" s="10">
        <v>106</v>
      </c>
      <c r="BH43" s="12">
        <v>112294.28571382999</v>
      </c>
      <c r="BI43" s="10">
        <f t="shared" si="14"/>
        <v>47</v>
      </c>
      <c r="BJ43" s="12">
        <f t="shared" si="15"/>
        <v>48206.66666647997</v>
      </c>
      <c r="BK43" s="11">
        <f t="shared" si="16"/>
        <v>0.75219936991048642</v>
      </c>
      <c r="BM43" s="14"/>
      <c r="BN43" s="13" t="s">
        <v>10</v>
      </c>
      <c r="BP43" s="12"/>
      <c r="BQ43" s="10">
        <f t="shared" si="17"/>
        <v>-106</v>
      </c>
      <c r="BR43" s="12">
        <f t="shared" si="18"/>
        <v>-112294.28571382999</v>
      </c>
      <c r="BS43" s="11">
        <f t="shared" si="19"/>
        <v>-1</v>
      </c>
      <c r="BU43" s="14"/>
      <c r="BV43" s="13" t="s">
        <v>10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A44" s="10">
        <v>83</v>
      </c>
      <c r="AB44" s="12">
        <v>83323.809523720003</v>
      </c>
      <c r="AC44" s="10">
        <f t="shared" si="5"/>
        <v>23</v>
      </c>
      <c r="AD44" s="12">
        <f t="shared" si="5"/>
        <v>770.47619050000503</v>
      </c>
      <c r="AE44" s="11">
        <f t="shared" si="6"/>
        <v>9.3330718384203679E-3</v>
      </c>
      <c r="AG44" s="14"/>
      <c r="AH44" s="13" t="s">
        <v>9</v>
      </c>
      <c r="AI44" s="13">
        <v>89</v>
      </c>
      <c r="AJ44" s="46">
        <v>79542.857142760011</v>
      </c>
      <c r="AK44" s="10">
        <f t="shared" si="7"/>
        <v>6</v>
      </c>
      <c r="AL44" s="12">
        <f t="shared" si="7"/>
        <v>-3780.9523809599923</v>
      </c>
      <c r="AM44" s="11">
        <f t="shared" si="8"/>
        <v>-4.5376614470365263E-2</v>
      </c>
      <c r="AO44" s="14"/>
      <c r="AP44" s="13" t="s">
        <v>9</v>
      </c>
      <c r="AQ44" s="10">
        <v>73</v>
      </c>
      <c r="AR44" s="12">
        <v>85923.809523740012</v>
      </c>
      <c r="AS44" s="10">
        <f t="shared" si="9"/>
        <v>-16</v>
      </c>
      <c r="AT44" s="12">
        <f t="shared" si="9"/>
        <v>6380.9523809800012</v>
      </c>
      <c r="AU44" s="11">
        <f t="shared" si="10"/>
        <v>8.0220306513855158E-2</v>
      </c>
      <c r="AW44" s="14"/>
      <c r="AX44" s="13" t="s">
        <v>9</v>
      </c>
      <c r="AY44" s="10">
        <v>62</v>
      </c>
      <c r="AZ44" s="12">
        <v>85239.047618909986</v>
      </c>
      <c r="BA44" s="10">
        <f t="shared" si="11"/>
        <v>-11</v>
      </c>
      <c r="BB44" s="12">
        <f t="shared" si="12"/>
        <v>-684.76190483002574</v>
      </c>
      <c r="BC44" s="11">
        <f t="shared" si="13"/>
        <v>-7.9694081142995862E-3</v>
      </c>
      <c r="BE44" s="14"/>
      <c r="BF44" s="13" t="s">
        <v>9</v>
      </c>
      <c r="BG44" s="10">
        <v>50</v>
      </c>
      <c r="BH44" s="12">
        <v>68229.523809420003</v>
      </c>
      <c r="BI44" s="10">
        <f t="shared" si="14"/>
        <v>-12</v>
      </c>
      <c r="BJ44" s="12">
        <f t="shared" si="15"/>
        <v>-17009.523809489983</v>
      </c>
      <c r="BK44" s="11">
        <f t="shared" si="16"/>
        <v>-0.19955084300726605</v>
      </c>
      <c r="BM44" s="14"/>
      <c r="BN44" s="13" t="s">
        <v>9</v>
      </c>
      <c r="BP44" s="12"/>
      <c r="BQ44" s="10">
        <f t="shared" si="17"/>
        <v>-50</v>
      </c>
      <c r="BR44" s="12">
        <f t="shared" si="18"/>
        <v>-68229.523809420003</v>
      </c>
      <c r="BS44" s="11">
        <f t="shared" si="19"/>
        <v>-1</v>
      </c>
      <c r="BU44" s="14"/>
      <c r="BV44" s="13" t="s">
        <v>9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A45" s="10">
        <v>16</v>
      </c>
      <c r="AB45" s="12">
        <v>100704.76190474999</v>
      </c>
      <c r="AC45" s="10">
        <f t="shared" si="5"/>
        <v>7</v>
      </c>
      <c r="AD45" s="12">
        <f t="shared" si="5"/>
        <v>57933.333333329996</v>
      </c>
      <c r="AE45" s="11">
        <f t="shared" si="6"/>
        <v>1.3544867512805321</v>
      </c>
      <c r="AG45" s="14"/>
      <c r="AH45" s="13" t="s">
        <v>8</v>
      </c>
      <c r="AI45" s="13">
        <v>14</v>
      </c>
      <c r="AJ45" s="46">
        <v>84152.380952370004</v>
      </c>
      <c r="AK45" s="10">
        <f t="shared" si="7"/>
        <v>-2</v>
      </c>
      <c r="AL45" s="12">
        <f t="shared" si="7"/>
        <v>-16552.380952379986</v>
      </c>
      <c r="AM45" s="11">
        <f t="shared" si="8"/>
        <v>-0.16436542462645207</v>
      </c>
      <c r="AO45" s="14"/>
      <c r="AP45" s="13" t="s">
        <v>8</v>
      </c>
      <c r="AQ45" s="10">
        <v>10</v>
      </c>
      <c r="AR45" s="12">
        <v>64190.476190469999</v>
      </c>
      <c r="AS45" s="10">
        <f t="shared" si="9"/>
        <v>-4</v>
      </c>
      <c r="AT45" s="12">
        <f t="shared" si="9"/>
        <v>-19961.904761900005</v>
      </c>
      <c r="AU45" s="11">
        <f t="shared" si="10"/>
        <v>-0.2372114078768417</v>
      </c>
      <c r="AW45" s="14"/>
      <c r="AX45" s="13" t="s">
        <v>8</v>
      </c>
      <c r="AY45" s="10">
        <v>20</v>
      </c>
      <c r="AZ45" s="12">
        <v>125523.80952379</v>
      </c>
      <c r="BA45" s="10">
        <f t="shared" si="11"/>
        <v>10</v>
      </c>
      <c r="BB45" s="12">
        <f t="shared" si="12"/>
        <v>61333.333333319999</v>
      </c>
      <c r="BC45" s="11">
        <f t="shared" si="13"/>
        <v>0.95548961424320789</v>
      </c>
      <c r="BE45" s="14"/>
      <c r="BF45" s="13" t="s">
        <v>8</v>
      </c>
      <c r="BG45" s="10">
        <v>13</v>
      </c>
      <c r="BH45" s="12">
        <v>89876.190476179996</v>
      </c>
      <c r="BI45" s="10">
        <f t="shared" si="14"/>
        <v>-7</v>
      </c>
      <c r="BJ45" s="12">
        <f t="shared" si="15"/>
        <v>-35647.619047610002</v>
      </c>
      <c r="BK45" s="11">
        <f t="shared" si="16"/>
        <v>-0.28399089529587501</v>
      </c>
      <c r="BM45" s="14"/>
      <c r="BN45" s="13" t="s">
        <v>8</v>
      </c>
      <c r="BP45" s="12"/>
      <c r="BQ45" s="10">
        <f t="shared" si="17"/>
        <v>-13</v>
      </c>
      <c r="BR45" s="12">
        <f t="shared" si="18"/>
        <v>-89876.190476179996</v>
      </c>
      <c r="BS45" s="11">
        <f t="shared" si="19"/>
        <v>-1</v>
      </c>
      <c r="BU45" s="14"/>
      <c r="BV45" s="13" t="s">
        <v>8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A46" s="10">
        <v>12</v>
      </c>
      <c r="AB46" s="12">
        <v>129333.33333331</v>
      </c>
      <c r="AC46" s="10">
        <f t="shared" si="5"/>
        <v>1</v>
      </c>
      <c r="AD46" s="12">
        <f t="shared" si="5"/>
        <v>18000.000000019994</v>
      </c>
      <c r="AE46" s="11">
        <f t="shared" si="6"/>
        <v>0.16167664670682932</v>
      </c>
      <c r="AG46" s="14"/>
      <c r="AH46" s="13" t="s">
        <v>7</v>
      </c>
      <c r="AI46" s="13">
        <v>9</v>
      </c>
      <c r="AJ46" s="46">
        <v>106761.90476187001</v>
      </c>
      <c r="AK46" s="10">
        <f t="shared" si="7"/>
        <v>-3</v>
      </c>
      <c r="AL46" s="12">
        <f t="shared" si="7"/>
        <v>-22571.428571439988</v>
      </c>
      <c r="AM46" s="11">
        <f t="shared" si="8"/>
        <v>-0.17452135493384582</v>
      </c>
      <c r="AO46" s="14"/>
      <c r="AP46" s="13" t="s">
        <v>7</v>
      </c>
      <c r="AQ46" s="10">
        <v>10</v>
      </c>
      <c r="AR46" s="12">
        <v>114285.71428568001</v>
      </c>
      <c r="AS46" s="10">
        <f t="shared" si="9"/>
        <v>1</v>
      </c>
      <c r="AT46" s="12">
        <f t="shared" si="9"/>
        <v>7523.8095238099922</v>
      </c>
      <c r="AU46" s="11">
        <f t="shared" si="10"/>
        <v>7.0472792149893521E-2</v>
      </c>
      <c r="AW46" s="14"/>
      <c r="AX46" s="13" t="s">
        <v>7</v>
      </c>
      <c r="AY46" s="10">
        <v>10</v>
      </c>
      <c r="AZ46" s="12">
        <v>107619.04761902</v>
      </c>
      <c r="BA46" s="10">
        <f t="shared" si="11"/>
        <v>0</v>
      </c>
      <c r="BB46" s="12">
        <f t="shared" si="12"/>
        <v>-6666.6666666600067</v>
      </c>
      <c r="BC46" s="11">
        <f t="shared" si="13"/>
        <v>-5.8333333333292554E-2</v>
      </c>
      <c r="BE46" s="14"/>
      <c r="BF46" s="13" t="s">
        <v>7</v>
      </c>
      <c r="BG46" s="10">
        <v>6</v>
      </c>
      <c r="BH46" s="12">
        <v>67047.619047600005</v>
      </c>
      <c r="BI46" s="10">
        <f t="shared" si="14"/>
        <v>-4</v>
      </c>
      <c r="BJ46" s="12">
        <f t="shared" si="15"/>
        <v>-40571.428571419994</v>
      </c>
      <c r="BK46" s="11">
        <f t="shared" si="16"/>
        <v>-0.37699115044249493</v>
      </c>
      <c r="BM46" s="14"/>
      <c r="BN46" s="13" t="s">
        <v>7</v>
      </c>
      <c r="BP46" s="12"/>
      <c r="BQ46" s="10">
        <f t="shared" si="17"/>
        <v>-6</v>
      </c>
      <c r="BR46" s="12">
        <f t="shared" si="18"/>
        <v>-67047.619047600005</v>
      </c>
      <c r="BS46" s="11">
        <f t="shared" si="19"/>
        <v>-1</v>
      </c>
      <c r="BU46" s="14"/>
      <c r="BV46" s="13" t="s">
        <v>7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A47" s="10">
        <v>1</v>
      </c>
      <c r="AB47" s="12">
        <v>2857.1428571400002</v>
      </c>
      <c r="AC47" s="10">
        <f t="shared" si="5"/>
        <v>-1</v>
      </c>
      <c r="AD47" s="12">
        <f t="shared" si="5"/>
        <v>-2857.1428571400002</v>
      </c>
      <c r="AE47" s="11">
        <f t="shared" si="6"/>
        <v>-0.5</v>
      </c>
      <c r="AG47" s="14"/>
      <c r="AH47" s="13" t="s">
        <v>6</v>
      </c>
      <c r="AI47" s="13">
        <v>2</v>
      </c>
      <c r="AJ47" s="46">
        <v>5714.2857142800003</v>
      </c>
      <c r="AK47" s="10">
        <f t="shared" si="7"/>
        <v>1</v>
      </c>
      <c r="AL47" s="12">
        <f t="shared" si="7"/>
        <v>2857.1428571400002</v>
      </c>
      <c r="AM47" s="11">
        <f t="shared" si="8"/>
        <v>1</v>
      </c>
      <c r="AO47" s="14"/>
      <c r="AP47" s="13" t="s">
        <v>6</v>
      </c>
      <c r="AQ47" s="10">
        <v>1</v>
      </c>
      <c r="AR47" s="12">
        <v>2657.1428571400002</v>
      </c>
      <c r="AS47" s="10">
        <f t="shared" si="9"/>
        <v>-1</v>
      </c>
      <c r="AT47" s="12">
        <f t="shared" si="9"/>
        <v>-3057.1428571400002</v>
      </c>
      <c r="AU47" s="11">
        <f t="shared" si="10"/>
        <v>-0.535000000000035</v>
      </c>
      <c r="AW47" s="14"/>
      <c r="AX47" s="13" t="s">
        <v>6</v>
      </c>
      <c r="AZ47" s="12"/>
      <c r="BA47" s="10">
        <f t="shared" si="11"/>
        <v>-1</v>
      </c>
      <c r="BB47" s="12">
        <f t="shared" si="12"/>
        <v>-2657.1428571400002</v>
      </c>
      <c r="BC47" s="11">
        <f t="shared" si="13"/>
        <v>-1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A48" s="10">
        <v>1</v>
      </c>
      <c r="AB48" s="12">
        <v>12990</v>
      </c>
      <c r="AC48" s="10">
        <f t="shared" si="5"/>
        <v>1</v>
      </c>
      <c r="AD48" s="12">
        <f t="shared" si="5"/>
        <v>12990</v>
      </c>
      <c r="AE48" s="11" t="e">
        <f t="shared" si="6"/>
        <v>#DIV/0!</v>
      </c>
      <c r="AG48" s="14"/>
      <c r="AH48" s="13" t="s">
        <v>5</v>
      </c>
      <c r="AI48" s="13">
        <v>1</v>
      </c>
      <c r="AJ48" s="46">
        <v>7290</v>
      </c>
      <c r="AK48" s="10">
        <f t="shared" si="7"/>
        <v>0</v>
      </c>
      <c r="AL48" s="12">
        <f t="shared" si="7"/>
        <v>-5700</v>
      </c>
      <c r="AM48" s="11">
        <f t="shared" si="8"/>
        <v>-0.43879907621247111</v>
      </c>
      <c r="AO48" s="14"/>
      <c r="AP48" s="13" t="s">
        <v>5</v>
      </c>
      <c r="AQ48" s="10">
        <v>2</v>
      </c>
      <c r="AR48" s="12">
        <v>15380</v>
      </c>
      <c r="AS48" s="10">
        <f t="shared" si="9"/>
        <v>1</v>
      </c>
      <c r="AT48" s="12">
        <f t="shared" si="9"/>
        <v>8090</v>
      </c>
      <c r="AU48" s="11">
        <f t="shared" si="10"/>
        <v>1.1097393689986284</v>
      </c>
      <c r="AW48" s="14"/>
      <c r="AX48" s="13" t="s">
        <v>5</v>
      </c>
      <c r="AY48" s="10">
        <v>4</v>
      </c>
      <c r="AZ48" s="12">
        <v>26360</v>
      </c>
      <c r="BA48" s="10">
        <f t="shared" si="11"/>
        <v>2</v>
      </c>
      <c r="BB48" s="12">
        <f t="shared" si="12"/>
        <v>10980</v>
      </c>
      <c r="BC48" s="11">
        <f t="shared" si="13"/>
        <v>0.71391417425227566</v>
      </c>
      <c r="BE48" s="14"/>
      <c r="BF48" s="13" t="s">
        <v>5</v>
      </c>
      <c r="BG48" s="10">
        <v>2</v>
      </c>
      <c r="BH48" s="12">
        <v>8180</v>
      </c>
      <c r="BI48" s="10">
        <f t="shared" si="14"/>
        <v>-2</v>
      </c>
      <c r="BJ48" s="12">
        <f t="shared" si="15"/>
        <v>-18180</v>
      </c>
      <c r="BK48" s="11">
        <f t="shared" si="16"/>
        <v>-0.68968133535660092</v>
      </c>
      <c r="BM48" s="14"/>
      <c r="BN48" s="13" t="s">
        <v>5</v>
      </c>
      <c r="BP48" s="12"/>
      <c r="BQ48" s="10">
        <f t="shared" si="17"/>
        <v>-2</v>
      </c>
      <c r="BR48" s="12">
        <f t="shared" si="18"/>
        <v>-8180</v>
      </c>
      <c r="BS48" s="11">
        <f t="shared" si="19"/>
        <v>-1</v>
      </c>
      <c r="BU48" s="14"/>
      <c r="BV48" s="13" t="s">
        <v>5</v>
      </c>
      <c r="BX48" s="12"/>
      <c r="BY48" s="10">
        <f t="shared" si="32"/>
        <v>0</v>
      </c>
      <c r="BZ48" s="12">
        <f t="shared" si="21"/>
        <v>0</v>
      </c>
      <c r="CA48" s="11" t="e">
        <f t="shared" si="22"/>
        <v>#DIV/0!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A49" s="10">
        <v>5</v>
      </c>
      <c r="AB49" s="12">
        <v>224006.66666664</v>
      </c>
      <c r="AC49" s="10">
        <f t="shared" si="5"/>
        <v>4</v>
      </c>
      <c r="AD49" s="12">
        <f t="shared" si="5"/>
        <v>176482.85714283999</v>
      </c>
      <c r="AE49" s="11">
        <f t="shared" si="6"/>
        <v>3.7135671342689203</v>
      </c>
      <c r="AG49" s="14"/>
      <c r="AH49" s="13" t="s">
        <v>4</v>
      </c>
      <c r="AI49" s="13">
        <v>9</v>
      </c>
      <c r="AJ49" s="46">
        <v>297597.14285711001</v>
      </c>
      <c r="AK49" s="10">
        <f t="shared" si="7"/>
        <v>4</v>
      </c>
      <c r="AL49" s="12">
        <f t="shared" si="7"/>
        <v>73590.476190470014</v>
      </c>
      <c r="AM49" s="11">
        <f t="shared" si="8"/>
        <v>0.32851913420945256</v>
      </c>
      <c r="AO49" s="14"/>
      <c r="AP49" s="13" t="s">
        <v>4</v>
      </c>
      <c r="AQ49" s="10">
        <v>4</v>
      </c>
      <c r="AR49" s="12">
        <v>155101.90476190002</v>
      </c>
      <c r="AS49" s="10">
        <f t="shared" si="9"/>
        <v>-5</v>
      </c>
      <c r="AT49" s="12">
        <f t="shared" si="9"/>
        <v>-142495.23809520999</v>
      </c>
      <c r="AU49" s="11">
        <f t="shared" si="10"/>
        <v>-0.47881924109610308</v>
      </c>
      <c r="AW49" s="14"/>
      <c r="AX49" s="13" t="s">
        <v>4</v>
      </c>
      <c r="AY49" s="10">
        <v>4</v>
      </c>
      <c r="AZ49" s="12">
        <v>138489.52380950999</v>
      </c>
      <c r="BA49" s="10">
        <f t="shared" si="11"/>
        <v>0</v>
      </c>
      <c r="BB49" s="12">
        <f t="shared" si="12"/>
        <v>-16612.380952390027</v>
      </c>
      <c r="BC49" s="11">
        <f t="shared" si="13"/>
        <v>-0.10710623430377608</v>
      </c>
      <c r="BE49" s="14"/>
      <c r="BF49" s="13" t="s">
        <v>4</v>
      </c>
      <c r="BG49" s="10">
        <v>4</v>
      </c>
      <c r="BH49" s="12">
        <v>116466.66666665001</v>
      </c>
      <c r="BI49" s="10">
        <f t="shared" si="14"/>
        <v>0</v>
      </c>
      <c r="BJ49" s="12">
        <f t="shared" si="15"/>
        <v>-22022.857142859983</v>
      </c>
      <c r="BK49" s="11">
        <f t="shared" si="16"/>
        <v>-0.15902182733440581</v>
      </c>
      <c r="BM49" s="14"/>
      <c r="BN49" s="13" t="s">
        <v>4</v>
      </c>
      <c r="BP49" s="12"/>
      <c r="BQ49" s="10">
        <f t="shared" si="17"/>
        <v>-4</v>
      </c>
      <c r="BR49" s="12">
        <f t="shared" si="18"/>
        <v>-116466.66666665001</v>
      </c>
      <c r="BS49" s="11">
        <f t="shared" si="19"/>
        <v>-1</v>
      </c>
      <c r="BU49" s="14"/>
      <c r="BV49" s="13" t="s">
        <v>4</v>
      </c>
      <c r="BX49" s="12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A50" s="10">
        <v>15</v>
      </c>
      <c r="AB50" s="12">
        <v>330909.52380948002</v>
      </c>
      <c r="AC50" s="10">
        <f t="shared" si="5"/>
        <v>-4</v>
      </c>
      <c r="AD50" s="12">
        <f t="shared" si="5"/>
        <v>-4709.5238095199456</v>
      </c>
      <c r="AE50" s="11">
        <f t="shared" si="6"/>
        <v>-1.4032349602714657E-2</v>
      </c>
      <c r="AG50" s="14"/>
      <c r="AH50" s="13" t="s">
        <v>3</v>
      </c>
      <c r="AI50" s="13">
        <v>9</v>
      </c>
      <c r="AJ50" s="46">
        <v>152285.71428568999</v>
      </c>
      <c r="AK50" s="10">
        <f t="shared" si="7"/>
        <v>-6</v>
      </c>
      <c r="AL50" s="12">
        <f t="shared" si="7"/>
        <v>-178623.80952379003</v>
      </c>
      <c r="AM50" s="11">
        <f t="shared" si="8"/>
        <v>-0.53979652041272785</v>
      </c>
      <c r="AO50" s="14"/>
      <c r="AP50" s="13" t="s">
        <v>3</v>
      </c>
      <c r="AQ50" s="10">
        <v>15</v>
      </c>
      <c r="AR50" s="12">
        <v>240285.71428568001</v>
      </c>
      <c r="AS50" s="10">
        <f t="shared" si="9"/>
        <v>6</v>
      </c>
      <c r="AT50" s="12">
        <f t="shared" si="9"/>
        <v>87999.999999990017</v>
      </c>
      <c r="AU50" s="11">
        <f t="shared" si="10"/>
        <v>0.57786116322704351</v>
      </c>
      <c r="AW50" s="14"/>
      <c r="AX50" s="13" t="s">
        <v>3</v>
      </c>
      <c r="AY50" s="10">
        <v>9</v>
      </c>
      <c r="AZ50" s="12">
        <v>141333.33333332001</v>
      </c>
      <c r="BA50" s="10">
        <f t="shared" si="11"/>
        <v>-6</v>
      </c>
      <c r="BB50" s="12">
        <f t="shared" si="12"/>
        <v>-98952.380952359992</v>
      </c>
      <c r="BC50" s="11">
        <f t="shared" si="13"/>
        <v>-0.41181133571142614</v>
      </c>
      <c r="BE50" s="14"/>
      <c r="BF50" s="13" t="s">
        <v>3</v>
      </c>
      <c r="BG50" s="10">
        <v>13</v>
      </c>
      <c r="BH50" s="12">
        <v>228285.71428568001</v>
      </c>
      <c r="BI50" s="10">
        <f t="shared" si="14"/>
        <v>4</v>
      </c>
      <c r="BJ50" s="12">
        <f t="shared" si="15"/>
        <v>86952.380952359992</v>
      </c>
      <c r="BK50" s="11">
        <f t="shared" si="16"/>
        <v>0.6152291105120391</v>
      </c>
      <c r="BM50" s="14"/>
      <c r="BN50" s="13" t="s">
        <v>3</v>
      </c>
      <c r="BP50" s="12"/>
      <c r="BQ50" s="10">
        <f t="shared" si="17"/>
        <v>-13</v>
      </c>
      <c r="BR50" s="12">
        <f t="shared" si="18"/>
        <v>-228285.71428568001</v>
      </c>
      <c r="BS50" s="11">
        <f t="shared" si="19"/>
        <v>-1</v>
      </c>
      <c r="BU50" s="14"/>
      <c r="BV50" s="13" t="s">
        <v>3</v>
      </c>
      <c r="BX50" s="12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A51" s="10">
        <v>13</v>
      </c>
      <c r="AB51" s="12">
        <v>396857.14285711991</v>
      </c>
      <c r="AC51" s="10">
        <f t="shared" si="5"/>
        <v>-12</v>
      </c>
      <c r="AD51" s="12">
        <f t="shared" si="5"/>
        <v>-583619.04761903</v>
      </c>
      <c r="AE51" s="11">
        <f t="shared" si="6"/>
        <v>-0.59524040796503819</v>
      </c>
      <c r="AG51" s="14"/>
      <c r="AH51" s="13" t="s">
        <v>2</v>
      </c>
      <c r="AI51" s="13">
        <v>21</v>
      </c>
      <c r="AJ51" s="46">
        <v>681809.52380949003</v>
      </c>
      <c r="AK51" s="10">
        <f t="shared" si="7"/>
        <v>8</v>
      </c>
      <c r="AL51" s="12">
        <f t="shared" si="7"/>
        <v>284952.38095237012</v>
      </c>
      <c r="AM51" s="11">
        <f t="shared" si="8"/>
        <v>0.71802255819535865</v>
      </c>
      <c r="AO51" s="14"/>
      <c r="AP51" s="13" t="s">
        <v>2</v>
      </c>
      <c r="AQ51" s="10">
        <v>16</v>
      </c>
      <c r="AR51" s="12">
        <v>496571.42857141001</v>
      </c>
      <c r="AS51" s="10">
        <f t="shared" si="9"/>
        <v>-5</v>
      </c>
      <c r="AT51" s="12">
        <f t="shared" si="9"/>
        <v>-185238.09523808002</v>
      </c>
      <c r="AU51" s="11">
        <f t="shared" si="10"/>
        <v>-0.27168598966335195</v>
      </c>
      <c r="AW51" s="14"/>
      <c r="AX51" s="13" t="s">
        <v>2</v>
      </c>
      <c r="AY51" s="10">
        <v>14</v>
      </c>
      <c r="AZ51" s="12">
        <v>514857.14285711991</v>
      </c>
      <c r="BA51" s="10">
        <f t="shared" si="11"/>
        <v>-2</v>
      </c>
      <c r="BB51" s="12">
        <f t="shared" si="12"/>
        <v>18285.714285709895</v>
      </c>
      <c r="BC51" s="11">
        <f t="shared" si="13"/>
        <v>3.6823935558105307E-2</v>
      </c>
      <c r="BE51" s="14"/>
      <c r="BF51" s="13" t="s">
        <v>2</v>
      </c>
      <c r="BG51" s="10">
        <v>14</v>
      </c>
      <c r="BH51" s="12">
        <v>454857.14285712002</v>
      </c>
      <c r="BI51" s="10">
        <f t="shared" si="14"/>
        <v>0</v>
      </c>
      <c r="BJ51" s="12">
        <f t="shared" si="15"/>
        <v>-59999.999999999884</v>
      </c>
      <c r="BK51" s="11">
        <f t="shared" si="16"/>
        <v>-0.11653718091010486</v>
      </c>
      <c r="BM51" s="14"/>
      <c r="BN51" s="13" t="s">
        <v>2</v>
      </c>
      <c r="BP51" s="12"/>
      <c r="BQ51" s="10">
        <f t="shared" si="17"/>
        <v>-14</v>
      </c>
      <c r="BR51" s="12">
        <f t="shared" si="18"/>
        <v>-454857.14285712002</v>
      </c>
      <c r="BS51" s="11">
        <f t="shared" si="19"/>
        <v>-1</v>
      </c>
      <c r="BU51" s="14"/>
      <c r="BV51" s="13" t="s">
        <v>2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>
        <v>218</v>
      </c>
      <c r="AB52" s="7">
        <v>1345952.8571423099</v>
      </c>
      <c r="AC52" s="27">
        <f t="shared" si="5"/>
        <v>-19</v>
      </c>
      <c r="AD52" s="28">
        <f t="shared" si="5"/>
        <v>-369537.61904741009</v>
      </c>
      <c r="AE52" s="29">
        <f t="shared" si="6"/>
        <v>-0.21541222418686404</v>
      </c>
      <c r="AG52" s="9" t="s">
        <v>11</v>
      </c>
      <c r="AH52" s="9"/>
      <c r="AI52" s="9">
        <v>232</v>
      </c>
      <c r="AJ52" s="47">
        <v>1496061.42857081</v>
      </c>
      <c r="AK52" s="27">
        <f t="shared" si="7"/>
        <v>14</v>
      </c>
      <c r="AL52" s="28">
        <f t="shared" si="7"/>
        <v>150108.57142850012</v>
      </c>
      <c r="AM52" s="29">
        <f t="shared" si="8"/>
        <v>0.11152587598588445</v>
      </c>
      <c r="AO52" s="9" t="s">
        <v>11</v>
      </c>
      <c r="AP52" s="9"/>
      <c r="AQ52" s="8">
        <v>238</v>
      </c>
      <c r="AR52" s="7">
        <v>1272388.5714279101</v>
      </c>
      <c r="AS52" s="27">
        <f t="shared" si="9"/>
        <v>6</v>
      </c>
      <c r="AT52" s="28">
        <f t="shared" si="9"/>
        <v>-223672.85714289988</v>
      </c>
      <c r="AU52" s="29">
        <f t="shared" si="10"/>
        <v>-0.14950780286914753</v>
      </c>
      <c r="AW52" s="9" t="s">
        <v>11</v>
      </c>
      <c r="AX52" s="9"/>
      <c r="AY52" s="8">
        <v>182</v>
      </c>
      <c r="AZ52" s="7">
        <v>1203509.5238090199</v>
      </c>
      <c r="BA52" s="27">
        <f t="shared" si="11"/>
        <v>-56</v>
      </c>
      <c r="BB52" s="28">
        <f t="shared" si="12"/>
        <v>-68879.047618890181</v>
      </c>
      <c r="BC52" s="29">
        <f t="shared" si="13"/>
        <v>-5.4133657882192529E-2</v>
      </c>
      <c r="BE52" s="9" t="s">
        <v>11</v>
      </c>
      <c r="BF52" s="9"/>
      <c r="BG52" s="8">
        <v>208</v>
      </c>
      <c r="BH52" s="7">
        <v>1145237.1428564801</v>
      </c>
      <c r="BI52" s="27">
        <f t="shared" si="14"/>
        <v>26</v>
      </c>
      <c r="BJ52" s="28">
        <f t="shared" si="15"/>
        <v>-58272.380952539854</v>
      </c>
      <c r="BK52" s="29">
        <f t="shared" si="16"/>
        <v>-4.8418711941814983E-2</v>
      </c>
      <c r="BM52" s="9" t="s">
        <v>11</v>
      </c>
      <c r="BN52" s="9"/>
      <c r="BO52" s="8"/>
      <c r="BP52" s="7"/>
      <c r="BQ52" s="27">
        <f t="shared" si="17"/>
        <v>-208</v>
      </c>
      <c r="BR52" s="28">
        <f t="shared" si="18"/>
        <v>-1145237.1428564801</v>
      </c>
      <c r="BS52" s="29">
        <f t="shared" si="19"/>
        <v>-1</v>
      </c>
      <c r="BU52" s="9" t="s">
        <v>11</v>
      </c>
      <c r="BV52" s="9"/>
      <c r="BW52" s="8"/>
      <c r="BX52" s="7"/>
      <c r="BY52" s="27">
        <f t="shared" si="32"/>
        <v>0</v>
      </c>
      <c r="BZ52" s="28">
        <f t="shared" si="21"/>
        <v>0</v>
      </c>
      <c r="CA52" s="29" t="e">
        <f t="shared" si="22"/>
        <v>#DIV/0!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J53" s="48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4</v>
      </c>
      <c r="T54" s="35"/>
      <c r="U54" s="10">
        <f t="shared" si="2"/>
        <v>1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4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2</v>
      </c>
      <c r="AJ54" s="48"/>
      <c r="AK54" s="10">
        <f t="shared" si="7"/>
        <v>-2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2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3</v>
      </c>
      <c r="AZ54" s="35"/>
      <c r="BA54" s="10">
        <f t="shared" si="11"/>
        <v>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G54" s="1">
        <v>0</v>
      </c>
      <c r="BH54" s="35"/>
      <c r="BI54" s="10">
        <f t="shared" si="14"/>
        <v>-3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A55" s="10">
        <v>82</v>
      </c>
      <c r="AB55" s="12">
        <v>73125.714285359994</v>
      </c>
      <c r="AC55" s="10">
        <f t="shared" si="5"/>
        <v>-10</v>
      </c>
      <c r="AD55" s="12">
        <f t="shared" si="5"/>
        <v>-14232.380952340012</v>
      </c>
      <c r="AE55" s="11">
        <f t="shared" si="6"/>
        <v>-0.16292000087243119</v>
      </c>
      <c r="AG55" s="14"/>
      <c r="AH55" s="13" t="s">
        <v>10</v>
      </c>
      <c r="AI55" s="13">
        <v>128</v>
      </c>
      <c r="AJ55" s="46">
        <v>119866.66666608992</v>
      </c>
      <c r="AK55" s="10">
        <f t="shared" si="7"/>
        <v>46</v>
      </c>
      <c r="AL55" s="12">
        <f t="shared" si="7"/>
        <v>46740.952380729927</v>
      </c>
      <c r="AM55" s="11">
        <f t="shared" si="8"/>
        <v>0.6391862676148603</v>
      </c>
      <c r="AO55" s="14"/>
      <c r="AP55" s="13" t="s">
        <v>10</v>
      </c>
      <c r="AQ55" s="10">
        <v>110</v>
      </c>
      <c r="AR55" s="12">
        <v>108883.80952334993</v>
      </c>
      <c r="AS55" s="10">
        <f t="shared" si="9"/>
        <v>-18</v>
      </c>
      <c r="AT55" s="12">
        <f t="shared" si="9"/>
        <v>-10982.857142739987</v>
      </c>
      <c r="AU55" s="11">
        <f t="shared" si="10"/>
        <v>-9.1625615763010274E-2</v>
      </c>
      <c r="AW55" s="14"/>
      <c r="AX55" s="13" t="s">
        <v>10</v>
      </c>
      <c r="AY55" s="10">
        <v>101</v>
      </c>
      <c r="AZ55" s="12">
        <v>96124.761904319981</v>
      </c>
      <c r="BA55" s="10">
        <f t="shared" si="11"/>
        <v>-9</v>
      </c>
      <c r="BB55" s="12">
        <f t="shared" si="12"/>
        <v>-12759.047619029952</v>
      </c>
      <c r="BC55" s="11">
        <f t="shared" si="13"/>
        <v>-0.11718039325482819</v>
      </c>
      <c r="BE55" s="14"/>
      <c r="BF55" s="13" t="s">
        <v>10</v>
      </c>
      <c r="BG55" s="10">
        <v>102</v>
      </c>
      <c r="BH55" s="12">
        <v>103464.76190425998</v>
      </c>
      <c r="BI55" s="10">
        <f t="shared" si="14"/>
        <v>1</v>
      </c>
      <c r="BJ55" s="12">
        <f t="shared" si="15"/>
        <v>7339.9999999400025</v>
      </c>
      <c r="BK55" s="11">
        <f t="shared" si="16"/>
        <v>7.635909680843779E-2</v>
      </c>
      <c r="BM55" s="14"/>
      <c r="BN55" s="13" t="s">
        <v>10</v>
      </c>
      <c r="BP55" s="12"/>
      <c r="BQ55" s="10">
        <f t="shared" si="17"/>
        <v>-102</v>
      </c>
      <c r="BR55" s="12">
        <f t="shared" si="18"/>
        <v>-103464.76190425998</v>
      </c>
      <c r="BS55" s="11">
        <f t="shared" si="19"/>
        <v>-1</v>
      </c>
      <c r="BU55" s="14"/>
      <c r="BV55" s="13" t="s">
        <v>10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A56" s="10">
        <v>77</v>
      </c>
      <c r="AB56" s="12">
        <v>79457.142857069994</v>
      </c>
      <c r="AC56" s="10">
        <f t="shared" si="5"/>
        <v>24</v>
      </c>
      <c r="AD56" s="12">
        <f t="shared" si="5"/>
        <v>23295.238095229994</v>
      </c>
      <c r="AE56" s="11">
        <f t="shared" si="6"/>
        <v>0.41478717992232828</v>
      </c>
      <c r="AG56" s="14"/>
      <c r="AH56" s="13" t="s">
        <v>9</v>
      </c>
      <c r="AI56" s="13">
        <v>82</v>
      </c>
      <c r="AJ56" s="46">
        <v>70076.190476100004</v>
      </c>
      <c r="AK56" s="10">
        <f t="shared" si="7"/>
        <v>5</v>
      </c>
      <c r="AL56" s="12">
        <f t="shared" si="7"/>
        <v>-9380.9523809699895</v>
      </c>
      <c r="AM56" s="11">
        <f t="shared" si="8"/>
        <v>-0.11806304686596573</v>
      </c>
      <c r="AO56" s="14"/>
      <c r="AP56" s="13" t="s">
        <v>9</v>
      </c>
      <c r="AQ56" s="10">
        <v>76</v>
      </c>
      <c r="AR56" s="12">
        <v>74323.809523749995</v>
      </c>
      <c r="AS56" s="10">
        <f t="shared" si="9"/>
        <v>-6</v>
      </c>
      <c r="AT56" s="12">
        <f t="shared" si="9"/>
        <v>4247.6190476499905</v>
      </c>
      <c r="AU56" s="11">
        <f t="shared" si="10"/>
        <v>6.061429736393379E-2</v>
      </c>
      <c r="AW56" s="14"/>
      <c r="AX56" s="13" t="s">
        <v>9</v>
      </c>
      <c r="AY56" s="10">
        <v>68</v>
      </c>
      <c r="AZ56" s="12">
        <v>74685.714285630005</v>
      </c>
      <c r="BA56" s="10">
        <f t="shared" si="11"/>
        <v>-8</v>
      </c>
      <c r="BB56" s="12">
        <f t="shared" si="12"/>
        <v>361.90476188001048</v>
      </c>
      <c r="BC56" s="11">
        <f t="shared" si="13"/>
        <v>4.8692977956729284E-3</v>
      </c>
      <c r="BE56" s="14"/>
      <c r="BF56" s="13" t="s">
        <v>9</v>
      </c>
      <c r="BG56" s="10">
        <v>55</v>
      </c>
      <c r="BH56" s="12">
        <v>61952.380952320003</v>
      </c>
      <c r="BI56" s="10">
        <f t="shared" si="14"/>
        <v>-13</v>
      </c>
      <c r="BJ56" s="12">
        <f t="shared" si="15"/>
        <v>-12733.333333310002</v>
      </c>
      <c r="BK56" s="11">
        <f t="shared" si="16"/>
        <v>-0.17049222137197895</v>
      </c>
      <c r="BM56" s="14"/>
      <c r="BN56" s="13" t="s">
        <v>9</v>
      </c>
      <c r="BP56" s="12"/>
      <c r="BQ56" s="10">
        <f t="shared" si="17"/>
        <v>-55</v>
      </c>
      <c r="BR56" s="12">
        <f t="shared" si="18"/>
        <v>-61952.380952320003</v>
      </c>
      <c r="BS56" s="11">
        <f t="shared" si="19"/>
        <v>-1</v>
      </c>
      <c r="BU56" s="14"/>
      <c r="BV56" s="13" t="s">
        <v>9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A57" s="10">
        <v>14</v>
      </c>
      <c r="AB57" s="12">
        <v>86152.380952370004</v>
      </c>
      <c r="AC57" s="10">
        <f t="shared" si="5"/>
        <v>-3</v>
      </c>
      <c r="AD57" s="12">
        <f t="shared" si="5"/>
        <v>-18257.14285715</v>
      </c>
      <c r="AE57" s="11">
        <f t="shared" si="6"/>
        <v>-0.17486089574029187</v>
      </c>
      <c r="AG57" s="14"/>
      <c r="AH57" s="13" t="s">
        <v>8</v>
      </c>
      <c r="AI57" s="13">
        <v>14</v>
      </c>
      <c r="AJ57" s="46">
        <v>85580.952380939998</v>
      </c>
      <c r="AK57" s="10">
        <f t="shared" si="7"/>
        <v>0</v>
      </c>
      <c r="AL57" s="12">
        <f t="shared" si="7"/>
        <v>-571.42857143000583</v>
      </c>
      <c r="AM57" s="11">
        <f t="shared" si="8"/>
        <v>-6.6327658633825153E-3</v>
      </c>
      <c r="AO57" s="14"/>
      <c r="AP57" s="13" t="s">
        <v>8</v>
      </c>
      <c r="AQ57" s="10">
        <v>15</v>
      </c>
      <c r="AR57" s="12">
        <v>106523.8095238</v>
      </c>
      <c r="AS57" s="10">
        <f t="shared" si="9"/>
        <v>1</v>
      </c>
      <c r="AT57" s="12">
        <f t="shared" si="9"/>
        <v>20942.857142859997</v>
      </c>
      <c r="AU57" s="11">
        <f t="shared" si="10"/>
        <v>0.24471399955493189</v>
      </c>
      <c r="AW57" s="14"/>
      <c r="AX57" s="13" t="s">
        <v>8</v>
      </c>
      <c r="AY57" s="10">
        <v>12</v>
      </c>
      <c r="AZ57" s="12">
        <v>97028.57142855</v>
      </c>
      <c r="BA57" s="10">
        <f t="shared" si="11"/>
        <v>-3</v>
      </c>
      <c r="BB57" s="12">
        <f t="shared" si="12"/>
        <v>-9495.2380952499952</v>
      </c>
      <c r="BC57" s="11">
        <f t="shared" si="13"/>
        <v>-8.9137237371599343E-2</v>
      </c>
      <c r="BE57" s="14"/>
      <c r="BF57" s="13" t="s">
        <v>8</v>
      </c>
      <c r="BG57" s="10">
        <v>16</v>
      </c>
      <c r="BH57" s="12">
        <v>124133.33333332</v>
      </c>
      <c r="BI57" s="10">
        <f t="shared" si="14"/>
        <v>4</v>
      </c>
      <c r="BJ57" s="12">
        <f t="shared" si="15"/>
        <v>27104.761904769999</v>
      </c>
      <c r="BK57" s="11">
        <f t="shared" si="16"/>
        <v>0.27934825284663117</v>
      </c>
      <c r="BM57" s="14"/>
      <c r="BN57" s="13" t="s">
        <v>8</v>
      </c>
      <c r="BP57" s="12"/>
      <c r="BQ57" s="10">
        <f t="shared" si="17"/>
        <v>-16</v>
      </c>
      <c r="BR57" s="12">
        <f t="shared" si="18"/>
        <v>-124133.33333332</v>
      </c>
      <c r="BS57" s="11">
        <f t="shared" si="19"/>
        <v>-1</v>
      </c>
      <c r="BU57" s="14"/>
      <c r="BV57" s="13" t="s">
        <v>8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A58" s="10">
        <v>8</v>
      </c>
      <c r="AB58" s="12">
        <v>118285.71428567999</v>
      </c>
      <c r="AC58" s="10">
        <f t="shared" si="5"/>
        <v>-2</v>
      </c>
      <c r="AD58" s="12">
        <f t="shared" si="5"/>
        <v>3047.619047619999</v>
      </c>
      <c r="AE58" s="11">
        <f t="shared" si="6"/>
        <v>2.6446280991751881E-2</v>
      </c>
      <c r="AG58" s="14"/>
      <c r="AH58" s="13" t="s">
        <v>7</v>
      </c>
      <c r="AI58" s="13">
        <v>7</v>
      </c>
      <c r="AJ58" s="46">
        <v>105999.99999996999</v>
      </c>
      <c r="AK58" s="10">
        <f t="shared" si="7"/>
        <v>-1</v>
      </c>
      <c r="AL58" s="12">
        <f t="shared" si="7"/>
        <v>-12285.714285709997</v>
      </c>
      <c r="AM58" s="11">
        <f t="shared" si="8"/>
        <v>-0.10386473429951076</v>
      </c>
      <c r="AO58" s="14"/>
      <c r="AP58" s="13" t="s">
        <v>7</v>
      </c>
      <c r="AQ58" s="10">
        <v>20</v>
      </c>
      <c r="AR58" s="12">
        <v>241523.80952376002</v>
      </c>
      <c r="AS58" s="10">
        <f t="shared" si="9"/>
        <v>13</v>
      </c>
      <c r="AT58" s="12">
        <f t="shared" si="9"/>
        <v>135523.80952379003</v>
      </c>
      <c r="AU58" s="11">
        <f t="shared" si="10"/>
        <v>1.2785265049417773</v>
      </c>
      <c r="AW58" s="14"/>
      <c r="AX58" s="13" t="s">
        <v>7</v>
      </c>
      <c r="AY58" s="10">
        <v>7</v>
      </c>
      <c r="AZ58" s="12">
        <v>72666.66666665001</v>
      </c>
      <c r="BA58" s="10">
        <f t="shared" si="11"/>
        <v>-13</v>
      </c>
      <c r="BB58" s="12">
        <f t="shared" si="12"/>
        <v>-168857.14285711001</v>
      </c>
      <c r="BC58" s="11">
        <f t="shared" si="13"/>
        <v>-0.69913249211357198</v>
      </c>
      <c r="BE58" s="14"/>
      <c r="BF58" s="13" t="s">
        <v>7</v>
      </c>
      <c r="BG58" s="10">
        <v>6</v>
      </c>
      <c r="BH58" s="12">
        <v>61333.333333310002</v>
      </c>
      <c r="BI58" s="10">
        <f t="shared" si="14"/>
        <v>-1</v>
      </c>
      <c r="BJ58" s="12">
        <f t="shared" si="15"/>
        <v>-11333.333333340008</v>
      </c>
      <c r="BK58" s="11">
        <f t="shared" si="16"/>
        <v>-0.15596330275242118</v>
      </c>
      <c r="BM58" s="14"/>
      <c r="BN58" s="13" t="s">
        <v>7</v>
      </c>
      <c r="BP58" s="12"/>
      <c r="BQ58" s="10">
        <f t="shared" si="17"/>
        <v>-6</v>
      </c>
      <c r="BR58" s="12">
        <f t="shared" si="18"/>
        <v>-61333.333333310002</v>
      </c>
      <c r="BS58" s="11">
        <f t="shared" si="19"/>
        <v>-1</v>
      </c>
      <c r="BU58" s="14"/>
      <c r="BV58" s="13" t="s">
        <v>7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J59" s="46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Q59" s="10">
        <v>1</v>
      </c>
      <c r="AR59" s="12">
        <v>2857.1428571400002</v>
      </c>
      <c r="AS59" s="10">
        <f t="shared" si="9"/>
        <v>1</v>
      </c>
      <c r="AT59" s="12">
        <f t="shared" si="9"/>
        <v>2857.1428571400002</v>
      </c>
      <c r="AU59" s="11" t="e">
        <f t="shared" si="10"/>
        <v>#DIV/0!</v>
      </c>
      <c r="AW59" s="14"/>
      <c r="AX59" s="13" t="s">
        <v>6</v>
      </c>
      <c r="AY59" s="10">
        <v>1</v>
      </c>
      <c r="AZ59" s="12">
        <v>8857.1428571399993</v>
      </c>
      <c r="BA59" s="10">
        <f t="shared" si="11"/>
        <v>0</v>
      </c>
      <c r="BB59" s="12">
        <f t="shared" si="12"/>
        <v>5999.9999999999991</v>
      </c>
      <c r="BC59" s="11">
        <f t="shared" si="13"/>
        <v>2.1000000000020997</v>
      </c>
      <c r="BE59" s="14"/>
      <c r="BF59" s="13" t="s">
        <v>6</v>
      </c>
      <c r="BH59" s="12"/>
      <c r="BI59" s="10">
        <f t="shared" si="14"/>
        <v>-1</v>
      </c>
      <c r="BJ59" s="12">
        <f t="shared" si="15"/>
        <v>-8857.1428571399993</v>
      </c>
      <c r="BK59" s="11">
        <f t="shared" si="16"/>
        <v>-1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A60" s="10">
        <v>2</v>
      </c>
      <c r="AB60" s="12">
        <v>5880</v>
      </c>
      <c r="AC60" s="10">
        <f t="shared" si="5"/>
        <v>-4</v>
      </c>
      <c r="AD60" s="12">
        <f t="shared" si="5"/>
        <v>-17060</v>
      </c>
      <c r="AE60" s="11">
        <f t="shared" si="6"/>
        <v>-0.74367916303400172</v>
      </c>
      <c r="AG60" s="14"/>
      <c r="AH60" s="13" t="s">
        <v>5</v>
      </c>
      <c r="AI60" s="13">
        <v>8</v>
      </c>
      <c r="AJ60" s="46">
        <v>36520</v>
      </c>
      <c r="AK60" s="10">
        <f t="shared" si="7"/>
        <v>6</v>
      </c>
      <c r="AL60" s="12">
        <f t="shared" si="7"/>
        <v>30640</v>
      </c>
      <c r="AM60" s="11">
        <f t="shared" si="8"/>
        <v>5.2108843537414966</v>
      </c>
      <c r="AO60" s="14"/>
      <c r="AP60" s="13" t="s">
        <v>5</v>
      </c>
      <c r="AQ60" s="10">
        <v>3</v>
      </c>
      <c r="AR60" s="12">
        <v>8070</v>
      </c>
      <c r="AS60" s="10">
        <f t="shared" si="9"/>
        <v>-5</v>
      </c>
      <c r="AT60" s="12">
        <f t="shared" si="9"/>
        <v>-28450</v>
      </c>
      <c r="AU60" s="11">
        <f t="shared" si="10"/>
        <v>-0.77902519167579409</v>
      </c>
      <c r="AW60" s="14"/>
      <c r="AX60" s="13" t="s">
        <v>5</v>
      </c>
      <c r="AY60" s="10">
        <v>2</v>
      </c>
      <c r="AZ60" s="12">
        <v>4280</v>
      </c>
      <c r="BA60" s="10">
        <f t="shared" si="11"/>
        <v>-1</v>
      </c>
      <c r="BB60" s="12">
        <f t="shared" si="12"/>
        <v>-3790</v>
      </c>
      <c r="BC60" s="11">
        <f t="shared" si="13"/>
        <v>-0.46964064436183395</v>
      </c>
      <c r="BE60" s="14"/>
      <c r="BF60" s="13" t="s">
        <v>5</v>
      </c>
      <c r="BG60" s="10">
        <v>7</v>
      </c>
      <c r="BH60" s="12">
        <v>29130</v>
      </c>
      <c r="BI60" s="10">
        <f t="shared" si="14"/>
        <v>5</v>
      </c>
      <c r="BJ60" s="12">
        <f t="shared" si="15"/>
        <v>24850</v>
      </c>
      <c r="BK60" s="11">
        <f t="shared" si="16"/>
        <v>5.80607476635514</v>
      </c>
      <c r="BM60" s="14"/>
      <c r="BN60" s="13" t="s">
        <v>5</v>
      </c>
      <c r="BP60" s="12"/>
      <c r="BQ60" s="10">
        <f t="shared" si="17"/>
        <v>-7</v>
      </c>
      <c r="BR60" s="12">
        <f t="shared" si="18"/>
        <v>-29130</v>
      </c>
      <c r="BS60" s="11">
        <f t="shared" si="19"/>
        <v>-1</v>
      </c>
      <c r="BU60" s="14"/>
      <c r="BV60" s="13" t="s">
        <v>5</v>
      </c>
      <c r="BX60" s="12"/>
      <c r="BY60" s="10">
        <f t="shared" si="32"/>
        <v>0</v>
      </c>
      <c r="BZ60" s="12">
        <f t="shared" si="21"/>
        <v>0</v>
      </c>
      <c r="CA60" s="11" t="e">
        <f t="shared" si="22"/>
        <v>#DIV/0!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A61" s="10">
        <v>2</v>
      </c>
      <c r="AB61" s="12">
        <v>55999.999999990003</v>
      </c>
      <c r="AC61" s="10">
        <f t="shared" si="5"/>
        <v>1</v>
      </c>
      <c r="AD61" s="12">
        <f t="shared" si="5"/>
        <v>6328.5714285700014</v>
      </c>
      <c r="AE61" s="11">
        <f t="shared" si="6"/>
        <v>0.12740868564854085</v>
      </c>
      <c r="AG61" s="14"/>
      <c r="AH61" s="13" t="s">
        <v>4</v>
      </c>
      <c r="AI61" s="13">
        <v>12</v>
      </c>
      <c r="AJ61" s="46">
        <v>397971.42857137998</v>
      </c>
      <c r="AK61" s="10">
        <f t="shared" si="7"/>
        <v>10</v>
      </c>
      <c r="AL61" s="12">
        <f t="shared" si="7"/>
        <v>341971.42857138999</v>
      </c>
      <c r="AM61" s="11">
        <f t="shared" si="8"/>
        <v>6.1066326530616255</v>
      </c>
      <c r="AO61" s="14"/>
      <c r="AP61" s="13" t="s">
        <v>4</v>
      </c>
      <c r="AQ61" s="10">
        <v>2</v>
      </c>
      <c r="AR61" s="12">
        <v>40761.904761900005</v>
      </c>
      <c r="AS61" s="10">
        <f t="shared" si="9"/>
        <v>-10</v>
      </c>
      <c r="AT61" s="12">
        <f t="shared" si="9"/>
        <v>-357209.52380947996</v>
      </c>
      <c r="AU61" s="11">
        <f t="shared" si="10"/>
        <v>-0.89757580108646173</v>
      </c>
      <c r="AW61" s="14"/>
      <c r="AX61" s="13" t="s">
        <v>4</v>
      </c>
      <c r="AY61" s="10">
        <v>3</v>
      </c>
      <c r="AZ61" s="12">
        <v>78761.904761900005</v>
      </c>
      <c r="BA61" s="10">
        <f t="shared" si="11"/>
        <v>1</v>
      </c>
      <c r="BB61" s="12">
        <f t="shared" si="12"/>
        <v>38000</v>
      </c>
      <c r="BC61" s="11">
        <f t="shared" si="13"/>
        <v>0.93224299065431437</v>
      </c>
      <c r="BE61" s="14"/>
      <c r="BF61" s="13" t="s">
        <v>4</v>
      </c>
      <c r="BG61" s="10">
        <v>3</v>
      </c>
      <c r="BH61" s="12">
        <v>94242.857142840003</v>
      </c>
      <c r="BI61" s="10">
        <f t="shared" si="14"/>
        <v>0</v>
      </c>
      <c r="BJ61" s="12">
        <f t="shared" si="15"/>
        <v>15480.952380939998</v>
      </c>
      <c r="BK61" s="11">
        <f t="shared" si="16"/>
        <v>0.19655380894785948</v>
      </c>
      <c r="BM61" s="14"/>
      <c r="BN61" s="13" t="s">
        <v>4</v>
      </c>
      <c r="BP61" s="12"/>
      <c r="BQ61" s="10">
        <f t="shared" si="17"/>
        <v>-3</v>
      </c>
      <c r="BR61" s="12">
        <f t="shared" si="18"/>
        <v>-94242.857142840003</v>
      </c>
      <c r="BS61" s="11">
        <f t="shared" si="19"/>
        <v>-1</v>
      </c>
      <c r="BU61" s="14"/>
      <c r="BV61" s="13" t="s">
        <v>4</v>
      </c>
      <c r="BX61" s="12"/>
      <c r="BY61" s="10">
        <f t="shared" si="32"/>
        <v>0</v>
      </c>
      <c r="BZ61" s="12">
        <f t="shared" si="21"/>
        <v>0</v>
      </c>
      <c r="CA61" s="11" t="e">
        <f t="shared" si="22"/>
        <v>#DIV/0!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A62" s="10">
        <v>20</v>
      </c>
      <c r="AB62" s="12">
        <v>321904.76190471998</v>
      </c>
      <c r="AC62" s="10">
        <f t="shared" si="5"/>
        <v>13</v>
      </c>
      <c r="AD62" s="12">
        <f t="shared" si="5"/>
        <v>201142.85714283999</v>
      </c>
      <c r="AE62" s="11">
        <f t="shared" si="6"/>
        <v>1.6656151419560352</v>
      </c>
      <c r="AG62" s="14"/>
      <c r="AH62" s="13" t="s">
        <v>3</v>
      </c>
      <c r="AI62" s="13">
        <v>20</v>
      </c>
      <c r="AJ62" s="46">
        <v>407142.85714280012</v>
      </c>
      <c r="AK62" s="10">
        <f t="shared" si="7"/>
        <v>0</v>
      </c>
      <c r="AL62" s="12">
        <f t="shared" si="7"/>
        <v>85238.095238080132</v>
      </c>
      <c r="AM62" s="11">
        <f t="shared" si="8"/>
        <v>0.26479289940827155</v>
      </c>
      <c r="AO62" s="14"/>
      <c r="AP62" s="13" t="s">
        <v>3</v>
      </c>
      <c r="AQ62" s="10">
        <v>17</v>
      </c>
      <c r="AR62" s="12">
        <v>311714.28571424005</v>
      </c>
      <c r="AS62" s="10">
        <f t="shared" si="9"/>
        <v>-3</v>
      </c>
      <c r="AT62" s="12">
        <f t="shared" si="9"/>
        <v>-95428.57142856007</v>
      </c>
      <c r="AU62" s="11">
        <f t="shared" si="10"/>
        <v>-0.23438596491228564</v>
      </c>
      <c r="AW62" s="14"/>
      <c r="AX62" s="13" t="s">
        <v>3</v>
      </c>
      <c r="AY62" s="10">
        <v>22</v>
      </c>
      <c r="AZ62" s="12">
        <v>430761.90476185014</v>
      </c>
      <c r="BA62" s="10">
        <f t="shared" si="11"/>
        <v>5</v>
      </c>
      <c r="BB62" s="12">
        <f t="shared" si="12"/>
        <v>119047.61904761009</v>
      </c>
      <c r="BC62" s="11">
        <f t="shared" si="13"/>
        <v>0.38191261839293894</v>
      </c>
      <c r="BE62" s="14"/>
      <c r="BF62" s="13" t="s">
        <v>3</v>
      </c>
      <c r="BG62" s="10">
        <v>13</v>
      </c>
      <c r="BH62" s="12">
        <v>247809.52380948002</v>
      </c>
      <c r="BI62" s="10">
        <f t="shared" si="14"/>
        <v>-9</v>
      </c>
      <c r="BJ62" s="12">
        <f t="shared" si="15"/>
        <v>-182952.38095237012</v>
      </c>
      <c r="BK62" s="11">
        <f t="shared" si="16"/>
        <v>-0.42471810745083571</v>
      </c>
      <c r="BM62" s="14"/>
      <c r="BN62" s="13" t="s">
        <v>3</v>
      </c>
      <c r="BP62" s="12"/>
      <c r="BQ62" s="10">
        <f t="shared" si="17"/>
        <v>-13</v>
      </c>
      <c r="BR62" s="12">
        <f t="shared" si="18"/>
        <v>-247809.52380948002</v>
      </c>
      <c r="BS62" s="11">
        <f t="shared" si="19"/>
        <v>-1</v>
      </c>
      <c r="BU62" s="14"/>
      <c r="BV62" s="13" t="s">
        <v>3</v>
      </c>
      <c r="BX62" s="12"/>
      <c r="BY62" s="10">
        <f t="shared" si="32"/>
        <v>0</v>
      </c>
      <c r="BZ62" s="12">
        <f t="shared" si="21"/>
        <v>0</v>
      </c>
      <c r="CA62" s="11" t="e">
        <f t="shared" si="22"/>
        <v>#DIV/0!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A63" s="10">
        <v>23</v>
      </c>
      <c r="AB63" s="12">
        <v>858761.90476186003</v>
      </c>
      <c r="AC63" s="10">
        <f t="shared" si="5"/>
        <v>10</v>
      </c>
      <c r="AD63" s="12">
        <f t="shared" si="5"/>
        <v>378949.52380952006</v>
      </c>
      <c r="AE63" s="11">
        <f t="shared" si="6"/>
        <v>0.78978688098330108</v>
      </c>
      <c r="AG63" s="14"/>
      <c r="AH63" s="13" t="s">
        <v>2</v>
      </c>
      <c r="AI63" s="13">
        <v>15</v>
      </c>
      <c r="AJ63" s="46">
        <v>510952.38095235999</v>
      </c>
      <c r="AK63" s="10">
        <f t="shared" si="7"/>
        <v>-8</v>
      </c>
      <c r="AL63" s="12">
        <f t="shared" si="7"/>
        <v>-347809.52380950004</v>
      </c>
      <c r="AM63" s="11">
        <f t="shared" si="8"/>
        <v>-0.40501275368747264</v>
      </c>
      <c r="AO63" s="14"/>
      <c r="AP63" s="13" t="s">
        <v>2</v>
      </c>
      <c r="AQ63" s="10">
        <v>16</v>
      </c>
      <c r="AR63" s="12">
        <v>560380.95238092996</v>
      </c>
      <c r="AS63" s="10">
        <f t="shared" si="9"/>
        <v>1</v>
      </c>
      <c r="AT63" s="12">
        <f t="shared" si="9"/>
        <v>49428.571428569965</v>
      </c>
      <c r="AU63" s="11">
        <f t="shared" si="10"/>
        <v>9.6738117427773704E-2</v>
      </c>
      <c r="AW63" s="14"/>
      <c r="AX63" s="13" t="s">
        <v>2</v>
      </c>
      <c r="AY63" s="10">
        <v>10</v>
      </c>
      <c r="AZ63" s="12">
        <v>342857.14285711996</v>
      </c>
      <c r="BA63" s="10">
        <f t="shared" si="11"/>
        <v>-6</v>
      </c>
      <c r="BB63" s="12">
        <f t="shared" si="12"/>
        <v>-217523.80952380999</v>
      </c>
      <c r="BC63" s="11">
        <f t="shared" si="13"/>
        <v>-0.38817131203264721</v>
      </c>
      <c r="BE63" s="14"/>
      <c r="BF63" s="13" t="s">
        <v>2</v>
      </c>
      <c r="BG63" s="10">
        <v>12</v>
      </c>
      <c r="BH63" s="12">
        <v>383619.04761902994</v>
      </c>
      <c r="BI63" s="10">
        <f t="shared" si="14"/>
        <v>2</v>
      </c>
      <c r="BJ63" s="12">
        <f t="shared" si="15"/>
        <v>40761.904761909973</v>
      </c>
      <c r="BK63" s="11">
        <f t="shared" si="16"/>
        <v>0.11888888888891203</v>
      </c>
      <c r="BM63" s="14"/>
      <c r="BN63" s="13" t="s">
        <v>2</v>
      </c>
      <c r="BP63" s="12"/>
      <c r="BQ63" s="10">
        <f t="shared" si="17"/>
        <v>-12</v>
      </c>
      <c r="BR63" s="12">
        <f t="shared" si="18"/>
        <v>-383619.04761902994</v>
      </c>
      <c r="BS63" s="11">
        <f t="shared" si="19"/>
        <v>-1</v>
      </c>
      <c r="BU63" s="14"/>
      <c r="BV63" s="13" t="s">
        <v>2</v>
      </c>
      <c r="BX63" s="12"/>
      <c r="BY63" s="10">
        <f t="shared" si="32"/>
        <v>0</v>
      </c>
      <c r="BZ63" s="12">
        <f t="shared" si="21"/>
        <v>0</v>
      </c>
      <c r="CA63" s="11" t="e">
        <f t="shared" si="22"/>
        <v>#DIV/0!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>
        <v>228</v>
      </c>
      <c r="AB64" s="7">
        <v>1599567.6190470499</v>
      </c>
      <c r="AC64" s="27">
        <f t="shared" si="5"/>
        <v>29</v>
      </c>
      <c r="AD64" s="28">
        <f t="shared" si="5"/>
        <v>563214.28571428987</v>
      </c>
      <c r="AE64" s="29">
        <f t="shared" si="6"/>
        <v>0.54345778374936615</v>
      </c>
      <c r="AG64" s="9" t="s">
        <v>1</v>
      </c>
      <c r="AH64" s="9"/>
      <c r="AI64" s="9">
        <v>286</v>
      </c>
      <c r="AJ64" s="47">
        <v>1734110.4761896399</v>
      </c>
      <c r="AK64" s="27">
        <f t="shared" si="7"/>
        <v>58</v>
      </c>
      <c r="AL64" s="28">
        <f t="shared" si="7"/>
        <v>134542.85714258999</v>
      </c>
      <c r="AM64" s="29">
        <f t="shared" si="8"/>
        <v>8.4112015985135125E-2</v>
      </c>
      <c r="AO64" s="9" t="s">
        <v>1</v>
      </c>
      <c r="AP64" s="9"/>
      <c r="AQ64" s="8">
        <v>260</v>
      </c>
      <c r="AR64" s="7">
        <v>1455039.52380887</v>
      </c>
      <c r="AS64" s="27">
        <f t="shared" si="9"/>
        <v>-26</v>
      </c>
      <c r="AT64" s="28">
        <f t="shared" si="9"/>
        <v>-279070.95238076989</v>
      </c>
      <c r="AU64" s="29">
        <f t="shared" si="10"/>
        <v>-0.16093031915358263</v>
      </c>
      <c r="AW64" s="9" t="s">
        <v>1</v>
      </c>
      <c r="AX64" s="9"/>
      <c r="AY64" s="8">
        <v>226</v>
      </c>
      <c r="AZ64" s="7">
        <v>1206023.8095231601</v>
      </c>
      <c r="BA64" s="27">
        <f t="shared" si="11"/>
        <v>-34</v>
      </c>
      <c r="BB64" s="28">
        <f t="shared" si="12"/>
        <v>-249015.7142857099</v>
      </c>
      <c r="BC64" s="29">
        <f t="shared" si="13"/>
        <v>-0.171140171941075</v>
      </c>
      <c r="BE64" s="9" t="s">
        <v>1</v>
      </c>
      <c r="BF64" s="9"/>
      <c r="BG64" s="8">
        <v>214</v>
      </c>
      <c r="BH64" s="7">
        <v>1105685.2380945599</v>
      </c>
      <c r="BI64" s="27">
        <f t="shared" si="14"/>
        <v>-12</v>
      </c>
      <c r="BJ64" s="28">
        <f t="shared" si="15"/>
        <v>-100338.57142860023</v>
      </c>
      <c r="BK64" s="29">
        <f t="shared" si="16"/>
        <v>-8.3197836258533137E-2</v>
      </c>
      <c r="BM64" s="9" t="s">
        <v>1</v>
      </c>
      <c r="BN64" s="9"/>
      <c r="BO64" s="8"/>
      <c r="BP64" s="7"/>
      <c r="BQ64" s="27">
        <f t="shared" si="17"/>
        <v>-214</v>
      </c>
      <c r="BR64" s="28">
        <f t="shared" si="18"/>
        <v>-1105685.2380945599</v>
      </c>
      <c r="BS64" s="29">
        <f t="shared" si="19"/>
        <v>-1</v>
      </c>
      <c r="BU64" s="9" t="s">
        <v>1</v>
      </c>
      <c r="BV64" s="9"/>
      <c r="BW64" s="8"/>
      <c r="BX64" s="7"/>
      <c r="BY64" s="27">
        <f t="shared" si="32"/>
        <v>0</v>
      </c>
      <c r="BZ64" s="28">
        <f t="shared" si="21"/>
        <v>0</v>
      </c>
      <c r="CA64" s="29" t="e">
        <f t="shared" si="22"/>
        <v>#DIV/0!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>
        <v>1943</v>
      </c>
      <c r="AB65" s="2">
        <v>16504919.047614958</v>
      </c>
      <c r="AC65" s="6">
        <f t="shared" si="5"/>
        <v>-71</v>
      </c>
      <c r="AD65" s="5">
        <f t="shared" si="5"/>
        <v>-3545055.7142854333</v>
      </c>
      <c r="AE65" s="30">
        <f t="shared" si="6"/>
        <v>-0.17681098137948095</v>
      </c>
      <c r="AG65" s="4" t="s">
        <v>0</v>
      </c>
      <c r="AH65" s="4"/>
      <c r="AI65" s="4">
        <v>2341</v>
      </c>
      <c r="AJ65" s="49">
        <v>20474951.904757049</v>
      </c>
      <c r="AK65" s="6">
        <f t="shared" si="7"/>
        <v>398</v>
      </c>
      <c r="AL65" s="5">
        <f t="shared" si="7"/>
        <v>3970032.8571420908</v>
      </c>
      <c r="AM65" s="30">
        <f t="shared" si="8"/>
        <v>0.24053634226796042</v>
      </c>
      <c r="AO65" s="4" t="s">
        <v>0</v>
      </c>
      <c r="AP65" s="4"/>
      <c r="AQ65" s="3">
        <v>2062</v>
      </c>
      <c r="AR65" s="2">
        <v>18647415.238091029</v>
      </c>
      <c r="AS65" s="6">
        <f t="shared" si="9"/>
        <v>-279</v>
      </c>
      <c r="AT65" s="5">
        <f t="shared" si="9"/>
        <v>-1827536.6666660197</v>
      </c>
      <c r="AU65" s="30">
        <f t="shared" si="10"/>
        <v>-8.9257189719767732E-2</v>
      </c>
      <c r="AW65" s="4" t="s">
        <v>0</v>
      </c>
      <c r="AX65" s="4"/>
      <c r="AY65" s="3">
        <v>1769</v>
      </c>
      <c r="AZ65" s="2">
        <v>14188011.42856749</v>
      </c>
      <c r="BA65" s="6">
        <f t="shared" si="11"/>
        <v>-293</v>
      </c>
      <c r="BB65" s="5">
        <f t="shared" si="12"/>
        <v>-4459403.8095235396</v>
      </c>
      <c r="BC65" s="30">
        <f t="shared" si="13"/>
        <v>-0.23914326744943859</v>
      </c>
      <c r="BE65" s="4" t="s">
        <v>0</v>
      </c>
      <c r="BF65" s="4"/>
      <c r="BG65" s="3">
        <v>1780</v>
      </c>
      <c r="BH65" s="2">
        <v>14018858.571424255</v>
      </c>
      <c r="BI65" s="6">
        <f t="shared" si="14"/>
        <v>11</v>
      </c>
      <c r="BJ65" s="5">
        <f t="shared" si="15"/>
        <v>-169152.85714323446</v>
      </c>
      <c r="BK65" s="30">
        <f t="shared" si="16"/>
        <v>-1.1922238574085586E-2</v>
      </c>
      <c r="BM65" s="4" t="s">
        <v>0</v>
      </c>
      <c r="BN65" s="4"/>
      <c r="BO65" s="3"/>
      <c r="BP65" s="2"/>
      <c r="BQ65" s="6">
        <f t="shared" si="17"/>
        <v>-1780</v>
      </c>
      <c r="BR65" s="5">
        <f t="shared" si="18"/>
        <v>-14018858.571424255</v>
      </c>
      <c r="BS65" s="30">
        <f t="shared" si="19"/>
        <v>-1</v>
      </c>
      <c r="BU65" s="4" t="s">
        <v>0</v>
      </c>
      <c r="BV65" s="4"/>
      <c r="BW65" s="3"/>
      <c r="BX65" s="2"/>
      <c r="BY65" s="6">
        <f t="shared" si="32"/>
        <v>0</v>
      </c>
      <c r="BZ65" s="5">
        <f t="shared" si="21"/>
        <v>0</v>
      </c>
      <c r="CA65" s="30" t="e">
        <f t="shared" si="22"/>
        <v>#DIV/0!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2026-05-31T13:38:08Z</dcterms:modified>
</cp:coreProperties>
</file>