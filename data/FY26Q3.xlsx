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E5F2AE45-3CBD-124A-A494-F0D4BB1BD09E}" xr6:coauthVersionLast="47" xr6:coauthVersionMax="47" xr10:uidLastSave="{00000000-0000-0000-0000-000000000000}"/>
  <bookViews>
    <workbookView xWindow="16440" yWindow="3120" windowWidth="177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<sst xmlns="http://schemas.openxmlformats.org/spreadsheetml/2006/main" count="884" uniqueCount="46">
  <si>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</si>
  <si>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</si>
  <si>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</si>
  <si>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</si>
  <si>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</si>
  <si>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</si>
  <si>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</si>
  <si>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</si>
  <si>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</si>
  <si>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</si>
  <si>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</si>
  <si>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</si>
  <si>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</si>
  <si>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</si>
  <si>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</si>
  <si>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</si>
  <si>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</si>
  <si>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</si>
  <si>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</si>
  <si>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</si>
  <si>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</si>
  <si>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</si>
  <si>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</si>
  <si>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</si>
  <si>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</si>
  <si>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</si>
  <si>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</si>
  <si>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</si>
  <si>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</si>
  <si>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</si>
  <si>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</si>
  <si>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</si>
  <si>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</si>
  <si>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</si>
  <si>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</si>
  <si>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</si>
  <si>
    <t>26Q3W8</t>
    <phoneticPr fontId="2" type="noConversion"/>
  </si>
  <si>
    <t>05/17~05/23</t>
    <phoneticPr fontId="2" type="noConversion"/>
  </si>
  <si>
    <t>26Q3W9</t>
    <phoneticPr fontId="2" type="noConversion"/>
  </si>
  <si>
    <t>05/24~05/30</t>
    <phoneticPr fontId="2" type="noConversion"/>
  </si>
  <si>
    <t>26Q3W10</t>
    <phoneticPr fontId="2" type="noConversion"/>
  </si>
  <si>
    <t>05/31~06/06</t>
    <phoneticPr fontId="2" type="noConversion"/>
  </si>
  <si>
    <t>26Q3W11</t>
    <phoneticPr fontId="2" type="noConversion"/>
  </si>
  <si>
    <t>06/07~06/13</t>
    <phoneticPr fontId="2" type="noConversion"/>
  </si>
  <si>
    <t>26Q3W12</t>
    <phoneticPr fontId="2" type="noConversion"/>
  </si>
  <si>
    <t>06/14~06/20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</si>
</sst>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3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8" zoomScale="75" workbookViewId="0">
      <pane xSplit="1" topLeftCell="CA1" activePane="topRight" state="frozen"/>
      <selection pane="topRight" activeCell="CM42" sqref="CM42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 t="s">
        <v>36</v>
      </c>
      <c r="BF1" s="26"/>
      <c r="BH1" s="25"/>
      <c r="BM1" s="26" t="s">
        <v>38</v>
      </c>
      <c r="BU1" s="26" t="s">
        <v>40</v>
      </c>
      <c r="BV1" s="26"/>
      <c r="BX1" s="25"/>
      <c r="CC1" s="26" t="s">
        <v>42</v>
      </c>
      <c r="CD1" s="26"/>
      <c r="CF1" s="25"/>
      <c r="CK1" s="26" t="s">
        <v>44</v>
      </c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37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0" t="s">
        <v>43</v>
      </c>
      <c r="CD2" s="21"/>
      <c r="CF2" s="21"/>
      <c r="CG2" s="21"/>
      <c r="CH2" s="21"/>
      <c r="CI2" s="21"/>
      <c r="CK2" s="20" t="s">
        <v>45</v>
      </c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5642</v>
      </c>
      <c r="BH5" s="1"/>
      <c r="BI5" s="10">
        <f t="shared" ref="BI5:BI65" si="14">BG5-AY5</f>
        <v>-119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5351</v>
      </c>
      <c r="BP5" s="1"/>
      <c r="BQ5" s="10">
        <f t="shared" ref="BQ5:BQ65" si="17">BO5-BG5</f>
        <v>-291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5525</v>
      </c>
      <c r="BX5" s="33"/>
      <c r="BY5" s="10">
        <f t="shared" ref="BY5:BY36" si="20">BW5-BO5</f>
        <v>174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>
        <v>5735</v>
      </c>
      <c r="CF5" s="33"/>
      <c r="CG5" s="10">
        <f t="shared" ref="CG5:CG65" si="23">CE5-BW5</f>
        <v>210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>
        <v>6416</v>
      </c>
      <c r="CN5" s="33"/>
      <c r="CO5" s="10">
        <f t="shared" ref="CO5:CO65" si="26">CM5-CE5</f>
        <v>681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-6416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16</v>
      </c>
      <c r="AZ6" s="33"/>
      <c r="BA6" s="10">
        <f t="shared" si="11"/>
        <v>1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11</v>
      </c>
      <c r="BH6" s="33"/>
      <c r="BI6" s="10">
        <f t="shared" si="14"/>
        <v>-5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8</v>
      </c>
      <c r="BP6" s="33"/>
      <c r="BQ6" s="10">
        <f t="shared" si="17"/>
        <v>-3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14</v>
      </c>
      <c r="BX6" s="33"/>
      <c r="BY6" s="10">
        <f t="shared" si="20"/>
        <v>6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E6" s="15">
        <v>8</v>
      </c>
      <c r="CF6" s="33"/>
      <c r="CG6" s="10">
        <f t="shared" si="23"/>
        <v>-6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-8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G7" s="10">
        <v>197</v>
      </c>
      <c r="BH7" s="12">
        <v>247345.71428483998</v>
      </c>
      <c r="BI7" s="10">
        <f t="shared" si="14"/>
        <v>54</v>
      </c>
      <c r="BJ7" s="12">
        <f t="shared" si="15"/>
        <v>59292.380952120031</v>
      </c>
      <c r="BK7" s="11">
        <f t="shared" si="16"/>
        <v>0.31529555951669791</v>
      </c>
      <c r="BM7" s="14"/>
      <c r="BN7" s="13" t="s">
        <v>10</v>
      </c>
      <c r="BO7" s="10">
        <v>190</v>
      </c>
      <c r="BP7" s="12">
        <v>236653.33333254</v>
      </c>
      <c r="BQ7" s="10">
        <f t="shared" si="17"/>
        <v>-7</v>
      </c>
      <c r="BR7" s="12">
        <f t="shared" si="18"/>
        <v>-10692.38095229998</v>
      </c>
      <c r="BS7" s="11">
        <f t="shared" si="19"/>
        <v>-4.3228486829518215E-2</v>
      </c>
      <c r="BU7" s="14"/>
      <c r="BV7" s="13" t="s">
        <v>10</v>
      </c>
      <c r="BW7" s="10">
        <v>160</v>
      </c>
      <c r="BX7" s="12">
        <v>192199.99999935</v>
      </c>
      <c r="BY7" s="10">
        <f t="shared" si="20"/>
        <v>-30</v>
      </c>
      <c r="BZ7" s="12">
        <f t="shared" si="21"/>
        <v>-44453.333333190007</v>
      </c>
      <c r="CA7" s="11">
        <f t="shared" si="22"/>
        <v>-0.18784156853909667</v>
      </c>
      <c r="CC7" s="14"/>
      <c r="CD7" s="13" t="s">
        <v>10</v>
      </c>
      <c r="CE7" s="10">
        <v>188</v>
      </c>
      <c r="CF7" s="12">
        <v>238791.42857063009</v>
      </c>
      <c r="CG7" s="10">
        <f t="shared" si="23"/>
        <v>28</v>
      </c>
      <c r="CH7" s="12">
        <f t="shared" si="24"/>
        <v>46591.428571280092</v>
      </c>
      <c r="CI7" s="11">
        <f t="shared" si="25"/>
        <v>0.24241117883162155</v>
      </c>
      <c r="CK7" s="14"/>
      <c r="CL7" s="13" t="s">
        <v>10</v>
      </c>
      <c r="CM7" s="10">
        <v>181</v>
      </c>
      <c r="CN7" s="12">
        <v>215959.04761827007</v>
      </c>
      <c r="CO7" s="10">
        <f t="shared" si="26"/>
        <v>-7</v>
      </c>
      <c r="CP7" s="12">
        <f t="shared" si="27"/>
        <v>-22832.380952360021</v>
      </c>
      <c r="CQ7" s="11">
        <f t="shared" si="28"/>
        <v>-9.5616417595184439E-2</v>
      </c>
      <c r="CS7" s="14"/>
      <c r="CT7" s="13" t="s">
        <v>10</v>
      </c>
      <c r="CV7" s="12"/>
      <c r="CW7" s="10">
        <f t="shared" si="29"/>
        <v>-181</v>
      </c>
      <c r="CX7" s="12">
        <f t="shared" si="30"/>
        <v>-215959.04761827007</v>
      </c>
      <c r="CY7" s="11">
        <f t="shared" si="31"/>
        <v>-1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G8" s="10">
        <v>224</v>
      </c>
      <c r="BH8" s="12">
        <v>321190.47619030986</v>
      </c>
      <c r="BI8" s="10">
        <f t="shared" si="14"/>
        <v>33</v>
      </c>
      <c r="BJ8" s="12">
        <f t="shared" si="15"/>
        <v>13933.333333299903</v>
      </c>
      <c r="BK8" s="11">
        <f t="shared" si="16"/>
        <v>4.5347467608862518E-2</v>
      </c>
      <c r="BM8" s="14"/>
      <c r="BN8" s="13" t="s">
        <v>9</v>
      </c>
      <c r="BO8" s="10">
        <v>145</v>
      </c>
      <c r="BP8" s="12">
        <v>209325.71428555003</v>
      </c>
      <c r="BQ8" s="10">
        <f t="shared" si="17"/>
        <v>-79</v>
      </c>
      <c r="BR8" s="12">
        <f t="shared" si="18"/>
        <v>-111864.76190475983</v>
      </c>
      <c r="BS8" s="11">
        <f t="shared" si="19"/>
        <v>-0.34828169014101895</v>
      </c>
      <c r="BU8" s="14"/>
      <c r="BV8" s="13" t="s">
        <v>9</v>
      </c>
      <c r="BW8" s="10">
        <v>246</v>
      </c>
      <c r="BX8" s="12">
        <v>345356.19047600986</v>
      </c>
      <c r="BY8" s="10">
        <f t="shared" si="20"/>
        <v>101</v>
      </c>
      <c r="BZ8" s="12">
        <f t="shared" si="21"/>
        <v>136030.47619045983</v>
      </c>
      <c r="CA8" s="11">
        <f t="shared" si="22"/>
        <v>0.649850767999267</v>
      </c>
      <c r="CC8" s="14"/>
      <c r="CD8" s="13" t="s">
        <v>9</v>
      </c>
      <c r="CE8" s="10">
        <v>248</v>
      </c>
      <c r="CF8" s="12">
        <v>401064.76190457988</v>
      </c>
      <c r="CG8" s="10">
        <f t="shared" si="23"/>
        <v>2</v>
      </c>
      <c r="CH8" s="12">
        <f t="shared" si="24"/>
        <v>55708.571428570023</v>
      </c>
      <c r="CI8" s="11">
        <f t="shared" si="25"/>
        <v>0.16130758030364542</v>
      </c>
      <c r="CK8" s="14"/>
      <c r="CL8" s="13" t="s">
        <v>9</v>
      </c>
      <c r="CM8" s="10">
        <v>277</v>
      </c>
      <c r="CN8" s="12">
        <v>357247.61904741998</v>
      </c>
      <c r="CO8" s="10">
        <f t="shared" si="26"/>
        <v>29</v>
      </c>
      <c r="CP8" s="12">
        <f t="shared" si="27"/>
        <v>-43817.142857159895</v>
      </c>
      <c r="CQ8" s="11">
        <f t="shared" si="28"/>
        <v>-0.10925203862109616</v>
      </c>
      <c r="CS8" s="14"/>
      <c r="CT8" s="13" t="s">
        <v>9</v>
      </c>
      <c r="CV8" s="12"/>
      <c r="CW8" s="10">
        <f t="shared" si="29"/>
        <v>-277</v>
      </c>
      <c r="CX8" s="12">
        <f t="shared" si="30"/>
        <v>-357247.61904741998</v>
      </c>
      <c r="CY8" s="11">
        <f t="shared" si="31"/>
        <v>-1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G9" s="10">
        <v>55</v>
      </c>
      <c r="BH9" s="12">
        <v>375190.47619045997</v>
      </c>
      <c r="BI9" s="10">
        <f t="shared" si="14"/>
        <v>-13</v>
      </c>
      <c r="BJ9" s="12">
        <f t="shared" si="15"/>
        <v>-128447.61904760002</v>
      </c>
      <c r="BK9" s="11">
        <f t="shared" si="16"/>
        <v>-0.25503952195452034</v>
      </c>
      <c r="BM9" s="14"/>
      <c r="BN9" s="13" t="s">
        <v>8</v>
      </c>
      <c r="BO9" s="10">
        <v>58</v>
      </c>
      <c r="BP9" s="12">
        <v>372304.76190474001</v>
      </c>
      <c r="BQ9" s="10">
        <f t="shared" si="17"/>
        <v>3</v>
      </c>
      <c r="BR9" s="12">
        <f t="shared" si="18"/>
        <v>-2885.7142857199651</v>
      </c>
      <c r="BS9" s="11">
        <f t="shared" si="19"/>
        <v>-7.6913313872473523E-3</v>
      </c>
      <c r="BU9" s="14"/>
      <c r="BV9" s="13" t="s">
        <v>8</v>
      </c>
      <c r="BW9" s="10">
        <v>54</v>
      </c>
      <c r="BX9" s="12">
        <v>354723.80952379003</v>
      </c>
      <c r="BY9" s="10">
        <f t="shared" si="20"/>
        <v>-4</v>
      </c>
      <c r="BZ9" s="12">
        <f t="shared" si="21"/>
        <v>-17580.952380949981</v>
      </c>
      <c r="CA9" s="11">
        <f t="shared" si="22"/>
        <v>-4.7221937992424447E-2</v>
      </c>
      <c r="CC9" s="14"/>
      <c r="CD9" s="13" t="s">
        <v>8</v>
      </c>
      <c r="CE9" s="10">
        <v>75</v>
      </c>
      <c r="CF9" s="12">
        <v>487572.38095234998</v>
      </c>
      <c r="CG9" s="10">
        <f t="shared" si="23"/>
        <v>21</v>
      </c>
      <c r="CH9" s="12">
        <f t="shared" si="24"/>
        <v>132848.57142855995</v>
      </c>
      <c r="CI9" s="11">
        <f t="shared" si="25"/>
        <v>0.37451269935025405</v>
      </c>
      <c r="CK9" s="14"/>
      <c r="CL9" s="13" t="s">
        <v>8</v>
      </c>
      <c r="CM9" s="10">
        <v>61</v>
      </c>
      <c r="CN9" s="12">
        <v>388849.52380950999</v>
      </c>
      <c r="CO9" s="10">
        <f t="shared" si="26"/>
        <v>-14</v>
      </c>
      <c r="CP9" s="12">
        <f t="shared" si="27"/>
        <v>-98722.857142839988</v>
      </c>
      <c r="CQ9" s="11">
        <f t="shared" si="28"/>
        <v>-0.20247836218698387</v>
      </c>
      <c r="CS9" s="14"/>
      <c r="CT9" s="13" t="s">
        <v>8</v>
      </c>
      <c r="CV9" s="12"/>
      <c r="CW9" s="10">
        <f t="shared" si="29"/>
        <v>-61</v>
      </c>
      <c r="CX9" s="12">
        <f t="shared" si="30"/>
        <v>-388849.52380950999</v>
      </c>
      <c r="CY9" s="11">
        <f t="shared" si="31"/>
        <v>-1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G10" s="10">
        <v>34</v>
      </c>
      <c r="BH10" s="12">
        <v>411047.61904753</v>
      </c>
      <c r="BI10" s="10">
        <f t="shared" si="14"/>
        <v>-16</v>
      </c>
      <c r="BJ10" s="12">
        <f t="shared" si="15"/>
        <v>-245142.85714283003</v>
      </c>
      <c r="BK10" s="11">
        <f t="shared" si="16"/>
        <v>-0.3735849056604022</v>
      </c>
      <c r="BM10" s="14"/>
      <c r="BN10" s="13" t="s">
        <v>7</v>
      </c>
      <c r="BO10" s="10">
        <v>34</v>
      </c>
      <c r="BP10" s="12">
        <v>491047.61904754001</v>
      </c>
      <c r="BQ10" s="10">
        <f t="shared" si="17"/>
        <v>0</v>
      </c>
      <c r="BR10" s="12">
        <f t="shared" si="18"/>
        <v>80000.000000010012</v>
      </c>
      <c r="BS10" s="11">
        <f t="shared" si="19"/>
        <v>0.19462465245604427</v>
      </c>
      <c r="BU10" s="14"/>
      <c r="BV10" s="13" t="s">
        <v>7</v>
      </c>
      <c r="BW10" s="10">
        <v>42</v>
      </c>
      <c r="BX10" s="12">
        <v>536290.47619040008</v>
      </c>
      <c r="BY10" s="10">
        <f t="shared" si="20"/>
        <v>8</v>
      </c>
      <c r="BZ10" s="12">
        <f t="shared" si="21"/>
        <v>45242.85714286007</v>
      </c>
      <c r="CA10" s="11">
        <f t="shared" si="22"/>
        <v>9.2135376260687976E-2</v>
      </c>
      <c r="CC10" s="14"/>
      <c r="CD10" s="13" t="s">
        <v>7</v>
      </c>
      <c r="CE10" s="10">
        <v>45</v>
      </c>
      <c r="CF10" s="12">
        <v>569999.99999992002</v>
      </c>
      <c r="CG10" s="10">
        <f t="shared" si="23"/>
        <v>3</v>
      </c>
      <c r="CH10" s="12">
        <f t="shared" si="24"/>
        <v>33709.523809519946</v>
      </c>
      <c r="CI10" s="11">
        <f t="shared" si="25"/>
        <v>6.285683842267599E-2</v>
      </c>
      <c r="CK10" s="14"/>
      <c r="CL10" s="13" t="s">
        <v>7</v>
      </c>
      <c r="CM10" s="10">
        <v>39</v>
      </c>
      <c r="CN10" s="12">
        <v>491523.80952373007</v>
      </c>
      <c r="CO10" s="10">
        <f t="shared" si="26"/>
        <v>-6</v>
      </c>
      <c r="CP10" s="12">
        <f t="shared" si="27"/>
        <v>-78476.19047618995</v>
      </c>
      <c r="CQ10" s="11">
        <f t="shared" si="28"/>
        <v>-0.13767752715122974</v>
      </c>
      <c r="CS10" s="14"/>
      <c r="CT10" s="13" t="s">
        <v>7</v>
      </c>
      <c r="CV10" s="12"/>
      <c r="CW10" s="10">
        <f t="shared" si="29"/>
        <v>-39</v>
      </c>
      <c r="CX10" s="12">
        <f t="shared" si="30"/>
        <v>-491523.80952373007</v>
      </c>
      <c r="CY10" s="11">
        <f t="shared" si="31"/>
        <v>-1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G11" s="10">
        <v>1</v>
      </c>
      <c r="BH11" s="12">
        <v>8857.1428571399993</v>
      </c>
      <c r="BI11" s="10">
        <f t="shared" si="14"/>
        <v>0</v>
      </c>
      <c r="BJ11" s="12">
        <f t="shared" si="15"/>
        <v>0</v>
      </c>
      <c r="BK11" s="11">
        <f t="shared" si="16"/>
        <v>0</v>
      </c>
      <c r="BM11" s="14"/>
      <c r="BN11" s="13" t="s">
        <v>6</v>
      </c>
      <c r="BP11" s="12"/>
      <c r="BQ11" s="10">
        <f t="shared" si="17"/>
        <v>-1</v>
      </c>
      <c r="BR11" s="12">
        <f t="shared" si="18"/>
        <v>-8857.1428571399993</v>
      </c>
      <c r="BS11" s="11">
        <f t="shared" si="19"/>
        <v>-1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G12" s="10">
        <v>7</v>
      </c>
      <c r="BH12" s="12">
        <v>40030</v>
      </c>
      <c r="BI12" s="10">
        <f t="shared" si="14"/>
        <v>-11</v>
      </c>
      <c r="BJ12" s="12">
        <f t="shared" si="15"/>
        <v>-47820</v>
      </c>
      <c r="BK12" s="11">
        <f t="shared" si="16"/>
        <v>-0.54433693796243598</v>
      </c>
      <c r="BM12" s="14"/>
      <c r="BN12" s="13" t="s">
        <v>5</v>
      </c>
      <c r="BO12" s="10">
        <v>9</v>
      </c>
      <c r="BP12" s="12">
        <v>44230</v>
      </c>
      <c r="BQ12" s="10">
        <f t="shared" si="17"/>
        <v>2</v>
      </c>
      <c r="BR12" s="12">
        <f t="shared" si="18"/>
        <v>4200</v>
      </c>
      <c r="BS12" s="11">
        <f t="shared" si="19"/>
        <v>0.10492130901823632</v>
      </c>
      <c r="BU12" s="14"/>
      <c r="BV12" s="13" t="s">
        <v>5</v>
      </c>
      <c r="BW12" s="10">
        <v>9</v>
      </c>
      <c r="BX12" s="12">
        <v>64210</v>
      </c>
      <c r="BY12" s="10">
        <f t="shared" si="20"/>
        <v>0</v>
      </c>
      <c r="BZ12" s="12">
        <f t="shared" si="21"/>
        <v>19980</v>
      </c>
      <c r="CA12" s="11">
        <f t="shared" si="22"/>
        <v>0.45172959529730949</v>
      </c>
      <c r="CC12" s="14"/>
      <c r="CD12" s="13" t="s">
        <v>5</v>
      </c>
      <c r="CE12" s="10">
        <v>19</v>
      </c>
      <c r="CF12" s="12">
        <v>84420</v>
      </c>
      <c r="CG12" s="10">
        <f t="shared" si="23"/>
        <v>10</v>
      </c>
      <c r="CH12" s="12">
        <f t="shared" si="24"/>
        <v>20210</v>
      </c>
      <c r="CI12" s="11">
        <f t="shared" si="25"/>
        <v>0.31474848154493068</v>
      </c>
      <c r="CK12" s="14"/>
      <c r="CL12" s="13" t="s">
        <v>5</v>
      </c>
      <c r="CM12" s="10">
        <v>12</v>
      </c>
      <c r="CN12" s="12">
        <v>80780</v>
      </c>
      <c r="CO12" s="10">
        <f t="shared" si="26"/>
        <v>-7</v>
      </c>
      <c r="CP12" s="12">
        <f t="shared" si="27"/>
        <v>-3640</v>
      </c>
      <c r="CQ12" s="11">
        <f t="shared" si="28"/>
        <v>-4.3117744610281922E-2</v>
      </c>
      <c r="CS12" s="14"/>
      <c r="CT12" s="13" t="s">
        <v>5</v>
      </c>
      <c r="CV12" s="12"/>
      <c r="CW12" s="10">
        <f t="shared" si="29"/>
        <v>-12</v>
      </c>
      <c r="CX12" s="12">
        <f t="shared" si="30"/>
        <v>-80780</v>
      </c>
      <c r="CY12" s="11">
        <f t="shared" si="31"/>
        <v>-1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G13" s="10">
        <v>38</v>
      </c>
      <c r="BH13" s="12">
        <v>1349485.7142855995</v>
      </c>
      <c r="BI13" s="10">
        <f t="shared" si="14"/>
        <v>11</v>
      </c>
      <c r="BJ13" s="12">
        <f t="shared" si="15"/>
        <v>345090.47619042965</v>
      </c>
      <c r="BK13" s="11">
        <f t="shared" si="16"/>
        <v>0.34358035870907938</v>
      </c>
      <c r="BM13" s="14"/>
      <c r="BN13" s="13" t="s">
        <v>4</v>
      </c>
      <c r="BO13" s="10">
        <v>29</v>
      </c>
      <c r="BP13" s="12">
        <v>1297114.28571422</v>
      </c>
      <c r="BQ13" s="10">
        <f t="shared" si="17"/>
        <v>-9</v>
      </c>
      <c r="BR13" s="12">
        <f t="shared" si="18"/>
        <v>-52371.428571379511</v>
      </c>
      <c r="BS13" s="11">
        <f t="shared" si="19"/>
        <v>-3.8808434959316539E-2</v>
      </c>
      <c r="BU13" s="14"/>
      <c r="BV13" s="13" t="s">
        <v>4</v>
      </c>
      <c r="BW13" s="10">
        <v>27</v>
      </c>
      <c r="BX13" s="12">
        <v>1058461.9047618101</v>
      </c>
      <c r="BY13" s="10">
        <f t="shared" si="20"/>
        <v>-2</v>
      </c>
      <c r="BZ13" s="12">
        <f t="shared" si="21"/>
        <v>-238652.38095240993</v>
      </c>
      <c r="CA13" s="11">
        <f t="shared" si="22"/>
        <v>-0.18398716564978901</v>
      </c>
      <c r="CC13" s="14"/>
      <c r="CD13" s="13" t="s">
        <v>4</v>
      </c>
      <c r="CE13" s="10">
        <v>33</v>
      </c>
      <c r="CF13" s="12">
        <v>1255690.47619037</v>
      </c>
      <c r="CG13" s="10">
        <f t="shared" si="23"/>
        <v>6</v>
      </c>
      <c r="CH13" s="12">
        <f t="shared" si="24"/>
        <v>197228.57142855995</v>
      </c>
      <c r="CI13" s="11">
        <f t="shared" si="25"/>
        <v>0.18633506840564384</v>
      </c>
      <c r="CK13" s="14"/>
      <c r="CL13" s="13" t="s">
        <v>4</v>
      </c>
      <c r="CM13" s="10">
        <v>46</v>
      </c>
      <c r="CN13" s="12">
        <v>1416838.0952379801</v>
      </c>
      <c r="CO13" s="10">
        <f t="shared" si="26"/>
        <v>13</v>
      </c>
      <c r="CP13" s="12">
        <f t="shared" si="27"/>
        <v>161147.61904761009</v>
      </c>
      <c r="CQ13" s="11">
        <f t="shared" si="28"/>
        <v>0.12833387057017001</v>
      </c>
      <c r="CS13" s="14"/>
      <c r="CT13" s="13" t="s">
        <v>4</v>
      </c>
      <c r="CV13" s="12"/>
      <c r="CW13" s="10">
        <f t="shared" si="29"/>
        <v>-46</v>
      </c>
      <c r="CX13" s="12">
        <f t="shared" si="30"/>
        <v>-1416838.0952379801</v>
      </c>
      <c r="CY13" s="11">
        <f t="shared" si="31"/>
        <v>-1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G14" s="10">
        <v>51</v>
      </c>
      <c r="BH14" s="12">
        <v>939619.04761893023</v>
      </c>
      <c r="BI14" s="10">
        <f t="shared" si="14"/>
        <v>-5</v>
      </c>
      <c r="BJ14" s="12">
        <f t="shared" si="15"/>
        <v>-333060.95238095988</v>
      </c>
      <c r="BK14" s="11">
        <f t="shared" si="16"/>
        <v>-0.26170046860246776</v>
      </c>
      <c r="BM14" s="14"/>
      <c r="BN14" s="13" t="s">
        <v>3</v>
      </c>
      <c r="BO14" s="10">
        <v>56</v>
      </c>
      <c r="BP14" s="12">
        <v>1051047.6190475204</v>
      </c>
      <c r="BQ14" s="10">
        <f t="shared" si="17"/>
        <v>5</v>
      </c>
      <c r="BR14" s="12">
        <f t="shared" si="18"/>
        <v>111428.57142859022</v>
      </c>
      <c r="BS14" s="11">
        <f t="shared" si="19"/>
        <v>0.11858909385772791</v>
      </c>
      <c r="BU14" s="14"/>
      <c r="BV14" s="13" t="s">
        <v>3</v>
      </c>
      <c r="BW14" s="10">
        <v>42</v>
      </c>
      <c r="BX14" s="12">
        <v>841809.52380944008</v>
      </c>
      <c r="BY14" s="10">
        <f t="shared" si="20"/>
        <v>-14</v>
      </c>
      <c r="BZ14" s="12">
        <f t="shared" si="21"/>
        <v>-209238.09523808036</v>
      </c>
      <c r="CA14" s="11">
        <f t="shared" si="22"/>
        <v>-0.19907575208409295</v>
      </c>
      <c r="CC14" s="14"/>
      <c r="CD14" s="13" t="s">
        <v>3</v>
      </c>
      <c r="CE14" s="10">
        <v>66</v>
      </c>
      <c r="CF14" s="12">
        <v>1463238.0952379603</v>
      </c>
      <c r="CG14" s="10">
        <f t="shared" si="23"/>
        <v>24</v>
      </c>
      <c r="CH14" s="12">
        <f t="shared" si="24"/>
        <v>621428.57142852026</v>
      </c>
      <c r="CI14" s="11">
        <f t="shared" si="25"/>
        <v>0.73820567937550763</v>
      </c>
      <c r="CK14" s="14"/>
      <c r="CL14" s="13" t="s">
        <v>3</v>
      </c>
      <c r="CM14" s="10">
        <v>51</v>
      </c>
      <c r="CN14" s="12">
        <v>1142380.9523808402</v>
      </c>
      <c r="CO14" s="10">
        <f t="shared" si="26"/>
        <v>-15</v>
      </c>
      <c r="CP14" s="12">
        <f t="shared" si="27"/>
        <v>-320857.14285712014</v>
      </c>
      <c r="CQ14" s="11">
        <f t="shared" si="28"/>
        <v>-0.21927883363707837</v>
      </c>
      <c r="CS14" s="14"/>
      <c r="CT14" s="13" t="s">
        <v>3</v>
      </c>
      <c r="CV14" s="12"/>
      <c r="CW14" s="10">
        <f t="shared" si="29"/>
        <v>-51</v>
      </c>
      <c r="CX14" s="12">
        <f t="shared" si="30"/>
        <v>-1142380.9523808402</v>
      </c>
      <c r="CY14" s="11">
        <f t="shared" si="31"/>
        <v>-1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G15" s="10">
        <v>84</v>
      </c>
      <c r="BH15" s="12">
        <v>3233904.7619046797</v>
      </c>
      <c r="BI15" s="10">
        <f t="shared" si="14"/>
        <v>26</v>
      </c>
      <c r="BJ15" s="12">
        <f t="shared" si="15"/>
        <v>1091809.5238095098</v>
      </c>
      <c r="BK15" s="11">
        <f t="shared" si="16"/>
        <v>0.5096923350524728</v>
      </c>
      <c r="BM15" s="14"/>
      <c r="BN15" s="13" t="s">
        <v>2</v>
      </c>
      <c r="BO15" s="10">
        <v>71</v>
      </c>
      <c r="BP15" s="12">
        <v>2628476.1904761</v>
      </c>
      <c r="BQ15" s="10">
        <f t="shared" si="17"/>
        <v>-13</v>
      </c>
      <c r="BR15" s="12">
        <f t="shared" si="18"/>
        <v>-605428.57142857974</v>
      </c>
      <c r="BS15" s="11">
        <f t="shared" si="19"/>
        <v>-0.18721286370597975</v>
      </c>
      <c r="BU15" s="14"/>
      <c r="BV15" s="13" t="s">
        <v>2</v>
      </c>
      <c r="BW15" s="10">
        <v>79</v>
      </c>
      <c r="BX15" s="12">
        <v>2778088.5714284801</v>
      </c>
      <c r="BY15" s="10">
        <f t="shared" si="20"/>
        <v>8</v>
      </c>
      <c r="BZ15" s="12">
        <f t="shared" si="21"/>
        <v>149612.38095238013</v>
      </c>
      <c r="CA15" s="11">
        <f t="shared" si="22"/>
        <v>5.6919815935361627E-2</v>
      </c>
      <c r="CC15" s="14"/>
      <c r="CD15" s="13" t="s">
        <v>2</v>
      </c>
      <c r="CE15" s="10">
        <v>91</v>
      </c>
      <c r="CF15" s="12">
        <v>3423385.7142856503</v>
      </c>
      <c r="CG15" s="10">
        <f t="shared" si="23"/>
        <v>12</v>
      </c>
      <c r="CH15" s="12">
        <f t="shared" si="24"/>
        <v>645297.1428571702</v>
      </c>
      <c r="CI15" s="11">
        <f t="shared" si="25"/>
        <v>0.23228098250494636</v>
      </c>
      <c r="CK15" s="14"/>
      <c r="CL15" s="13" t="s">
        <v>2</v>
      </c>
      <c r="CM15" s="10">
        <v>82</v>
      </c>
      <c r="CN15" s="12">
        <v>2929333.3333332599</v>
      </c>
      <c r="CO15" s="10">
        <f t="shared" si="26"/>
        <v>-9</v>
      </c>
      <c r="CP15" s="12">
        <f t="shared" si="27"/>
        <v>-494052.38095239038</v>
      </c>
      <c r="CQ15" s="11">
        <f t="shared" si="28"/>
        <v>-0.14431689040785844</v>
      </c>
      <c r="CS15" s="14"/>
      <c r="CT15" s="13" t="s">
        <v>2</v>
      </c>
      <c r="CV15" s="12"/>
      <c r="CW15" s="10">
        <f t="shared" si="29"/>
        <v>-82</v>
      </c>
      <c r="CX15" s="12">
        <f t="shared" si="30"/>
        <v>-2929333.3333332599</v>
      </c>
      <c r="CY15" s="11">
        <f t="shared" si="31"/>
        <v>-1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>
        <v>691</v>
      </c>
      <c r="BH16" s="7">
        <v>6926670.9523794893</v>
      </c>
      <c r="BI16" s="27">
        <f t="shared" si="14"/>
        <v>79</v>
      </c>
      <c r="BJ16" s="28">
        <f t="shared" si="15"/>
        <v>755654.28571396973</v>
      </c>
      <c r="BK16" s="29">
        <f t="shared" si="16"/>
        <v>0.1224521544068822</v>
      </c>
      <c r="BM16" s="9" t="s">
        <v>19</v>
      </c>
      <c r="BN16" s="9"/>
      <c r="BO16" s="8">
        <v>592</v>
      </c>
      <c r="BP16" s="7">
        <v>6330199.5238082111</v>
      </c>
      <c r="BQ16" s="27">
        <f t="shared" si="17"/>
        <v>-99</v>
      </c>
      <c r="BR16" s="28">
        <f t="shared" si="18"/>
        <v>-596471.42857127823</v>
      </c>
      <c r="BS16" s="29">
        <f t="shared" si="19"/>
        <v>-8.6112280007522954E-2</v>
      </c>
      <c r="BU16" s="9" t="s">
        <v>19</v>
      </c>
      <c r="BV16" s="9"/>
      <c r="BW16" s="8">
        <v>659</v>
      </c>
      <c r="BX16" s="7">
        <v>6171140.4761892799</v>
      </c>
      <c r="BY16" s="27">
        <f t="shared" si="20"/>
        <v>67</v>
      </c>
      <c r="BZ16" s="28">
        <f t="shared" si="21"/>
        <v>-159059.04761893116</v>
      </c>
      <c r="CA16" s="29">
        <f t="shared" si="22"/>
        <v>-2.5127019617739027E-2</v>
      </c>
      <c r="CC16" s="9" t="s">
        <v>19</v>
      </c>
      <c r="CD16" s="9"/>
      <c r="CE16" s="8">
        <v>765</v>
      </c>
      <c r="CF16" s="7">
        <v>7924162.8571414603</v>
      </c>
      <c r="CG16" s="27">
        <f t="shared" si="23"/>
        <v>106</v>
      </c>
      <c r="CH16" s="28">
        <f t="shared" si="24"/>
        <v>1753022.3809521804</v>
      </c>
      <c r="CI16" s="29">
        <f t="shared" si="25"/>
        <v>0.28406781335087727</v>
      </c>
      <c r="CK16" s="9" t="s">
        <v>19</v>
      </c>
      <c r="CL16" s="9"/>
      <c r="CM16" s="8">
        <v>749</v>
      </c>
      <c r="CN16" s="7">
        <v>7022912.3809510106</v>
      </c>
      <c r="CO16" s="27">
        <f t="shared" si="26"/>
        <v>-16</v>
      </c>
      <c r="CP16" s="28">
        <f t="shared" si="27"/>
        <v>-901250.47619044967</v>
      </c>
      <c r="CQ16" s="29">
        <f t="shared" si="28"/>
        <v>-0.11373447169605044</v>
      </c>
      <c r="CS16" s="9" t="s">
        <v>19</v>
      </c>
      <c r="CT16" s="9"/>
      <c r="CU16" s="8"/>
      <c r="CV16" s="7"/>
      <c r="CW16" s="27">
        <f t="shared" si="29"/>
        <v>-749</v>
      </c>
      <c r="CX16" s="28">
        <f t="shared" si="30"/>
        <v>-7022912.3809510106</v>
      </c>
      <c r="CY16" s="29">
        <f t="shared" si="31"/>
        <v>-1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4036</v>
      </c>
      <c r="BH17" s="35"/>
      <c r="BI17" s="10">
        <f t="shared" si="14"/>
        <v>-336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3865</v>
      </c>
      <c r="BP17" s="35"/>
      <c r="BQ17" s="10">
        <f t="shared" si="17"/>
        <v>-171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3848</v>
      </c>
      <c r="BX17" s="33"/>
      <c r="BY17" s="10">
        <f t="shared" si="20"/>
        <v>-17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>
        <v>2719</v>
      </c>
      <c r="CF17" s="33"/>
      <c r="CG17" s="10">
        <f t="shared" si="23"/>
        <v>-1129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>
        <v>4430</v>
      </c>
      <c r="CN17" s="33"/>
      <c r="CO17" s="10">
        <f t="shared" si="26"/>
        <v>1711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-4430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9</v>
      </c>
      <c r="AZ18" s="35"/>
      <c r="BA18" s="10">
        <f t="shared" si="11"/>
        <v>-5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3</v>
      </c>
      <c r="BH18" s="35"/>
      <c r="BI18" s="10">
        <f t="shared" si="14"/>
        <v>-6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16</v>
      </c>
      <c r="BP18" s="35"/>
      <c r="BQ18" s="10">
        <f t="shared" si="17"/>
        <v>13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16</v>
      </c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>
        <v>7</v>
      </c>
      <c r="CF18" s="33"/>
      <c r="CG18" s="10">
        <f t="shared" si="23"/>
        <v>-9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-7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G19" s="10">
        <v>119</v>
      </c>
      <c r="BH19" s="12">
        <v>121252.38095184001</v>
      </c>
      <c r="BI19" s="10">
        <f t="shared" si="14"/>
        <v>-39</v>
      </c>
      <c r="BJ19" s="12">
        <f t="shared" si="15"/>
        <v>-65087.619047570057</v>
      </c>
      <c r="BK19" s="11">
        <f t="shared" si="16"/>
        <v>-0.34929493961455466</v>
      </c>
      <c r="BM19" s="14"/>
      <c r="BN19" s="13" t="s">
        <v>10</v>
      </c>
      <c r="BO19" s="10">
        <v>124</v>
      </c>
      <c r="BP19" s="12">
        <v>131030.47618989997</v>
      </c>
      <c r="BQ19" s="10">
        <f t="shared" si="17"/>
        <v>5</v>
      </c>
      <c r="BR19" s="12">
        <f t="shared" si="18"/>
        <v>9778.0952380599629</v>
      </c>
      <c r="BS19" s="11">
        <f t="shared" si="19"/>
        <v>8.0642500883703921E-2</v>
      </c>
      <c r="BU19" s="14"/>
      <c r="BV19" s="13" t="s">
        <v>10</v>
      </c>
      <c r="BW19" s="10">
        <v>129</v>
      </c>
      <c r="BX19" s="12">
        <v>147788.57142798993</v>
      </c>
      <c r="BY19" s="10">
        <f t="shared" si="20"/>
        <v>5</v>
      </c>
      <c r="BZ19" s="12">
        <f t="shared" si="21"/>
        <v>16758.095238089954</v>
      </c>
      <c r="CA19" s="11">
        <f t="shared" si="22"/>
        <v>0.1278946373804119</v>
      </c>
      <c r="CC19" s="14"/>
      <c r="CD19" s="13" t="s">
        <v>10</v>
      </c>
      <c r="CE19" s="10">
        <v>121</v>
      </c>
      <c r="CF19" s="12">
        <v>135971.42857091996</v>
      </c>
      <c r="CG19" s="10">
        <f t="shared" si="23"/>
        <v>-8</v>
      </c>
      <c r="CH19" s="12">
        <f t="shared" si="24"/>
        <v>-11817.142857069965</v>
      </c>
      <c r="CI19" s="11">
        <f t="shared" si="25"/>
        <v>-7.9959788114115943E-2</v>
      </c>
      <c r="CK19" s="14"/>
      <c r="CL19" s="13" t="s">
        <v>10</v>
      </c>
      <c r="CM19" s="10">
        <v>152</v>
      </c>
      <c r="CN19" s="12">
        <v>188762.85714221009</v>
      </c>
      <c r="CO19" s="10">
        <f t="shared" si="26"/>
        <v>31</v>
      </c>
      <c r="CP19" s="12">
        <f t="shared" si="27"/>
        <v>52791.428571290133</v>
      </c>
      <c r="CQ19" s="11">
        <f t="shared" si="28"/>
        <v>0.38825383483968606</v>
      </c>
      <c r="CS19" s="14"/>
      <c r="CT19" s="13" t="s">
        <v>10</v>
      </c>
      <c r="CV19" s="12"/>
      <c r="CW19" s="10">
        <f t="shared" si="29"/>
        <v>-152</v>
      </c>
      <c r="CX19" s="12">
        <f t="shared" si="30"/>
        <v>-188762.85714221009</v>
      </c>
      <c r="CY19" s="11">
        <f t="shared" si="31"/>
        <v>-1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G20" s="10">
        <v>158</v>
      </c>
      <c r="BH20" s="12">
        <v>167201.90476180997</v>
      </c>
      <c r="BI20" s="10">
        <f t="shared" si="14"/>
        <v>8</v>
      </c>
      <c r="BJ20" s="12">
        <f t="shared" si="15"/>
        <v>-36664.761904680083</v>
      </c>
      <c r="BK20" s="11">
        <f t="shared" si="16"/>
        <v>-0.17984677193285731</v>
      </c>
      <c r="BM20" s="14"/>
      <c r="BN20" s="13" t="s">
        <v>9</v>
      </c>
      <c r="BO20" s="10">
        <v>124</v>
      </c>
      <c r="BP20" s="12">
        <v>129352.38095226999</v>
      </c>
      <c r="BQ20" s="10">
        <f t="shared" si="17"/>
        <v>-34</v>
      </c>
      <c r="BR20" s="12">
        <f t="shared" si="18"/>
        <v>-37849.523809539984</v>
      </c>
      <c r="BS20" s="11">
        <f t="shared" si="19"/>
        <v>-0.22637017122178782</v>
      </c>
      <c r="BU20" s="14"/>
      <c r="BV20" s="13" t="s">
        <v>9</v>
      </c>
      <c r="BW20" s="10">
        <v>177</v>
      </c>
      <c r="BX20" s="12">
        <v>198124.76190461</v>
      </c>
      <c r="BY20" s="10">
        <f t="shared" si="20"/>
        <v>53</v>
      </c>
      <c r="BZ20" s="12">
        <f t="shared" si="21"/>
        <v>68772.380952340012</v>
      </c>
      <c r="CA20" s="11">
        <f t="shared" si="22"/>
        <v>0.53166691208966987</v>
      </c>
      <c r="CC20" s="14"/>
      <c r="CD20" s="13" t="s">
        <v>9</v>
      </c>
      <c r="CE20" s="10">
        <v>205</v>
      </c>
      <c r="CF20" s="12">
        <v>239438.09523798001</v>
      </c>
      <c r="CG20" s="10">
        <f t="shared" si="23"/>
        <v>28</v>
      </c>
      <c r="CH20" s="12">
        <f t="shared" si="24"/>
        <v>41313.333333370014</v>
      </c>
      <c r="CI20" s="11">
        <f t="shared" si="25"/>
        <v>0.20852180684644006</v>
      </c>
      <c r="CK20" s="14"/>
      <c r="CL20" s="13" t="s">
        <v>9</v>
      </c>
      <c r="CM20" s="10">
        <v>189</v>
      </c>
      <c r="CN20" s="12">
        <v>199820.95238083001</v>
      </c>
      <c r="CO20" s="10">
        <f t="shared" si="26"/>
        <v>-16</v>
      </c>
      <c r="CP20" s="12">
        <f t="shared" si="27"/>
        <v>-39617.14285715</v>
      </c>
      <c r="CQ20" s="11">
        <f t="shared" si="28"/>
        <v>-0.16545881229874515</v>
      </c>
      <c r="CS20" s="14"/>
      <c r="CT20" s="13" t="s">
        <v>9</v>
      </c>
      <c r="CV20" s="12"/>
      <c r="CW20" s="10">
        <f t="shared" si="29"/>
        <v>-189</v>
      </c>
      <c r="CX20" s="12">
        <f t="shared" si="30"/>
        <v>-199820.95238083001</v>
      </c>
      <c r="CY20" s="11">
        <f t="shared" si="31"/>
        <v>-1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G21" s="10">
        <v>39</v>
      </c>
      <c r="BH21" s="12">
        <v>258199.99999998001</v>
      </c>
      <c r="BI21" s="10">
        <f t="shared" si="14"/>
        <v>-7</v>
      </c>
      <c r="BJ21" s="12">
        <f t="shared" si="15"/>
        <v>-47552.380952379986</v>
      </c>
      <c r="BK21" s="11">
        <f t="shared" si="16"/>
        <v>-0.15552579117867682</v>
      </c>
      <c r="BM21" s="14"/>
      <c r="BN21" s="13" t="s">
        <v>8</v>
      </c>
      <c r="BO21" s="10">
        <v>36</v>
      </c>
      <c r="BP21" s="12">
        <v>249657.14285711999</v>
      </c>
      <c r="BQ21" s="10">
        <f t="shared" si="17"/>
        <v>-3</v>
      </c>
      <c r="BR21" s="12">
        <f t="shared" si="18"/>
        <v>-8542.8571428600117</v>
      </c>
      <c r="BS21" s="11">
        <f t="shared" si="19"/>
        <v>-3.3086201172969301E-2</v>
      </c>
      <c r="BU21" s="14"/>
      <c r="BV21" s="13" t="s">
        <v>8</v>
      </c>
      <c r="BW21" s="10">
        <v>36</v>
      </c>
      <c r="BX21" s="12">
        <v>225371.42857140998</v>
      </c>
      <c r="BY21" s="10">
        <f t="shared" si="20"/>
        <v>0</v>
      </c>
      <c r="BZ21" s="12">
        <f t="shared" si="21"/>
        <v>-24285.714285710012</v>
      </c>
      <c r="CA21" s="11">
        <f t="shared" si="22"/>
        <v>-9.7276264591431474E-2</v>
      </c>
      <c r="CC21" s="14"/>
      <c r="CD21" s="13" t="s">
        <v>8</v>
      </c>
      <c r="CE21" s="10">
        <v>28</v>
      </c>
      <c r="CF21" s="12">
        <v>172114.28571427002</v>
      </c>
      <c r="CG21" s="10">
        <f t="shared" si="23"/>
        <v>-8</v>
      </c>
      <c r="CH21" s="12">
        <f t="shared" si="24"/>
        <v>-53257.142857139959</v>
      </c>
      <c r="CI21" s="11">
        <f t="shared" si="25"/>
        <v>-0.23630831643002692</v>
      </c>
      <c r="CK21" s="14"/>
      <c r="CL21" s="13" t="s">
        <v>8</v>
      </c>
      <c r="CM21" s="10">
        <v>37</v>
      </c>
      <c r="CN21" s="12">
        <v>220862.85714285</v>
      </c>
      <c r="CO21" s="10">
        <f t="shared" si="26"/>
        <v>9</v>
      </c>
      <c r="CP21" s="12">
        <f t="shared" si="27"/>
        <v>48748.571428579977</v>
      </c>
      <c r="CQ21" s="11">
        <f t="shared" si="28"/>
        <v>0.28323373173978333</v>
      </c>
      <c r="CS21" s="14"/>
      <c r="CT21" s="13" t="s">
        <v>8</v>
      </c>
      <c r="CV21" s="12"/>
      <c r="CW21" s="10">
        <f t="shared" si="29"/>
        <v>-37</v>
      </c>
      <c r="CX21" s="12">
        <f t="shared" si="30"/>
        <v>-220862.85714285</v>
      </c>
      <c r="CY21" s="11">
        <f t="shared" si="31"/>
        <v>-1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G22" s="10">
        <v>13</v>
      </c>
      <c r="BH22" s="12">
        <v>152095.23809519003</v>
      </c>
      <c r="BI22" s="10">
        <f t="shared" si="14"/>
        <v>-9</v>
      </c>
      <c r="BJ22" s="12">
        <f t="shared" si="15"/>
        <v>-142952.38095237996</v>
      </c>
      <c r="BK22" s="11">
        <f t="shared" si="16"/>
        <v>-0.48450613298910239</v>
      </c>
      <c r="BM22" s="14"/>
      <c r="BN22" s="13" t="s">
        <v>7</v>
      </c>
      <c r="BO22" s="10">
        <v>18</v>
      </c>
      <c r="BP22" s="12">
        <v>261142.85714278001</v>
      </c>
      <c r="BQ22" s="10">
        <f t="shared" si="17"/>
        <v>5</v>
      </c>
      <c r="BR22" s="12">
        <f t="shared" si="18"/>
        <v>109047.61904758998</v>
      </c>
      <c r="BS22" s="11">
        <f t="shared" si="19"/>
        <v>0.71696931747029224</v>
      </c>
      <c r="BU22" s="14"/>
      <c r="BV22" s="13" t="s">
        <v>7</v>
      </c>
      <c r="BW22" s="10">
        <v>22</v>
      </c>
      <c r="BX22" s="12">
        <v>235523.80952376002</v>
      </c>
      <c r="BY22" s="10">
        <f t="shared" si="20"/>
        <v>4</v>
      </c>
      <c r="BZ22" s="12">
        <f t="shared" si="21"/>
        <v>-25619.047619019984</v>
      </c>
      <c r="CA22" s="11">
        <f t="shared" si="22"/>
        <v>-9.8103574033475305E-2</v>
      </c>
      <c r="CC22" s="14"/>
      <c r="CD22" s="13" t="s">
        <v>7</v>
      </c>
      <c r="CE22" s="10">
        <v>20</v>
      </c>
      <c r="CF22" s="12">
        <v>240476.19047615997</v>
      </c>
      <c r="CG22" s="10">
        <f t="shared" si="23"/>
        <v>-2</v>
      </c>
      <c r="CH22" s="12">
        <f t="shared" si="24"/>
        <v>4952.3809523999516</v>
      </c>
      <c r="CI22" s="11">
        <f t="shared" si="25"/>
        <v>2.1027092600165963E-2</v>
      </c>
      <c r="CK22" s="14"/>
      <c r="CL22" s="13" t="s">
        <v>7</v>
      </c>
      <c r="CM22" s="10">
        <v>29</v>
      </c>
      <c r="CN22" s="12">
        <v>370095.23809517</v>
      </c>
      <c r="CO22" s="10">
        <f t="shared" si="26"/>
        <v>9</v>
      </c>
      <c r="CP22" s="12">
        <f t="shared" si="27"/>
        <v>129619.04761901003</v>
      </c>
      <c r="CQ22" s="11">
        <f t="shared" si="28"/>
        <v>0.53900990099001111</v>
      </c>
      <c r="CS22" s="14"/>
      <c r="CT22" s="13" t="s">
        <v>7</v>
      </c>
      <c r="CV22" s="12"/>
      <c r="CW22" s="10">
        <f t="shared" si="29"/>
        <v>-29</v>
      </c>
      <c r="CX22" s="12">
        <f t="shared" si="30"/>
        <v>-370095.23809517</v>
      </c>
      <c r="CY22" s="11">
        <f t="shared" si="31"/>
        <v>-1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O23" s="10">
        <v>1</v>
      </c>
      <c r="BP23" s="12">
        <v>2657.1428571400002</v>
      </c>
      <c r="BQ23" s="10">
        <f t="shared" si="17"/>
        <v>1</v>
      </c>
      <c r="BR23" s="12">
        <f t="shared" si="18"/>
        <v>2657.1428571400002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-2657.1428571400002</v>
      </c>
      <c r="CA23" s="11">
        <f t="shared" si="22"/>
        <v>-1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G24" s="10">
        <v>14</v>
      </c>
      <c r="BH24" s="12">
        <v>74580</v>
      </c>
      <c r="BI24" s="10">
        <f t="shared" si="14"/>
        <v>-7</v>
      </c>
      <c r="BJ24" s="12">
        <f t="shared" si="15"/>
        <v>-10380</v>
      </c>
      <c r="BK24" s="11">
        <f t="shared" si="16"/>
        <v>-0.12217514124293785</v>
      </c>
      <c r="BM24" s="14"/>
      <c r="BN24" s="13" t="s">
        <v>5</v>
      </c>
      <c r="BO24" s="10">
        <v>15</v>
      </c>
      <c r="BP24" s="12">
        <v>73880</v>
      </c>
      <c r="BQ24" s="10">
        <f t="shared" si="17"/>
        <v>1</v>
      </c>
      <c r="BR24" s="12">
        <f t="shared" si="18"/>
        <v>-700</v>
      </c>
      <c r="BS24" s="11">
        <f t="shared" si="19"/>
        <v>-9.3858943416465536E-3</v>
      </c>
      <c r="BU24" s="14"/>
      <c r="BV24" s="13" t="s">
        <v>5</v>
      </c>
      <c r="BW24" s="10">
        <v>13</v>
      </c>
      <c r="BX24" s="12">
        <v>37630</v>
      </c>
      <c r="BY24" s="10">
        <f t="shared" si="20"/>
        <v>-2</v>
      </c>
      <c r="BZ24" s="12">
        <f t="shared" si="21"/>
        <v>-36250</v>
      </c>
      <c r="CA24" s="11">
        <f t="shared" si="22"/>
        <v>-0.49066053059014619</v>
      </c>
      <c r="CC24" s="14"/>
      <c r="CD24" s="13" t="s">
        <v>5</v>
      </c>
      <c r="CE24" s="10">
        <v>18</v>
      </c>
      <c r="CF24" s="12">
        <v>65780</v>
      </c>
      <c r="CG24" s="10">
        <f t="shared" si="23"/>
        <v>5</v>
      </c>
      <c r="CH24" s="12">
        <f t="shared" si="24"/>
        <v>28150</v>
      </c>
      <c r="CI24" s="11">
        <f t="shared" si="25"/>
        <v>0.74807334573478612</v>
      </c>
      <c r="CK24" s="14"/>
      <c r="CL24" s="13" t="s">
        <v>5</v>
      </c>
      <c r="CM24" s="10">
        <v>25</v>
      </c>
      <c r="CN24" s="12">
        <v>69870</v>
      </c>
      <c r="CO24" s="10">
        <f t="shared" si="26"/>
        <v>7</v>
      </c>
      <c r="CP24" s="12">
        <f t="shared" si="27"/>
        <v>4090</v>
      </c>
      <c r="CQ24" s="11">
        <f t="shared" si="28"/>
        <v>6.2176953481301304E-2</v>
      </c>
      <c r="CS24" s="14"/>
      <c r="CT24" s="13" t="s">
        <v>5</v>
      </c>
      <c r="CV24" s="12"/>
      <c r="CW24" s="10">
        <f t="shared" si="29"/>
        <v>-25</v>
      </c>
      <c r="CX24" s="12">
        <f t="shared" si="30"/>
        <v>-69870</v>
      </c>
      <c r="CY24" s="11">
        <f t="shared" si="31"/>
        <v>-1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G25" s="10">
        <v>17</v>
      </c>
      <c r="BH25" s="12">
        <v>685052.38095231005</v>
      </c>
      <c r="BI25" s="10">
        <f t="shared" si="14"/>
        <v>-12</v>
      </c>
      <c r="BJ25" s="12">
        <f t="shared" si="15"/>
        <v>-238838.09523811005</v>
      </c>
      <c r="BK25" s="11">
        <f t="shared" si="16"/>
        <v>-0.25851342923561416</v>
      </c>
      <c r="BM25" s="14"/>
      <c r="BN25" s="13" t="s">
        <v>4</v>
      </c>
      <c r="BO25" s="10">
        <v>20</v>
      </c>
      <c r="BP25" s="12">
        <v>865076.19047613011</v>
      </c>
      <c r="BQ25" s="10">
        <f t="shared" si="17"/>
        <v>3</v>
      </c>
      <c r="BR25" s="12">
        <f t="shared" si="18"/>
        <v>180023.80952382006</v>
      </c>
      <c r="BS25" s="11">
        <f t="shared" si="19"/>
        <v>0.26278838601153981</v>
      </c>
      <c r="BU25" s="14"/>
      <c r="BV25" s="13" t="s">
        <v>4</v>
      </c>
      <c r="BW25" s="10">
        <v>10</v>
      </c>
      <c r="BX25" s="12">
        <v>399761.90476185997</v>
      </c>
      <c r="BY25" s="10">
        <f t="shared" si="20"/>
        <v>-10</v>
      </c>
      <c r="BZ25" s="12">
        <f t="shared" si="21"/>
        <v>-465314.28571427014</v>
      </c>
      <c r="CA25" s="11">
        <f t="shared" si="22"/>
        <v>-0.53788821243382667</v>
      </c>
      <c r="CC25" s="14"/>
      <c r="CD25" s="13" t="s">
        <v>4</v>
      </c>
      <c r="CE25" s="10">
        <v>14</v>
      </c>
      <c r="CF25" s="12">
        <v>481090.47619045002</v>
      </c>
      <c r="CG25" s="10">
        <f t="shared" si="23"/>
        <v>4</v>
      </c>
      <c r="CH25" s="12">
        <f t="shared" si="24"/>
        <v>81328.571428590047</v>
      </c>
      <c r="CI25" s="11">
        <f t="shared" si="25"/>
        <v>0.2034425253127555</v>
      </c>
      <c r="CK25" s="14"/>
      <c r="CL25" s="13" t="s">
        <v>4</v>
      </c>
      <c r="CM25" s="10">
        <v>34</v>
      </c>
      <c r="CN25" s="12">
        <v>944399.99999992002</v>
      </c>
      <c r="CO25" s="10">
        <f t="shared" si="26"/>
        <v>20</v>
      </c>
      <c r="CP25" s="12">
        <f t="shared" si="27"/>
        <v>463309.52380947</v>
      </c>
      <c r="CQ25" s="11">
        <f t="shared" si="28"/>
        <v>0.96304031515697464</v>
      </c>
      <c r="CS25" s="14"/>
      <c r="CT25" s="13" t="s">
        <v>4</v>
      </c>
      <c r="CV25" s="12"/>
      <c r="CW25" s="10">
        <f t="shared" si="29"/>
        <v>-34</v>
      </c>
      <c r="CX25" s="12">
        <f t="shared" si="30"/>
        <v>-944399.99999992002</v>
      </c>
      <c r="CY25" s="11">
        <f t="shared" si="31"/>
        <v>-1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G26" s="10">
        <v>22</v>
      </c>
      <c r="BH26" s="12">
        <v>387999.99999995006</v>
      </c>
      <c r="BI26" s="10">
        <f t="shared" si="14"/>
        <v>-17</v>
      </c>
      <c r="BJ26" s="12">
        <f t="shared" si="15"/>
        <v>-306476.19047617994</v>
      </c>
      <c r="BK26" s="11">
        <f t="shared" si="16"/>
        <v>-0.44130554031818015</v>
      </c>
      <c r="BM26" s="14"/>
      <c r="BN26" s="13" t="s">
        <v>3</v>
      </c>
      <c r="BO26" s="10">
        <v>21</v>
      </c>
      <c r="BP26" s="12">
        <v>340095.23809518002</v>
      </c>
      <c r="BQ26" s="10">
        <f t="shared" si="17"/>
        <v>-1</v>
      </c>
      <c r="BR26" s="12">
        <f t="shared" si="18"/>
        <v>-47904.761904770043</v>
      </c>
      <c r="BS26" s="11">
        <f t="shared" si="19"/>
        <v>-0.12346588119787683</v>
      </c>
      <c r="BU26" s="14"/>
      <c r="BV26" s="13" t="s">
        <v>3</v>
      </c>
      <c r="BW26" s="10">
        <v>35</v>
      </c>
      <c r="BX26" s="12">
        <v>695619.04761897004</v>
      </c>
      <c r="BY26" s="10">
        <f t="shared" si="20"/>
        <v>14</v>
      </c>
      <c r="BZ26" s="12">
        <f t="shared" si="21"/>
        <v>355523.80952379003</v>
      </c>
      <c r="CA26" s="11">
        <f t="shared" si="22"/>
        <v>1.0453654438533835</v>
      </c>
      <c r="CC26" s="14"/>
      <c r="CD26" s="13" t="s">
        <v>3</v>
      </c>
      <c r="CE26" s="10">
        <v>30</v>
      </c>
      <c r="CF26" s="12">
        <v>642285.71428565006</v>
      </c>
      <c r="CG26" s="10">
        <f t="shared" si="23"/>
        <v>-5</v>
      </c>
      <c r="CH26" s="12">
        <f t="shared" si="24"/>
        <v>-53333.333333319984</v>
      </c>
      <c r="CI26" s="11">
        <f t="shared" si="25"/>
        <v>-7.6670317634162419E-2</v>
      </c>
      <c r="CK26" s="14"/>
      <c r="CL26" s="13" t="s">
        <v>3</v>
      </c>
      <c r="CM26" s="10">
        <v>40</v>
      </c>
      <c r="CN26" s="12">
        <v>759238.09523802018</v>
      </c>
      <c r="CO26" s="10">
        <f t="shared" si="26"/>
        <v>10</v>
      </c>
      <c r="CP26" s="12">
        <f t="shared" si="27"/>
        <v>116952.38095237012</v>
      </c>
      <c r="CQ26" s="11">
        <f t="shared" si="28"/>
        <v>0.1820877817319112</v>
      </c>
      <c r="CS26" s="14"/>
      <c r="CT26" s="13" t="s">
        <v>3</v>
      </c>
      <c r="CV26" s="12"/>
      <c r="CW26" s="10">
        <f t="shared" si="29"/>
        <v>-40</v>
      </c>
      <c r="CX26" s="12">
        <f t="shared" si="30"/>
        <v>-759238.09523802018</v>
      </c>
      <c r="CY26" s="11">
        <f t="shared" si="31"/>
        <v>-1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G27" s="10">
        <v>48</v>
      </c>
      <c r="BH27" s="12">
        <v>1667809.52380947</v>
      </c>
      <c r="BI27" s="10">
        <f t="shared" si="14"/>
        <v>4</v>
      </c>
      <c r="BJ27" s="12">
        <f t="shared" si="15"/>
        <v>97714.285714270081</v>
      </c>
      <c r="BK27" s="11">
        <f t="shared" si="16"/>
        <v>6.2234623316745168E-2</v>
      </c>
      <c r="BM27" s="14"/>
      <c r="BN27" s="13" t="s">
        <v>2</v>
      </c>
      <c r="BO27" s="10">
        <v>46</v>
      </c>
      <c r="BP27" s="12">
        <v>1654666.6666665899</v>
      </c>
      <c r="BQ27" s="10">
        <f t="shared" si="17"/>
        <v>-2</v>
      </c>
      <c r="BR27" s="12">
        <f t="shared" si="18"/>
        <v>-13142.857142880093</v>
      </c>
      <c r="BS27" s="11">
        <f t="shared" si="19"/>
        <v>-7.8803106441437554E-3</v>
      </c>
      <c r="BU27" s="14"/>
      <c r="BV27" s="13" t="s">
        <v>2</v>
      </c>
      <c r="BW27" s="10">
        <v>50</v>
      </c>
      <c r="BX27" s="12">
        <v>1830476.19047613</v>
      </c>
      <c r="BY27" s="10">
        <f t="shared" si="20"/>
        <v>4</v>
      </c>
      <c r="BZ27" s="12">
        <f t="shared" si="21"/>
        <v>175809.52380954009</v>
      </c>
      <c r="CA27" s="11">
        <f t="shared" si="22"/>
        <v>0.1062507194658833</v>
      </c>
      <c r="CC27" s="14"/>
      <c r="CD27" s="13" t="s">
        <v>2</v>
      </c>
      <c r="CE27" s="10">
        <v>39</v>
      </c>
      <c r="CF27" s="12">
        <v>1315333.3333332802</v>
      </c>
      <c r="CG27" s="10">
        <f t="shared" si="23"/>
        <v>-11</v>
      </c>
      <c r="CH27" s="12">
        <f t="shared" si="24"/>
        <v>-515142.85714284983</v>
      </c>
      <c r="CI27" s="11">
        <f t="shared" si="25"/>
        <v>-0.28142559833507291</v>
      </c>
      <c r="CK27" s="14"/>
      <c r="CL27" s="13" t="s">
        <v>2</v>
      </c>
      <c r="CM27" s="10">
        <v>50</v>
      </c>
      <c r="CN27" s="12">
        <v>1803809.5238094598</v>
      </c>
      <c r="CO27" s="10">
        <f t="shared" si="26"/>
        <v>11</v>
      </c>
      <c r="CP27" s="12">
        <f t="shared" si="27"/>
        <v>488476.19047617959</v>
      </c>
      <c r="CQ27" s="11">
        <f t="shared" si="28"/>
        <v>0.37137064658606134</v>
      </c>
      <c r="CS27" s="14"/>
      <c r="CT27" s="13" t="s">
        <v>2</v>
      </c>
      <c r="CV27" s="12"/>
      <c r="CW27" s="10">
        <f t="shared" si="29"/>
        <v>-50</v>
      </c>
      <c r="CX27" s="12">
        <f t="shared" si="30"/>
        <v>-1803809.5238094598</v>
      </c>
      <c r="CY27" s="11">
        <f t="shared" si="31"/>
        <v>-1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>
        <v>430</v>
      </c>
      <c r="BH28" s="7">
        <v>3514191.4285705499</v>
      </c>
      <c r="BI28" s="27">
        <f t="shared" si="14"/>
        <v>-79</v>
      </c>
      <c r="BJ28" s="28">
        <f t="shared" si="15"/>
        <v>-750237.14285703003</v>
      </c>
      <c r="BK28" s="29">
        <f t="shared" si="16"/>
        <v>-0.17592911460254032</v>
      </c>
      <c r="BM28" s="9" t="s">
        <v>13</v>
      </c>
      <c r="BN28" s="9"/>
      <c r="BO28" s="8">
        <v>405</v>
      </c>
      <c r="BP28" s="7">
        <v>3707558.0952371098</v>
      </c>
      <c r="BQ28" s="27">
        <f t="shared" si="17"/>
        <v>-25</v>
      </c>
      <c r="BR28" s="28">
        <f t="shared" si="18"/>
        <v>193366.66666655988</v>
      </c>
      <c r="BS28" s="29">
        <f t="shared" si="19"/>
        <v>5.5024511497717317E-2</v>
      </c>
      <c r="BU28" s="9" t="s">
        <v>13</v>
      </c>
      <c r="BV28" s="9"/>
      <c r="BW28" s="8">
        <v>472</v>
      </c>
      <c r="BX28" s="7">
        <v>3770295.7142847301</v>
      </c>
      <c r="BY28" s="27">
        <f t="shared" si="20"/>
        <v>67</v>
      </c>
      <c r="BZ28" s="28">
        <f t="shared" si="21"/>
        <v>62737.619047620334</v>
      </c>
      <c r="CA28" s="29">
        <f t="shared" si="22"/>
        <v>1.6921547130499669E-2</v>
      </c>
      <c r="CC28" s="9" t="s">
        <v>13</v>
      </c>
      <c r="CD28" s="9"/>
      <c r="CE28" s="8">
        <v>475</v>
      </c>
      <c r="CF28" s="7">
        <v>3292489.5238087103</v>
      </c>
      <c r="CG28" s="27">
        <f t="shared" si="23"/>
        <v>3</v>
      </c>
      <c r="CH28" s="28">
        <f t="shared" si="24"/>
        <v>-477806.19047601987</v>
      </c>
      <c r="CI28" s="29">
        <f t="shared" si="25"/>
        <v>-0.12672910208759722</v>
      </c>
      <c r="CK28" s="9" t="s">
        <v>13</v>
      </c>
      <c r="CL28" s="9"/>
      <c r="CM28" s="8">
        <v>556</v>
      </c>
      <c r="CN28" s="7">
        <v>4556859.5238084598</v>
      </c>
      <c r="CO28" s="27">
        <f t="shared" si="26"/>
        <v>81</v>
      </c>
      <c r="CP28" s="28">
        <f t="shared" si="27"/>
        <v>1264369.9999997495</v>
      </c>
      <c r="CQ28" s="29">
        <f t="shared" si="28"/>
        <v>0.3840164079055724</v>
      </c>
      <c r="CS28" s="9" t="s">
        <v>13</v>
      </c>
      <c r="CT28" s="9"/>
      <c r="CU28" s="8"/>
      <c r="CV28" s="7"/>
      <c r="CW28" s="27">
        <f t="shared" si="29"/>
        <v>-556</v>
      </c>
      <c r="CX28" s="28">
        <f t="shared" si="30"/>
        <v>-4556859.5238084598</v>
      </c>
      <c r="CY28" s="29">
        <f t="shared" si="31"/>
        <v>-1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3581</v>
      </c>
      <c r="BH29" s="35"/>
      <c r="BI29" s="10">
        <f t="shared" si="14"/>
        <v>30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3127</v>
      </c>
      <c r="BP29" s="35"/>
      <c r="BQ29" s="10">
        <f t="shared" si="17"/>
        <v>-454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3070</v>
      </c>
      <c r="BX29" s="33"/>
      <c r="BY29" s="10">
        <f t="shared" si="20"/>
        <v>-57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>
        <v>2988</v>
      </c>
      <c r="CF29" s="33"/>
      <c r="CG29" s="10">
        <f t="shared" si="23"/>
        <v>-82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>
        <v>4006</v>
      </c>
      <c r="CN29" s="33"/>
      <c r="CO29" s="10">
        <f t="shared" si="26"/>
        <v>1018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-4006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2</v>
      </c>
      <c r="AZ30" s="35"/>
      <c r="BA30" s="10">
        <f t="shared" si="11"/>
        <v>-1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2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4</v>
      </c>
      <c r="BP30" s="35"/>
      <c r="BQ30" s="10">
        <f t="shared" si="17"/>
        <v>2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4</v>
      </c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>
        <v>2</v>
      </c>
      <c r="CF30" s="33"/>
      <c r="CG30" s="10">
        <f t="shared" si="23"/>
        <v>-2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-2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G31" s="10">
        <v>104</v>
      </c>
      <c r="BH31" s="12">
        <v>104592.38095199002</v>
      </c>
      <c r="BI31" s="10">
        <f t="shared" si="14"/>
        <v>8</v>
      </c>
      <c r="BJ31" s="12">
        <f t="shared" si="15"/>
        <v>8429.5238095900568</v>
      </c>
      <c r="BK31" s="11">
        <f t="shared" si="16"/>
        <v>8.7658832735257042E-2</v>
      </c>
      <c r="BM31" s="14"/>
      <c r="BN31" s="13" t="s">
        <v>10</v>
      </c>
      <c r="BO31" s="10">
        <v>71</v>
      </c>
      <c r="BP31" s="12">
        <v>83721.904761590064</v>
      </c>
      <c r="BQ31" s="10">
        <f t="shared" si="17"/>
        <v>-33</v>
      </c>
      <c r="BR31" s="12">
        <f t="shared" si="18"/>
        <v>-20870.476190399961</v>
      </c>
      <c r="BS31" s="11">
        <f t="shared" si="19"/>
        <v>-0.19954107555864822</v>
      </c>
      <c r="BU31" s="14"/>
      <c r="BV31" s="13" t="s">
        <v>10</v>
      </c>
      <c r="BW31" s="10">
        <v>87</v>
      </c>
      <c r="BX31" s="12">
        <v>81336.190475799987</v>
      </c>
      <c r="BY31" s="10">
        <f t="shared" si="20"/>
        <v>16</v>
      </c>
      <c r="BZ31" s="12">
        <f t="shared" si="21"/>
        <v>-2385.7142857900762</v>
      </c>
      <c r="CA31" s="11">
        <f t="shared" si="22"/>
        <v>-2.8495700051064703E-2</v>
      </c>
      <c r="CC31" s="14"/>
      <c r="CD31" s="13" t="s">
        <v>10</v>
      </c>
      <c r="CE31" s="10">
        <v>61</v>
      </c>
      <c r="CF31" s="12">
        <v>53934.285714040001</v>
      </c>
      <c r="CG31" s="10">
        <f t="shared" si="23"/>
        <v>-26</v>
      </c>
      <c r="CH31" s="12">
        <f t="shared" si="24"/>
        <v>-27401.904761759986</v>
      </c>
      <c r="CI31" s="11">
        <f t="shared" si="25"/>
        <v>-0.33689683032195727</v>
      </c>
      <c r="CK31" s="14"/>
      <c r="CL31" s="13" t="s">
        <v>10</v>
      </c>
      <c r="CM31" s="10">
        <v>81</v>
      </c>
      <c r="CN31" s="12">
        <v>74516.190475820025</v>
      </c>
      <c r="CO31" s="10">
        <f t="shared" si="26"/>
        <v>20</v>
      </c>
      <c r="CP31" s="12">
        <f t="shared" si="27"/>
        <v>20581.904761780024</v>
      </c>
      <c r="CQ31" s="11">
        <f t="shared" si="28"/>
        <v>0.38161077854827713</v>
      </c>
      <c r="CS31" s="14"/>
      <c r="CT31" s="13" t="s">
        <v>10</v>
      </c>
      <c r="CV31" s="12"/>
      <c r="CW31" s="10">
        <f t="shared" si="29"/>
        <v>-81</v>
      </c>
      <c r="CX31" s="12">
        <f t="shared" si="30"/>
        <v>-74516.190475820025</v>
      </c>
      <c r="CY31" s="11">
        <f t="shared" si="31"/>
        <v>-1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G32" s="10">
        <v>61</v>
      </c>
      <c r="BH32" s="12">
        <v>63001.904761810008</v>
      </c>
      <c r="BI32" s="10">
        <f t="shared" si="14"/>
        <v>-12</v>
      </c>
      <c r="BJ32" s="12">
        <f t="shared" si="15"/>
        <v>-5836.190476219992</v>
      </c>
      <c r="BK32" s="11">
        <f t="shared" si="16"/>
        <v>-8.4781405645224114E-2</v>
      </c>
      <c r="BM32" s="14"/>
      <c r="BN32" s="13" t="s">
        <v>9</v>
      </c>
      <c r="BO32" s="10">
        <v>49</v>
      </c>
      <c r="BP32" s="12">
        <v>61971.428571330005</v>
      </c>
      <c r="BQ32" s="10">
        <f t="shared" si="17"/>
        <v>-12</v>
      </c>
      <c r="BR32" s="12">
        <f t="shared" si="18"/>
        <v>-1030.4761904800034</v>
      </c>
      <c r="BS32" s="11">
        <f t="shared" si="19"/>
        <v>-1.6356270407631379E-2</v>
      </c>
      <c r="BU32" s="14"/>
      <c r="BV32" s="13" t="s">
        <v>9</v>
      </c>
      <c r="BW32" s="10">
        <v>73</v>
      </c>
      <c r="BX32" s="12">
        <v>90666.666666549965</v>
      </c>
      <c r="BY32" s="10">
        <f t="shared" si="20"/>
        <v>24</v>
      </c>
      <c r="BZ32" s="12">
        <f t="shared" si="21"/>
        <v>28695.23809521996</v>
      </c>
      <c r="CA32" s="11">
        <f t="shared" si="22"/>
        <v>0.46303980328920979</v>
      </c>
      <c r="CC32" s="14"/>
      <c r="CD32" s="13" t="s">
        <v>9</v>
      </c>
      <c r="CE32" s="10">
        <v>72</v>
      </c>
      <c r="CF32" s="12">
        <v>63057.142857050007</v>
      </c>
      <c r="CG32" s="10">
        <f t="shared" si="23"/>
        <v>-1</v>
      </c>
      <c r="CH32" s="12">
        <f t="shared" si="24"/>
        <v>-27609.523809499959</v>
      </c>
      <c r="CI32" s="11">
        <f t="shared" si="25"/>
        <v>-0.30451680672281795</v>
      </c>
      <c r="CK32" s="14"/>
      <c r="CL32" s="13" t="s">
        <v>9</v>
      </c>
      <c r="CM32" s="10">
        <v>75</v>
      </c>
      <c r="CN32" s="12">
        <v>71185.714285619993</v>
      </c>
      <c r="CO32" s="10">
        <f t="shared" si="26"/>
        <v>3</v>
      </c>
      <c r="CP32" s="12">
        <f t="shared" si="27"/>
        <v>8128.5714285699869</v>
      </c>
      <c r="CQ32" s="11">
        <f t="shared" si="28"/>
        <v>0.12890801993673243</v>
      </c>
      <c r="CS32" s="14"/>
      <c r="CT32" s="13" t="s">
        <v>9</v>
      </c>
      <c r="CV32" s="12"/>
      <c r="CW32" s="10">
        <f t="shared" si="29"/>
        <v>-75</v>
      </c>
      <c r="CX32" s="12">
        <f t="shared" si="30"/>
        <v>-71185.714285619993</v>
      </c>
      <c r="CY32" s="11">
        <f t="shared" si="31"/>
        <v>-1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G33" s="10">
        <v>19</v>
      </c>
      <c r="BH33" s="12">
        <v>119819.04761903</v>
      </c>
      <c r="BI33" s="10">
        <f t="shared" si="14"/>
        <v>3</v>
      </c>
      <c r="BJ33" s="12">
        <f t="shared" si="15"/>
        <v>19971.428571419994</v>
      </c>
      <c r="BK33" s="11">
        <f t="shared" si="16"/>
        <v>0.20001907668821914</v>
      </c>
      <c r="BM33" s="14"/>
      <c r="BN33" s="13" t="s">
        <v>8</v>
      </c>
      <c r="BO33" s="10">
        <v>18</v>
      </c>
      <c r="BP33" s="12">
        <v>144114.28571426001</v>
      </c>
      <c r="BQ33" s="10">
        <f t="shared" si="17"/>
        <v>-1</v>
      </c>
      <c r="BR33" s="12">
        <f t="shared" si="18"/>
        <v>24295.238095230015</v>
      </c>
      <c r="BS33" s="11">
        <f t="shared" si="19"/>
        <v>0.20276607582859285</v>
      </c>
      <c r="BU33" s="14"/>
      <c r="BV33" s="13" t="s">
        <v>8</v>
      </c>
      <c r="BW33" s="10">
        <v>13</v>
      </c>
      <c r="BX33" s="12">
        <v>81304.761904750005</v>
      </c>
      <c r="BY33" s="10">
        <f t="shared" si="20"/>
        <v>-5</v>
      </c>
      <c r="BZ33" s="12">
        <f t="shared" si="21"/>
        <v>-62809.523809510007</v>
      </c>
      <c r="CA33" s="11">
        <f t="shared" si="22"/>
        <v>-0.43583135077978635</v>
      </c>
      <c r="CC33" s="14"/>
      <c r="CD33" s="13" t="s">
        <v>8</v>
      </c>
      <c r="CE33" s="10">
        <v>19</v>
      </c>
      <c r="CF33" s="12">
        <v>130962.85714283999</v>
      </c>
      <c r="CG33" s="10">
        <f t="shared" si="23"/>
        <v>6</v>
      </c>
      <c r="CH33" s="12">
        <f t="shared" si="24"/>
        <v>49658.095238089983</v>
      </c>
      <c r="CI33" s="11">
        <f t="shared" si="25"/>
        <v>0.61076490570460484</v>
      </c>
      <c r="CK33" s="14"/>
      <c r="CL33" s="13" t="s">
        <v>8</v>
      </c>
      <c r="CM33" s="10">
        <v>27</v>
      </c>
      <c r="CN33" s="12">
        <v>182315.23809522</v>
      </c>
      <c r="CO33" s="10">
        <f t="shared" si="26"/>
        <v>8</v>
      </c>
      <c r="CP33" s="12">
        <f t="shared" si="27"/>
        <v>51352.380952380016</v>
      </c>
      <c r="CQ33" s="11">
        <f t="shared" si="28"/>
        <v>0.39211408541866527</v>
      </c>
      <c r="CS33" s="14"/>
      <c r="CT33" s="13" t="s">
        <v>8</v>
      </c>
      <c r="CV33" s="12"/>
      <c r="CW33" s="10">
        <f t="shared" si="29"/>
        <v>-27</v>
      </c>
      <c r="CX33" s="12">
        <f t="shared" si="30"/>
        <v>-182315.23809522</v>
      </c>
      <c r="CY33" s="11">
        <f t="shared" si="31"/>
        <v>-1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G34" s="10">
        <v>14</v>
      </c>
      <c r="BH34" s="12">
        <v>163904.76190471998</v>
      </c>
      <c r="BI34" s="10">
        <f t="shared" si="14"/>
        <v>-2</v>
      </c>
      <c r="BJ34" s="12">
        <f t="shared" si="15"/>
        <v>-28857.14285715</v>
      </c>
      <c r="BK34" s="11">
        <f t="shared" si="16"/>
        <v>-0.14970355731231702</v>
      </c>
      <c r="BM34" s="14"/>
      <c r="BN34" s="13" t="s">
        <v>7</v>
      </c>
      <c r="BO34" s="10">
        <v>8</v>
      </c>
      <c r="BP34" s="12">
        <v>83999.999999980006</v>
      </c>
      <c r="BQ34" s="10">
        <f t="shared" si="17"/>
        <v>-6</v>
      </c>
      <c r="BR34" s="12">
        <f t="shared" si="18"/>
        <v>-79904.761904739978</v>
      </c>
      <c r="BS34" s="11">
        <f t="shared" si="19"/>
        <v>-0.48750726321904958</v>
      </c>
      <c r="BU34" s="14"/>
      <c r="BV34" s="13" t="s">
        <v>7</v>
      </c>
      <c r="BW34" s="10">
        <v>15</v>
      </c>
      <c r="BX34" s="12">
        <v>164147.61904758</v>
      </c>
      <c r="BY34" s="10">
        <f t="shared" si="20"/>
        <v>7</v>
      </c>
      <c r="BZ34" s="12">
        <f t="shared" si="21"/>
        <v>80147.61904759999</v>
      </c>
      <c r="CA34" s="11">
        <f t="shared" si="22"/>
        <v>0.95413832199546511</v>
      </c>
      <c r="CC34" s="14"/>
      <c r="CD34" s="13" t="s">
        <v>7</v>
      </c>
      <c r="CE34" s="10">
        <v>18</v>
      </c>
      <c r="CF34" s="12">
        <v>204476.19047614001</v>
      </c>
      <c r="CG34" s="10">
        <f t="shared" si="23"/>
        <v>3</v>
      </c>
      <c r="CH34" s="12">
        <f t="shared" si="24"/>
        <v>40328.571428560012</v>
      </c>
      <c r="CI34" s="11">
        <f t="shared" si="25"/>
        <v>0.24568477850946063</v>
      </c>
      <c r="CK34" s="14"/>
      <c r="CL34" s="13" t="s">
        <v>7</v>
      </c>
      <c r="CM34" s="10">
        <v>19</v>
      </c>
      <c r="CN34" s="12">
        <v>213719.04761903</v>
      </c>
      <c r="CO34" s="10">
        <f t="shared" si="26"/>
        <v>1</v>
      </c>
      <c r="CP34" s="12">
        <f t="shared" si="27"/>
        <v>9242.8571428899886</v>
      </c>
      <c r="CQ34" s="11">
        <f t="shared" si="28"/>
        <v>4.5202608290809888E-2</v>
      </c>
      <c r="CS34" s="14"/>
      <c r="CT34" s="13" t="s">
        <v>7</v>
      </c>
      <c r="CV34" s="12"/>
      <c r="CW34" s="10">
        <f t="shared" si="29"/>
        <v>-19</v>
      </c>
      <c r="CX34" s="12">
        <f t="shared" si="30"/>
        <v>-213719.04761903</v>
      </c>
      <c r="CY34" s="11">
        <f t="shared" si="31"/>
        <v>-1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G36" s="10">
        <v>7</v>
      </c>
      <c r="BH36" s="12">
        <v>34530</v>
      </c>
      <c r="BI36" s="10">
        <f t="shared" si="14"/>
        <v>4</v>
      </c>
      <c r="BJ36" s="12">
        <f t="shared" si="15"/>
        <v>28060</v>
      </c>
      <c r="BK36" s="11">
        <f t="shared" si="16"/>
        <v>4.3369397217928904</v>
      </c>
      <c r="BM36" s="14"/>
      <c r="BN36" s="13" t="s">
        <v>5</v>
      </c>
      <c r="BO36" s="10">
        <v>3</v>
      </c>
      <c r="BP36" s="12">
        <v>8280</v>
      </c>
      <c r="BQ36" s="10">
        <f t="shared" si="17"/>
        <v>-4</v>
      </c>
      <c r="BR36" s="12">
        <f t="shared" si="18"/>
        <v>-26250</v>
      </c>
      <c r="BS36" s="11">
        <f t="shared" si="19"/>
        <v>-0.76020851433536052</v>
      </c>
      <c r="BU36" s="14"/>
      <c r="BV36" s="13" t="s">
        <v>5</v>
      </c>
      <c r="BW36" s="10">
        <v>7</v>
      </c>
      <c r="BX36" s="12">
        <v>32230</v>
      </c>
      <c r="BY36" s="10">
        <f t="shared" si="20"/>
        <v>4</v>
      </c>
      <c r="BZ36" s="12">
        <f t="shared" si="21"/>
        <v>23950</v>
      </c>
      <c r="CA36" s="11">
        <f t="shared" si="22"/>
        <v>2.8925120772946862</v>
      </c>
      <c r="CC36" s="14"/>
      <c r="CD36" s="13" t="s">
        <v>5</v>
      </c>
      <c r="CE36" s="10">
        <v>3</v>
      </c>
      <c r="CF36" s="12">
        <v>9670</v>
      </c>
      <c r="CG36" s="10">
        <f t="shared" si="23"/>
        <v>-4</v>
      </c>
      <c r="CH36" s="12">
        <f t="shared" si="24"/>
        <v>-22560</v>
      </c>
      <c r="CI36" s="11">
        <f t="shared" si="25"/>
        <v>-0.69996897300651562</v>
      </c>
      <c r="CK36" s="14"/>
      <c r="CL36" s="13" t="s">
        <v>5</v>
      </c>
      <c r="CM36" s="10">
        <v>2</v>
      </c>
      <c r="CN36" s="12">
        <v>7480</v>
      </c>
      <c r="CO36" s="10">
        <f t="shared" si="26"/>
        <v>-1</v>
      </c>
      <c r="CP36" s="12">
        <f t="shared" si="27"/>
        <v>-2190</v>
      </c>
      <c r="CQ36" s="11">
        <f t="shared" si="28"/>
        <v>-0.2264736297828335</v>
      </c>
      <c r="CS36" s="14"/>
      <c r="CT36" s="13" t="s">
        <v>5</v>
      </c>
      <c r="CV36" s="12"/>
      <c r="CW36" s="10">
        <f t="shared" si="29"/>
        <v>-2</v>
      </c>
      <c r="CX36" s="12">
        <f t="shared" si="30"/>
        <v>-7480</v>
      </c>
      <c r="CY36" s="11">
        <f t="shared" si="31"/>
        <v>-1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G37" s="10">
        <v>4</v>
      </c>
      <c r="BH37" s="12">
        <v>110559.04761903</v>
      </c>
      <c r="BI37" s="10">
        <f t="shared" si="14"/>
        <v>2</v>
      </c>
      <c r="BJ37" s="12">
        <f t="shared" si="15"/>
        <v>54559.047619039993</v>
      </c>
      <c r="BK37" s="11">
        <f t="shared" si="16"/>
        <v>0.97426870748303096</v>
      </c>
      <c r="BM37" s="14"/>
      <c r="BN37" s="13" t="s">
        <v>4</v>
      </c>
      <c r="BO37" s="10">
        <v>3</v>
      </c>
      <c r="BP37" s="12">
        <v>104006.66666666001</v>
      </c>
      <c r="BQ37" s="10">
        <f t="shared" si="17"/>
        <v>-1</v>
      </c>
      <c r="BR37" s="12">
        <f t="shared" si="18"/>
        <v>-6552.3809523699892</v>
      </c>
      <c r="BS37" s="11">
        <f t="shared" si="19"/>
        <v>-5.9265895405941967E-2</v>
      </c>
      <c r="BU37" s="14"/>
      <c r="BV37" s="13" t="s">
        <v>4</v>
      </c>
      <c r="BW37" s="10">
        <v>5</v>
      </c>
      <c r="BX37" s="12">
        <v>182375.23809522</v>
      </c>
      <c r="BY37" s="10">
        <f t="shared" ref="BY37:BY65" si="32">BW37-BO37</f>
        <v>2</v>
      </c>
      <c r="BZ37" s="12">
        <f t="shared" si="21"/>
        <v>78368.571428559997</v>
      </c>
      <c r="CA37" s="11">
        <f t="shared" si="22"/>
        <v>0.7534956550403662</v>
      </c>
      <c r="CC37" s="14"/>
      <c r="CD37" s="13" t="s">
        <v>4</v>
      </c>
      <c r="CE37" s="10">
        <v>2</v>
      </c>
      <c r="CF37" s="12">
        <v>62666.666666660007</v>
      </c>
      <c r="CG37" s="10">
        <f t="shared" si="23"/>
        <v>-3</v>
      </c>
      <c r="CH37" s="12">
        <f t="shared" si="24"/>
        <v>-119708.57142856</v>
      </c>
      <c r="CI37" s="11">
        <f t="shared" si="25"/>
        <v>-0.6563861008700036</v>
      </c>
      <c r="CK37" s="14"/>
      <c r="CL37" s="13" t="s">
        <v>4</v>
      </c>
      <c r="CM37" s="10">
        <v>2</v>
      </c>
      <c r="CN37" s="12">
        <v>43619.04761904</v>
      </c>
      <c r="CO37" s="10">
        <f t="shared" si="26"/>
        <v>0</v>
      </c>
      <c r="CP37" s="12">
        <f t="shared" si="27"/>
        <v>-19047.619047620006</v>
      </c>
      <c r="CQ37" s="11">
        <f t="shared" si="28"/>
        <v>-0.30395136778120263</v>
      </c>
      <c r="CS37" s="14"/>
      <c r="CT37" s="13" t="s">
        <v>4</v>
      </c>
      <c r="CV37" s="12"/>
      <c r="CW37" s="10">
        <f t="shared" si="29"/>
        <v>-2</v>
      </c>
      <c r="CX37" s="12">
        <f t="shared" si="30"/>
        <v>-43619.04761904</v>
      </c>
      <c r="CY37" s="11">
        <f t="shared" si="31"/>
        <v>-1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G38" s="10">
        <v>12</v>
      </c>
      <c r="BH38" s="12">
        <v>210285.71428568001</v>
      </c>
      <c r="BI38" s="10">
        <f t="shared" si="14"/>
        <v>-7</v>
      </c>
      <c r="BJ38" s="12">
        <f t="shared" si="15"/>
        <v>-95047.61904759999</v>
      </c>
      <c r="BK38" s="11">
        <f t="shared" si="16"/>
        <v>-0.31129132875856963</v>
      </c>
      <c r="BM38" s="14"/>
      <c r="BN38" s="13" t="s">
        <v>3</v>
      </c>
      <c r="BO38" s="10">
        <v>18</v>
      </c>
      <c r="BP38" s="12">
        <v>311047.61904757994</v>
      </c>
      <c r="BQ38" s="10">
        <f t="shared" si="17"/>
        <v>6</v>
      </c>
      <c r="BR38" s="12">
        <f t="shared" si="18"/>
        <v>100761.90476189993</v>
      </c>
      <c r="BS38" s="11">
        <f t="shared" si="19"/>
        <v>0.47916666666672181</v>
      </c>
      <c r="BU38" s="14"/>
      <c r="BV38" s="13" t="s">
        <v>3</v>
      </c>
      <c r="BW38" s="10">
        <v>10</v>
      </c>
      <c r="BX38" s="12">
        <v>207619.04761901998</v>
      </c>
      <c r="BY38" s="10">
        <f t="shared" si="32"/>
        <v>-8</v>
      </c>
      <c r="BZ38" s="12">
        <f t="shared" si="21"/>
        <v>-103428.57142855995</v>
      </c>
      <c r="CA38" s="11">
        <f t="shared" si="22"/>
        <v>-0.33251684017146849</v>
      </c>
      <c r="CC38" s="14"/>
      <c r="CD38" s="13" t="s">
        <v>3</v>
      </c>
      <c r="CE38" s="10">
        <v>9</v>
      </c>
      <c r="CF38" s="12">
        <v>141333.33333329999</v>
      </c>
      <c r="CG38" s="10">
        <f t="shared" si="23"/>
        <v>-1</v>
      </c>
      <c r="CH38" s="12">
        <f t="shared" si="24"/>
        <v>-66285.714285719994</v>
      </c>
      <c r="CI38" s="11">
        <f t="shared" si="25"/>
        <v>-0.31926605504594158</v>
      </c>
      <c r="CK38" s="14"/>
      <c r="CL38" s="13" t="s">
        <v>3</v>
      </c>
      <c r="CM38" s="10">
        <v>12</v>
      </c>
      <c r="CN38" s="12">
        <v>196476.19047616998</v>
      </c>
      <c r="CO38" s="10">
        <f t="shared" si="26"/>
        <v>3</v>
      </c>
      <c r="CP38" s="12">
        <f t="shared" si="27"/>
        <v>55142.857142869994</v>
      </c>
      <c r="CQ38" s="11">
        <f t="shared" si="28"/>
        <v>0.39016172506756841</v>
      </c>
      <c r="CS38" s="14"/>
      <c r="CT38" s="13" t="s">
        <v>3</v>
      </c>
      <c r="CV38" s="12"/>
      <c r="CW38" s="10">
        <f t="shared" si="29"/>
        <v>-12</v>
      </c>
      <c r="CX38" s="12">
        <f t="shared" si="30"/>
        <v>-196476.19047616998</v>
      </c>
      <c r="CY38" s="11">
        <f t="shared" si="31"/>
        <v>-1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G39" s="10">
        <v>16</v>
      </c>
      <c r="BH39" s="12">
        <v>520380.95238091995</v>
      </c>
      <c r="BI39" s="10">
        <f t="shared" si="14"/>
        <v>1</v>
      </c>
      <c r="BJ39" s="12">
        <f t="shared" si="15"/>
        <v>2761.9047618900076</v>
      </c>
      <c r="BK39" s="11">
        <f t="shared" si="16"/>
        <v>5.3357865685089365E-3</v>
      </c>
      <c r="BM39" s="14"/>
      <c r="BN39" s="13" t="s">
        <v>2</v>
      </c>
      <c r="BO39" s="10">
        <v>15</v>
      </c>
      <c r="BP39" s="12">
        <v>529047.61904759996</v>
      </c>
      <c r="BQ39" s="10">
        <f t="shared" si="17"/>
        <v>-1</v>
      </c>
      <c r="BR39" s="12">
        <f t="shared" si="18"/>
        <v>8666.6666666800156</v>
      </c>
      <c r="BS39" s="11">
        <f t="shared" si="19"/>
        <v>1.6654465592998872E-2</v>
      </c>
      <c r="BU39" s="14"/>
      <c r="BV39" s="13" t="s">
        <v>2</v>
      </c>
      <c r="BW39" s="10">
        <v>18</v>
      </c>
      <c r="BX39" s="12">
        <v>588761.90476187994</v>
      </c>
      <c r="BY39" s="10">
        <f t="shared" si="32"/>
        <v>3</v>
      </c>
      <c r="BZ39" s="12">
        <f t="shared" si="21"/>
        <v>59714.285714279977</v>
      </c>
      <c r="CA39" s="11">
        <f t="shared" si="22"/>
        <v>0.1128712871287061</v>
      </c>
      <c r="CC39" s="14"/>
      <c r="CD39" s="13" t="s">
        <v>2</v>
      </c>
      <c r="CE39" s="10">
        <v>9</v>
      </c>
      <c r="CF39" s="12">
        <v>312476.19047616998</v>
      </c>
      <c r="CG39" s="10">
        <f t="shared" si="23"/>
        <v>-9</v>
      </c>
      <c r="CH39" s="12">
        <f t="shared" si="24"/>
        <v>-276285.71428570995</v>
      </c>
      <c r="CI39" s="11">
        <f t="shared" si="25"/>
        <v>-0.46926560983501731</v>
      </c>
      <c r="CK39" s="14"/>
      <c r="CL39" s="13" t="s">
        <v>2</v>
      </c>
      <c r="CM39" s="10">
        <v>18</v>
      </c>
      <c r="CN39" s="12">
        <v>606857.14285711991</v>
      </c>
      <c r="CO39" s="10">
        <f t="shared" si="26"/>
        <v>9</v>
      </c>
      <c r="CP39" s="12">
        <f t="shared" si="27"/>
        <v>294380.95238094992</v>
      </c>
      <c r="CQ39" s="11">
        <f t="shared" si="28"/>
        <v>0.94209082596774674</v>
      </c>
      <c r="CS39" s="14"/>
      <c r="CT39" s="13" t="s">
        <v>2</v>
      </c>
      <c r="CV39" s="12"/>
      <c r="CW39" s="10">
        <f t="shared" si="29"/>
        <v>-18</v>
      </c>
      <c r="CX39" s="12">
        <f t="shared" si="30"/>
        <v>-606857.14285711991</v>
      </c>
      <c r="CY39" s="11">
        <f t="shared" si="31"/>
        <v>-1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>
        <v>237</v>
      </c>
      <c r="BH40" s="7">
        <v>1327073.8095231799</v>
      </c>
      <c r="BI40" s="27">
        <f t="shared" si="14"/>
        <v>-3</v>
      </c>
      <c r="BJ40" s="28">
        <f t="shared" si="15"/>
        <v>-15959.04761902988</v>
      </c>
      <c r="BK40" s="29">
        <f t="shared" si="16"/>
        <v>-1.1882842280559353E-2</v>
      </c>
      <c r="BM40" s="9" t="s">
        <v>12</v>
      </c>
      <c r="BN40" s="9"/>
      <c r="BO40" s="8">
        <v>185</v>
      </c>
      <c r="BP40" s="7">
        <v>1326189.5238089999</v>
      </c>
      <c r="BQ40" s="27">
        <f t="shared" si="17"/>
        <v>-52</v>
      </c>
      <c r="BR40" s="28">
        <f t="shared" si="18"/>
        <v>-884.28571417997591</v>
      </c>
      <c r="BS40" s="29">
        <f t="shared" si="19"/>
        <v>-6.6634252581452224E-4</v>
      </c>
      <c r="BU40" s="9" t="s">
        <v>12</v>
      </c>
      <c r="BV40" s="9"/>
      <c r="BW40" s="8">
        <v>228</v>
      </c>
      <c r="BX40" s="7">
        <v>1428441.4285708</v>
      </c>
      <c r="BY40" s="27">
        <f t="shared" si="32"/>
        <v>43</v>
      </c>
      <c r="BZ40" s="28">
        <f t="shared" si="21"/>
        <v>102251.90476180008</v>
      </c>
      <c r="CA40" s="29">
        <f t="shared" si="22"/>
        <v>7.7102030234802679E-2</v>
      </c>
      <c r="CC40" s="9" t="s">
        <v>12</v>
      </c>
      <c r="CD40" s="9"/>
      <c r="CE40" s="8">
        <v>193</v>
      </c>
      <c r="CF40" s="7">
        <v>978576.66666619992</v>
      </c>
      <c r="CG40" s="27">
        <f t="shared" si="23"/>
        <v>-35</v>
      </c>
      <c r="CH40" s="28">
        <f t="shared" si="24"/>
        <v>-449864.76190460008</v>
      </c>
      <c r="CI40" s="29">
        <f t="shared" si="25"/>
        <v>-0.31493399232666036</v>
      </c>
      <c r="CK40" s="9" t="s">
        <v>12</v>
      </c>
      <c r="CL40" s="9"/>
      <c r="CM40" s="8">
        <v>236</v>
      </c>
      <c r="CN40" s="7">
        <v>1396168.5714280198</v>
      </c>
      <c r="CO40" s="27">
        <f t="shared" si="26"/>
        <v>43</v>
      </c>
      <c r="CP40" s="28">
        <f t="shared" si="27"/>
        <v>417591.90476181987</v>
      </c>
      <c r="CQ40" s="29">
        <f t="shared" si="28"/>
        <v>0.42673396882072162</v>
      </c>
      <c r="CS40" s="9" t="s">
        <v>12</v>
      </c>
      <c r="CT40" s="9"/>
      <c r="CU40" s="8"/>
      <c r="CV40" s="7"/>
      <c r="CW40" s="27">
        <f t="shared" si="29"/>
        <v>-236</v>
      </c>
      <c r="CX40" s="28">
        <f t="shared" si="30"/>
        <v>-1396168.5714280198</v>
      </c>
      <c r="CY40" s="29">
        <f t="shared" si="31"/>
        <v>-1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1157</v>
      </c>
      <c r="BH41" s="35"/>
      <c r="BI41" s="10">
        <f t="shared" si="14"/>
        <v>-138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1340</v>
      </c>
      <c r="BP41" s="35"/>
      <c r="BQ41" s="10">
        <f t="shared" si="17"/>
        <v>183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1449</v>
      </c>
      <c r="BX41" s="33"/>
      <c r="BY41" s="10">
        <f t="shared" si="32"/>
        <v>109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>
        <v>1557</v>
      </c>
      <c r="CF41" s="33"/>
      <c r="CG41" s="10">
        <f t="shared" si="23"/>
        <v>108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>
        <v>1907</v>
      </c>
      <c r="CN41" s="33"/>
      <c r="CO41" s="10">
        <f t="shared" si="26"/>
        <v>350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-1907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2</v>
      </c>
      <c r="AZ42" s="35"/>
      <c r="BA42" s="10">
        <f t="shared" si="11"/>
        <v>-1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5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1</v>
      </c>
      <c r="BP42" s="35"/>
      <c r="BQ42" s="10">
        <f t="shared" si="17"/>
        <v>-4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4</v>
      </c>
      <c r="BX42" s="33"/>
      <c r="BY42" s="10">
        <f t="shared" si="32"/>
        <v>3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>
        <v>2</v>
      </c>
      <c r="CF42" s="33"/>
      <c r="CG42" s="10">
        <f t="shared" si="23"/>
        <v>-2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-2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G43" s="10">
        <v>106</v>
      </c>
      <c r="BH43" s="12">
        <v>112294.28571382999</v>
      </c>
      <c r="BI43" s="10">
        <f t="shared" si="14"/>
        <v>47</v>
      </c>
      <c r="BJ43" s="12">
        <f t="shared" si="15"/>
        <v>48206.66666647997</v>
      </c>
      <c r="BK43" s="11">
        <f t="shared" si="16"/>
        <v>0.75219936991048642</v>
      </c>
      <c r="BM43" s="14"/>
      <c r="BN43" s="13" t="s">
        <v>10</v>
      </c>
      <c r="BO43" s="10">
        <v>87</v>
      </c>
      <c r="BP43" s="12">
        <v>104469.52380909999</v>
      </c>
      <c r="BQ43" s="10">
        <f t="shared" si="17"/>
        <v>-19</v>
      </c>
      <c r="BR43" s="12">
        <f t="shared" si="18"/>
        <v>-7824.7619047299959</v>
      </c>
      <c r="BS43" s="11">
        <f t="shared" si="19"/>
        <v>-6.9680855575060763E-2</v>
      </c>
      <c r="BU43" s="14"/>
      <c r="BV43" s="13" t="s">
        <v>10</v>
      </c>
      <c r="BW43" s="10">
        <v>82</v>
      </c>
      <c r="BX43" s="12">
        <v>77693.333332970011</v>
      </c>
      <c r="BY43" s="10">
        <f t="shared" si="32"/>
        <v>-5</v>
      </c>
      <c r="BZ43" s="12">
        <f t="shared" si="21"/>
        <v>-26776.190476129981</v>
      </c>
      <c r="CA43" s="11">
        <f t="shared" si="22"/>
        <v>-0.25630623649686435</v>
      </c>
      <c r="CC43" s="14"/>
      <c r="CD43" s="13" t="s">
        <v>10</v>
      </c>
      <c r="CE43" s="10">
        <v>90</v>
      </c>
      <c r="CF43" s="12">
        <v>81430.476190019996</v>
      </c>
      <c r="CG43" s="10">
        <f t="shared" si="23"/>
        <v>8</v>
      </c>
      <c r="CH43" s="12">
        <f t="shared" si="24"/>
        <v>3737.1428570499847</v>
      </c>
      <c r="CI43" s="11">
        <f t="shared" si="25"/>
        <v>4.8101203754944151E-2</v>
      </c>
      <c r="CK43" s="14"/>
      <c r="CL43" s="13" t="s">
        <v>10</v>
      </c>
      <c r="CM43" s="10">
        <v>116</v>
      </c>
      <c r="CN43" s="12">
        <v>117830.47619000993</v>
      </c>
      <c r="CO43" s="10">
        <f t="shared" si="26"/>
        <v>26</v>
      </c>
      <c r="CP43" s="12">
        <f t="shared" si="27"/>
        <v>36399.99999998993</v>
      </c>
      <c r="CQ43" s="11">
        <f t="shared" si="28"/>
        <v>0.44700708755588808</v>
      </c>
      <c r="CS43" s="14"/>
      <c r="CT43" s="13" t="s">
        <v>10</v>
      </c>
      <c r="CV43" s="12"/>
      <c r="CW43" s="10">
        <f t="shared" si="29"/>
        <v>-116</v>
      </c>
      <c r="CX43" s="12">
        <f t="shared" si="30"/>
        <v>-117830.47619000993</v>
      </c>
      <c r="CY43" s="11">
        <f t="shared" si="31"/>
        <v>-1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G44" s="10">
        <v>50</v>
      </c>
      <c r="BH44" s="12">
        <v>68229.523809420003</v>
      </c>
      <c r="BI44" s="10">
        <f t="shared" si="14"/>
        <v>-12</v>
      </c>
      <c r="BJ44" s="12">
        <f t="shared" si="15"/>
        <v>-17009.523809489983</v>
      </c>
      <c r="BK44" s="11">
        <f t="shared" si="16"/>
        <v>-0.19955084300726605</v>
      </c>
      <c r="BM44" s="14"/>
      <c r="BN44" s="13" t="s">
        <v>9</v>
      </c>
      <c r="BO44" s="10">
        <v>54</v>
      </c>
      <c r="BP44" s="12">
        <v>67914.285714199999</v>
      </c>
      <c r="BQ44" s="10">
        <f t="shared" si="17"/>
        <v>4</v>
      </c>
      <c r="BR44" s="12">
        <f t="shared" si="18"/>
        <v>-315.23809522000374</v>
      </c>
      <c r="BS44" s="11">
        <f t="shared" si="19"/>
        <v>-4.6202593484388479E-3</v>
      </c>
      <c r="BU44" s="14"/>
      <c r="BV44" s="13" t="s">
        <v>9</v>
      </c>
      <c r="BW44" s="10">
        <v>70</v>
      </c>
      <c r="BX44" s="12">
        <v>65399.999999930013</v>
      </c>
      <c r="BY44" s="10">
        <f t="shared" si="32"/>
        <v>16</v>
      </c>
      <c r="BZ44" s="12">
        <f t="shared" si="21"/>
        <v>-2514.2857142699868</v>
      </c>
      <c r="CA44" s="11">
        <f t="shared" si="22"/>
        <v>-3.7021455616138239E-2</v>
      </c>
      <c r="CC44" s="14"/>
      <c r="CD44" s="13" t="s">
        <v>9</v>
      </c>
      <c r="CE44" s="10">
        <v>67</v>
      </c>
      <c r="CF44" s="12">
        <v>75810.476190389993</v>
      </c>
      <c r="CG44" s="10">
        <f t="shared" si="23"/>
        <v>-3</v>
      </c>
      <c r="CH44" s="12">
        <f t="shared" si="24"/>
        <v>10410.47619045998</v>
      </c>
      <c r="CI44" s="11">
        <f t="shared" si="25"/>
        <v>0.15918159312646973</v>
      </c>
      <c r="CK44" s="14"/>
      <c r="CL44" s="13" t="s">
        <v>9</v>
      </c>
      <c r="CM44" s="10">
        <v>109</v>
      </c>
      <c r="CN44" s="12">
        <v>104896.19047608</v>
      </c>
      <c r="CO44" s="10">
        <f t="shared" si="26"/>
        <v>42</v>
      </c>
      <c r="CP44" s="12">
        <f t="shared" si="27"/>
        <v>29085.714285690003</v>
      </c>
      <c r="CQ44" s="11">
        <f t="shared" si="28"/>
        <v>0.3836635218151685</v>
      </c>
      <c r="CS44" s="14"/>
      <c r="CT44" s="13" t="s">
        <v>9</v>
      </c>
      <c r="CV44" s="12"/>
      <c r="CW44" s="10">
        <f t="shared" si="29"/>
        <v>-109</v>
      </c>
      <c r="CX44" s="12">
        <f t="shared" si="30"/>
        <v>-104896.19047608</v>
      </c>
      <c r="CY44" s="11">
        <f t="shared" si="31"/>
        <v>-1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G45" s="10">
        <v>13</v>
      </c>
      <c r="BH45" s="12">
        <v>89876.190476179996</v>
      </c>
      <c r="BI45" s="10">
        <f t="shared" si="14"/>
        <v>-7</v>
      </c>
      <c r="BJ45" s="12">
        <f t="shared" si="15"/>
        <v>-35647.619047610002</v>
      </c>
      <c r="BK45" s="11">
        <f t="shared" si="16"/>
        <v>-0.28399089529587501</v>
      </c>
      <c r="BM45" s="14"/>
      <c r="BN45" s="13" t="s">
        <v>8</v>
      </c>
      <c r="BO45" s="10">
        <v>9</v>
      </c>
      <c r="BP45" s="12">
        <v>54199.999999990003</v>
      </c>
      <c r="BQ45" s="10">
        <f t="shared" si="17"/>
        <v>-4</v>
      </c>
      <c r="BR45" s="12">
        <f t="shared" si="18"/>
        <v>-35676.190476189993</v>
      </c>
      <c r="BS45" s="11">
        <f t="shared" si="19"/>
        <v>-0.39694818268521631</v>
      </c>
      <c r="BU45" s="14"/>
      <c r="BV45" s="13" t="s">
        <v>8</v>
      </c>
      <c r="BW45" s="10">
        <v>9</v>
      </c>
      <c r="BX45" s="12">
        <v>55628.571428559997</v>
      </c>
      <c r="BY45" s="10">
        <f t="shared" si="32"/>
        <v>0</v>
      </c>
      <c r="BZ45" s="12">
        <f t="shared" si="21"/>
        <v>1428.5714285699942</v>
      </c>
      <c r="CA45" s="11">
        <f t="shared" si="22"/>
        <v>2.6357406431185566E-2</v>
      </c>
      <c r="CC45" s="14"/>
      <c r="CD45" s="13" t="s">
        <v>8</v>
      </c>
      <c r="CE45" s="10">
        <v>7</v>
      </c>
      <c r="CF45" s="12">
        <v>44219.04761904</v>
      </c>
      <c r="CG45" s="10">
        <f t="shared" si="23"/>
        <v>-2</v>
      </c>
      <c r="CH45" s="12">
        <f t="shared" si="24"/>
        <v>-11409.523809519997</v>
      </c>
      <c r="CI45" s="11">
        <f t="shared" si="25"/>
        <v>-0.20510186611878889</v>
      </c>
      <c r="CK45" s="14"/>
      <c r="CL45" s="13" t="s">
        <v>8</v>
      </c>
      <c r="CM45" s="10">
        <v>9</v>
      </c>
      <c r="CN45" s="12">
        <v>57057.142857129998</v>
      </c>
      <c r="CO45" s="10">
        <f t="shared" si="26"/>
        <v>2</v>
      </c>
      <c r="CP45" s="12">
        <f t="shared" si="27"/>
        <v>12838.095238089998</v>
      </c>
      <c r="CQ45" s="11">
        <f t="shared" si="28"/>
        <v>0.29032952832213699</v>
      </c>
      <c r="CS45" s="14"/>
      <c r="CT45" s="13" t="s">
        <v>8</v>
      </c>
      <c r="CV45" s="12"/>
      <c r="CW45" s="10">
        <f t="shared" si="29"/>
        <v>-9</v>
      </c>
      <c r="CX45" s="12">
        <f t="shared" si="30"/>
        <v>-57057.142857129998</v>
      </c>
      <c r="CY45" s="11">
        <f t="shared" si="31"/>
        <v>-1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G46" s="10">
        <v>6</v>
      </c>
      <c r="BH46" s="12">
        <v>67047.619047600005</v>
      </c>
      <c r="BI46" s="10">
        <f t="shared" si="14"/>
        <v>-4</v>
      </c>
      <c r="BJ46" s="12">
        <f t="shared" si="15"/>
        <v>-40571.428571419994</v>
      </c>
      <c r="BK46" s="11">
        <f t="shared" si="16"/>
        <v>-0.37699115044249493</v>
      </c>
      <c r="BM46" s="14"/>
      <c r="BN46" s="13" t="s">
        <v>7</v>
      </c>
      <c r="BO46" s="10">
        <v>12</v>
      </c>
      <c r="BP46" s="12">
        <v>127428.57142853999</v>
      </c>
      <c r="BQ46" s="10">
        <f t="shared" si="17"/>
        <v>6</v>
      </c>
      <c r="BR46" s="12">
        <f t="shared" si="18"/>
        <v>60380.952380939983</v>
      </c>
      <c r="BS46" s="11">
        <f t="shared" si="19"/>
        <v>0.90056818181825271</v>
      </c>
      <c r="BU46" s="14"/>
      <c r="BV46" s="13" t="s">
        <v>7</v>
      </c>
      <c r="BW46" s="10">
        <v>13</v>
      </c>
      <c r="BX46" s="12">
        <v>168285.71428568001</v>
      </c>
      <c r="BY46" s="10">
        <f t="shared" si="32"/>
        <v>1</v>
      </c>
      <c r="BZ46" s="12">
        <f t="shared" si="21"/>
        <v>40857.142857140017</v>
      </c>
      <c r="CA46" s="11">
        <f t="shared" si="22"/>
        <v>0.32062780269063978</v>
      </c>
      <c r="CC46" s="14"/>
      <c r="CD46" s="13" t="s">
        <v>7</v>
      </c>
      <c r="CE46" s="10">
        <v>18</v>
      </c>
      <c r="CF46" s="12">
        <v>212571.42857138999</v>
      </c>
      <c r="CG46" s="10">
        <f t="shared" si="23"/>
        <v>5</v>
      </c>
      <c r="CH46" s="12">
        <f t="shared" si="24"/>
        <v>44285.714285709983</v>
      </c>
      <c r="CI46" s="11">
        <f t="shared" si="25"/>
        <v>0.26315789473687012</v>
      </c>
      <c r="CK46" s="14"/>
      <c r="CL46" s="13" t="s">
        <v>7</v>
      </c>
      <c r="CM46" s="10">
        <v>13</v>
      </c>
      <c r="CN46" s="12">
        <v>140004.76190474001</v>
      </c>
      <c r="CO46" s="10">
        <f t="shared" si="26"/>
        <v>-5</v>
      </c>
      <c r="CP46" s="12">
        <f t="shared" si="27"/>
        <v>-72566.66666664998</v>
      </c>
      <c r="CQ46" s="11">
        <f t="shared" si="28"/>
        <v>-0.34137544802865732</v>
      </c>
      <c r="CS46" s="14"/>
      <c r="CT46" s="13" t="s">
        <v>7</v>
      </c>
      <c r="CV46" s="12"/>
      <c r="CW46" s="10">
        <f t="shared" si="29"/>
        <v>-13</v>
      </c>
      <c r="CX46" s="12">
        <f t="shared" si="30"/>
        <v>-140004.76190474001</v>
      </c>
      <c r="CY46" s="11">
        <f t="shared" si="31"/>
        <v>-1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G48" s="10">
        <v>2</v>
      </c>
      <c r="BH48" s="12">
        <v>8180</v>
      </c>
      <c r="BI48" s="10">
        <f t="shared" si="14"/>
        <v>-2</v>
      </c>
      <c r="BJ48" s="12">
        <f t="shared" si="15"/>
        <v>-18180</v>
      </c>
      <c r="BK48" s="11">
        <f t="shared" si="16"/>
        <v>-0.68968133535660092</v>
      </c>
      <c r="BM48" s="14"/>
      <c r="BN48" s="13" t="s">
        <v>5</v>
      </c>
      <c r="BO48" s="10">
        <v>4</v>
      </c>
      <c r="BP48" s="12">
        <v>9170</v>
      </c>
      <c r="BQ48" s="10">
        <f t="shared" si="17"/>
        <v>2</v>
      </c>
      <c r="BR48" s="12">
        <f t="shared" si="18"/>
        <v>990</v>
      </c>
      <c r="BS48" s="11">
        <f t="shared" si="19"/>
        <v>0.12102689486552567</v>
      </c>
      <c r="BU48" s="14"/>
      <c r="BV48" s="13" t="s">
        <v>5</v>
      </c>
      <c r="BW48" s="10">
        <v>1</v>
      </c>
      <c r="BX48" s="12">
        <v>6290</v>
      </c>
      <c r="BY48" s="10">
        <f t="shared" si="32"/>
        <v>-3</v>
      </c>
      <c r="BZ48" s="12">
        <f t="shared" si="21"/>
        <v>-2880</v>
      </c>
      <c r="CA48" s="11">
        <f t="shared" si="22"/>
        <v>-0.31406761177753545</v>
      </c>
      <c r="CC48" s="14"/>
      <c r="CD48" s="13" t="s">
        <v>5</v>
      </c>
      <c r="CE48" s="51">
        <v>2</v>
      </c>
      <c r="CF48" s="51">
        <v>0</v>
      </c>
      <c r="CG48" s="10">
        <f t="shared" si="23"/>
        <v>1</v>
      </c>
      <c r="CH48" s="12">
        <f t="shared" si="24"/>
        <v>-6290</v>
      </c>
      <c r="CI48" s="11">
        <f t="shared" si="25"/>
        <v>-1</v>
      </c>
      <c r="CK48" s="14"/>
      <c r="CL48" s="13" t="s">
        <v>5</v>
      </c>
      <c r="CM48" s="10">
        <v>3</v>
      </c>
      <c r="CN48" s="12">
        <v>20770</v>
      </c>
      <c r="CO48" s="10">
        <f t="shared" si="26"/>
        <v>1</v>
      </c>
      <c r="CP48" s="12">
        <f t="shared" si="27"/>
        <v>20770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-3</v>
      </c>
      <c r="CX48" s="12">
        <f t="shared" si="30"/>
        <v>-20770</v>
      </c>
      <c r="CY48" s="11">
        <f t="shared" si="31"/>
        <v>-1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G49" s="10">
        <v>4</v>
      </c>
      <c r="BH49" s="12">
        <v>116466.66666665001</v>
      </c>
      <c r="BI49" s="10">
        <f t="shared" si="14"/>
        <v>0</v>
      </c>
      <c r="BJ49" s="12">
        <f t="shared" si="15"/>
        <v>-22022.857142859983</v>
      </c>
      <c r="BK49" s="11">
        <f t="shared" si="16"/>
        <v>-0.15902182733440581</v>
      </c>
      <c r="BM49" s="14"/>
      <c r="BN49" s="13" t="s">
        <v>4</v>
      </c>
      <c r="BO49" s="10">
        <v>6</v>
      </c>
      <c r="BP49" s="12">
        <v>145142.85714283999</v>
      </c>
      <c r="BQ49" s="10">
        <f t="shared" si="17"/>
        <v>2</v>
      </c>
      <c r="BR49" s="12">
        <f t="shared" si="18"/>
        <v>28676.190476189979</v>
      </c>
      <c r="BS49" s="11">
        <f t="shared" si="19"/>
        <v>0.24621800637831207</v>
      </c>
      <c r="BU49" s="14"/>
      <c r="BV49" s="13" t="s">
        <v>4</v>
      </c>
      <c r="BW49" s="10">
        <v>3</v>
      </c>
      <c r="BX49" s="12">
        <v>122933.33333332</v>
      </c>
      <c r="BY49" s="10">
        <f t="shared" si="32"/>
        <v>-3</v>
      </c>
      <c r="BZ49" s="12">
        <f t="shared" si="21"/>
        <v>-22209.523809519989</v>
      </c>
      <c r="CA49" s="11">
        <f t="shared" si="22"/>
        <v>-0.15301837270340385</v>
      </c>
      <c r="CC49" s="14"/>
      <c r="CD49" s="13" t="s">
        <v>4</v>
      </c>
      <c r="CE49" s="51">
        <v>6</v>
      </c>
      <c r="CF49" s="51">
        <v>175492.38095235999</v>
      </c>
      <c r="CG49" s="10">
        <f t="shared" si="23"/>
        <v>3</v>
      </c>
      <c r="CH49" s="12">
        <f t="shared" si="24"/>
        <v>52559.047619039993</v>
      </c>
      <c r="CI49" s="11">
        <f t="shared" si="25"/>
        <v>0.42754105980785545</v>
      </c>
      <c r="CK49" s="14"/>
      <c r="CL49" s="13" t="s">
        <v>4</v>
      </c>
      <c r="CM49" s="10">
        <v>11</v>
      </c>
      <c r="CN49" s="12">
        <v>290060.95238092</v>
      </c>
      <c r="CO49" s="10">
        <f t="shared" si="26"/>
        <v>5</v>
      </c>
      <c r="CP49" s="12">
        <f t="shared" si="27"/>
        <v>114568.57142856001</v>
      </c>
      <c r="CQ49" s="11">
        <f t="shared" si="28"/>
        <v>0.65284071483229433</v>
      </c>
      <c r="CS49" s="14"/>
      <c r="CT49" s="13" t="s">
        <v>4</v>
      </c>
      <c r="CV49" s="12"/>
      <c r="CW49" s="10">
        <f t="shared" si="29"/>
        <v>-11</v>
      </c>
      <c r="CX49" s="12">
        <f t="shared" si="30"/>
        <v>-290060.95238092</v>
      </c>
      <c r="CY49" s="11">
        <f t="shared" si="31"/>
        <v>-1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G50" s="10">
        <v>13</v>
      </c>
      <c r="BH50" s="12">
        <v>228285.71428568001</v>
      </c>
      <c r="BI50" s="10">
        <f t="shared" si="14"/>
        <v>4</v>
      </c>
      <c r="BJ50" s="12">
        <f t="shared" si="15"/>
        <v>86952.380952359992</v>
      </c>
      <c r="BK50" s="11">
        <f t="shared" si="16"/>
        <v>0.6152291105120391</v>
      </c>
      <c r="BM50" s="14"/>
      <c r="BN50" s="13" t="s">
        <v>3</v>
      </c>
      <c r="BO50" s="10">
        <v>11</v>
      </c>
      <c r="BP50" s="12">
        <v>194095.23809520999</v>
      </c>
      <c r="BQ50" s="10">
        <f t="shared" si="17"/>
        <v>-2</v>
      </c>
      <c r="BR50" s="12">
        <f t="shared" si="18"/>
        <v>-34190.476190470014</v>
      </c>
      <c r="BS50" s="11">
        <f t="shared" si="19"/>
        <v>-0.14977054651647437</v>
      </c>
      <c r="BU50" s="14"/>
      <c r="BV50" s="13" t="s">
        <v>3</v>
      </c>
      <c r="BW50" s="10">
        <v>13</v>
      </c>
      <c r="BX50" s="12">
        <v>216857.14285710998</v>
      </c>
      <c r="BY50" s="10">
        <f t="shared" si="32"/>
        <v>2</v>
      </c>
      <c r="BZ50" s="12">
        <f t="shared" si="21"/>
        <v>22761.90476189999</v>
      </c>
      <c r="CA50" s="11">
        <f t="shared" si="22"/>
        <v>0.11727183513247522</v>
      </c>
      <c r="CC50" s="14"/>
      <c r="CD50" s="13" t="s">
        <v>3</v>
      </c>
      <c r="CE50" s="51">
        <v>17</v>
      </c>
      <c r="CF50" s="51">
        <v>334285.71428567002</v>
      </c>
      <c r="CG50" s="10">
        <f t="shared" si="23"/>
        <v>4</v>
      </c>
      <c r="CH50" s="12">
        <f t="shared" si="24"/>
        <v>117428.57142856004</v>
      </c>
      <c r="CI50" s="11">
        <f t="shared" si="25"/>
        <v>0.54150197628461461</v>
      </c>
      <c r="CK50" s="14"/>
      <c r="CL50" s="13" t="s">
        <v>3</v>
      </c>
      <c r="CM50" s="10">
        <v>14</v>
      </c>
      <c r="CN50" s="12">
        <v>293047.61904758</v>
      </c>
      <c r="CO50" s="10">
        <f t="shared" si="26"/>
        <v>-3</v>
      </c>
      <c r="CP50" s="12">
        <f t="shared" si="27"/>
        <v>-41238.095238090027</v>
      </c>
      <c r="CQ50" s="11">
        <f t="shared" si="28"/>
        <v>-0.12336182336182411</v>
      </c>
      <c r="CS50" s="14"/>
      <c r="CT50" s="13" t="s">
        <v>3</v>
      </c>
      <c r="CV50" s="12"/>
      <c r="CW50" s="10">
        <f t="shared" si="29"/>
        <v>-14</v>
      </c>
      <c r="CX50" s="12">
        <f t="shared" si="30"/>
        <v>-293047.61904758</v>
      </c>
      <c r="CY50" s="11">
        <f t="shared" si="31"/>
        <v>-1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G51" s="10">
        <v>14</v>
      </c>
      <c r="BH51" s="12">
        <v>454857.14285712002</v>
      </c>
      <c r="BI51" s="10">
        <f t="shared" si="14"/>
        <v>0</v>
      </c>
      <c r="BJ51" s="12">
        <f t="shared" si="15"/>
        <v>-59999.999999999884</v>
      </c>
      <c r="BK51" s="11">
        <f t="shared" si="16"/>
        <v>-0.11653718091010486</v>
      </c>
      <c r="BM51" s="14"/>
      <c r="BN51" s="13" t="s">
        <v>2</v>
      </c>
      <c r="BO51" s="10">
        <v>18</v>
      </c>
      <c r="BP51" s="12">
        <v>639238.09523805999</v>
      </c>
      <c r="BQ51" s="10">
        <f t="shared" si="17"/>
        <v>4</v>
      </c>
      <c r="BR51" s="12">
        <f t="shared" si="18"/>
        <v>184380.95238093997</v>
      </c>
      <c r="BS51" s="11">
        <f t="shared" si="19"/>
        <v>0.40536013400334314</v>
      </c>
      <c r="BU51" s="14"/>
      <c r="BV51" s="13" t="s">
        <v>2</v>
      </c>
      <c r="BW51" s="10">
        <v>17</v>
      </c>
      <c r="BX51" s="12">
        <v>630761.90476187994</v>
      </c>
      <c r="BY51" s="10">
        <f t="shared" si="32"/>
        <v>-1</v>
      </c>
      <c r="BZ51" s="12">
        <f t="shared" si="21"/>
        <v>-8476.1904761800542</v>
      </c>
      <c r="CA51" s="11">
        <f t="shared" si="22"/>
        <v>-1.3259833134668575E-2</v>
      </c>
      <c r="CC51" s="14"/>
      <c r="CD51" s="13" t="s">
        <v>2</v>
      </c>
      <c r="CE51" s="51">
        <v>11</v>
      </c>
      <c r="CF51" s="51">
        <v>358952.38095235999</v>
      </c>
      <c r="CG51" s="10">
        <f t="shared" si="23"/>
        <v>-6</v>
      </c>
      <c r="CH51" s="12">
        <f t="shared" si="24"/>
        <v>-271809.52380951995</v>
      </c>
      <c r="CI51" s="11">
        <f t="shared" si="25"/>
        <v>-0.43092254265439706</v>
      </c>
      <c r="CK51" s="14"/>
      <c r="CL51" s="13" t="s">
        <v>2</v>
      </c>
      <c r="CM51" s="10">
        <v>18</v>
      </c>
      <c r="CN51" s="12">
        <v>628761.90476186003</v>
      </c>
      <c r="CO51" s="10">
        <f t="shared" si="26"/>
        <v>7</v>
      </c>
      <c r="CP51" s="12">
        <f t="shared" si="27"/>
        <v>269809.52380950004</v>
      </c>
      <c r="CQ51" s="11">
        <f t="shared" si="28"/>
        <v>0.75165826479169962</v>
      </c>
      <c r="CS51" s="14"/>
      <c r="CT51" s="13" t="s">
        <v>2</v>
      </c>
      <c r="CV51" s="12"/>
      <c r="CW51" s="10">
        <f t="shared" si="29"/>
        <v>-18</v>
      </c>
      <c r="CX51" s="12">
        <f t="shared" si="30"/>
        <v>-628761.90476186003</v>
      </c>
      <c r="CY51" s="11">
        <f t="shared" si="31"/>
        <v>-1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>
        <v>208</v>
      </c>
      <c r="BH52" s="7">
        <v>1145237.1428564801</v>
      </c>
      <c r="BI52" s="27">
        <f t="shared" si="14"/>
        <v>26</v>
      </c>
      <c r="BJ52" s="28">
        <f t="shared" si="15"/>
        <v>-58272.380952539854</v>
      </c>
      <c r="BK52" s="29">
        <f t="shared" si="16"/>
        <v>-4.8418711941814983E-2</v>
      </c>
      <c r="BM52" s="9" t="s">
        <v>11</v>
      </c>
      <c r="BN52" s="9"/>
      <c r="BO52" s="8">
        <v>201</v>
      </c>
      <c r="BP52" s="7">
        <v>1341658.5714279399</v>
      </c>
      <c r="BQ52" s="27">
        <f t="shared" si="17"/>
        <v>-7</v>
      </c>
      <c r="BR52" s="28">
        <f t="shared" si="18"/>
        <v>196421.42857145984</v>
      </c>
      <c r="BS52" s="29">
        <f t="shared" si="19"/>
        <v>0.17151157714073126</v>
      </c>
      <c r="BU52" s="9" t="s">
        <v>11</v>
      </c>
      <c r="BV52" s="9"/>
      <c r="BW52" s="8">
        <v>208</v>
      </c>
      <c r="BX52" s="7">
        <v>1343849.9999994501</v>
      </c>
      <c r="BY52" s="27">
        <f t="shared" si="32"/>
        <v>7</v>
      </c>
      <c r="BZ52" s="28">
        <f t="shared" si="21"/>
        <v>2191.4285715101287</v>
      </c>
      <c r="CA52" s="29">
        <f t="shared" si="22"/>
        <v>1.6333727657534885E-3</v>
      </c>
      <c r="CC52" s="9" t="s">
        <v>11</v>
      </c>
      <c r="CD52" s="9"/>
      <c r="CE52" s="52">
        <v>218</v>
      </c>
      <c r="CF52" s="52">
        <v>1282761.9047612301</v>
      </c>
      <c r="CG52" s="27">
        <f t="shared" si="23"/>
        <v>10</v>
      </c>
      <c r="CH52" s="28">
        <f t="shared" si="24"/>
        <v>-61088.095238219947</v>
      </c>
      <c r="CI52" s="29">
        <f t="shared" si="25"/>
        <v>-4.5457525198679127E-2</v>
      </c>
      <c r="CK52" s="9" t="s">
        <v>11</v>
      </c>
      <c r="CL52" s="9"/>
      <c r="CM52" s="8">
        <v>293</v>
      </c>
      <c r="CN52" s="7">
        <v>1652429.0476183197</v>
      </c>
      <c r="CO52" s="27">
        <f t="shared" si="26"/>
        <v>75</v>
      </c>
      <c r="CP52" s="28">
        <f t="shared" si="27"/>
        <v>369667.14285708964</v>
      </c>
      <c r="CQ52" s="29">
        <f t="shared" si="28"/>
        <v>0.28818063701844848</v>
      </c>
      <c r="CS52" s="9" t="s">
        <v>11</v>
      </c>
      <c r="CT52" s="9"/>
      <c r="CU52" s="8"/>
      <c r="CV52" s="7"/>
      <c r="CW52" s="27">
        <f t="shared" si="29"/>
        <v>-293</v>
      </c>
      <c r="CX52" s="28">
        <f t="shared" si="30"/>
        <v>-1652429.0476183197</v>
      </c>
      <c r="CY52" s="29">
        <f t="shared" si="31"/>
        <v>-1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3</v>
      </c>
      <c r="AZ54" s="35"/>
      <c r="BA54" s="10">
        <f t="shared" si="11"/>
        <v>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0</v>
      </c>
      <c r="BH54" s="35"/>
      <c r="BI54" s="10">
        <f t="shared" si="14"/>
        <v>-3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0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>
        <v>1</v>
      </c>
      <c r="CF54" s="33"/>
      <c r="CG54" s="10">
        <f t="shared" si="23"/>
        <v>1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-1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G55" s="10">
        <v>102</v>
      </c>
      <c r="BH55" s="12">
        <v>103464.76190425998</v>
      </c>
      <c r="BI55" s="10">
        <f t="shared" si="14"/>
        <v>1</v>
      </c>
      <c r="BJ55" s="12">
        <f t="shared" si="15"/>
        <v>7339.9999999400025</v>
      </c>
      <c r="BK55" s="11">
        <f t="shared" si="16"/>
        <v>7.635909680843779E-2</v>
      </c>
      <c r="BM55" s="14"/>
      <c r="BN55" s="13" t="s">
        <v>10</v>
      </c>
      <c r="BO55" s="10">
        <v>91</v>
      </c>
      <c r="BP55" s="12">
        <v>86616.190475760042</v>
      </c>
      <c r="BQ55" s="10">
        <f t="shared" si="17"/>
        <v>-11</v>
      </c>
      <c r="BR55" s="12">
        <f t="shared" si="18"/>
        <v>-16848.571428499941</v>
      </c>
      <c r="BS55" s="11">
        <f t="shared" si="19"/>
        <v>-0.16284357223081022</v>
      </c>
      <c r="BU55" s="14"/>
      <c r="BV55" s="13" t="s">
        <v>10</v>
      </c>
      <c r="BW55" s="10">
        <v>113</v>
      </c>
      <c r="BX55" s="12">
        <v>119877.14285659992</v>
      </c>
      <c r="BY55" s="10">
        <f t="shared" si="32"/>
        <v>22</v>
      </c>
      <c r="BZ55" s="12">
        <f t="shared" si="21"/>
        <v>33260.952380839881</v>
      </c>
      <c r="CA55" s="11">
        <f t="shared" si="22"/>
        <v>0.38400387038665845</v>
      </c>
      <c r="CC55" s="14"/>
      <c r="CD55" s="13" t="s">
        <v>10</v>
      </c>
      <c r="CE55" s="10">
        <v>113</v>
      </c>
      <c r="CF55" s="12">
        <v>121799.04761848997</v>
      </c>
      <c r="CG55" s="10">
        <f t="shared" si="23"/>
        <v>0</v>
      </c>
      <c r="CH55" s="12">
        <f t="shared" si="24"/>
        <v>1921.9047618900513</v>
      </c>
      <c r="CI55" s="11">
        <f t="shared" si="25"/>
        <v>1.603228702396655E-2</v>
      </c>
      <c r="CK55" s="14"/>
      <c r="CL55" s="13" t="s">
        <v>10</v>
      </c>
      <c r="CM55" s="10">
        <v>89</v>
      </c>
      <c r="CN55" s="12">
        <v>85134.285713899968</v>
      </c>
      <c r="CO55" s="10">
        <f t="shared" si="26"/>
        <v>-24</v>
      </c>
      <c r="CP55" s="12">
        <f t="shared" si="27"/>
        <v>-36664.761904590006</v>
      </c>
      <c r="CQ55" s="11">
        <f t="shared" si="28"/>
        <v>-0.3010266715667162</v>
      </c>
      <c r="CS55" s="14"/>
      <c r="CT55" s="13" t="s">
        <v>10</v>
      </c>
      <c r="CV55" s="12"/>
      <c r="CW55" s="10">
        <f t="shared" si="29"/>
        <v>-89</v>
      </c>
      <c r="CX55" s="12">
        <f t="shared" si="30"/>
        <v>-85134.285713899968</v>
      </c>
      <c r="CY55" s="11">
        <f t="shared" si="31"/>
        <v>-1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G56" s="10">
        <v>55</v>
      </c>
      <c r="BH56" s="12">
        <v>61952.380952320003</v>
      </c>
      <c r="BI56" s="10">
        <f t="shared" si="14"/>
        <v>-13</v>
      </c>
      <c r="BJ56" s="12">
        <f t="shared" si="15"/>
        <v>-12733.333333310002</v>
      </c>
      <c r="BK56" s="11">
        <f t="shared" si="16"/>
        <v>-0.17049222137197895</v>
      </c>
      <c r="BM56" s="14"/>
      <c r="BN56" s="13" t="s">
        <v>9</v>
      </c>
      <c r="BO56" s="10">
        <v>59</v>
      </c>
      <c r="BP56" s="12">
        <v>56866.666666600002</v>
      </c>
      <c r="BQ56" s="10">
        <f t="shared" si="17"/>
        <v>4</v>
      </c>
      <c r="BR56" s="12">
        <f t="shared" si="18"/>
        <v>-5085.7142857200015</v>
      </c>
      <c r="BS56" s="11">
        <f t="shared" si="19"/>
        <v>-8.2090699462125369E-2</v>
      </c>
      <c r="BU56" s="14"/>
      <c r="BV56" s="13" t="s">
        <v>9</v>
      </c>
      <c r="BW56" s="10">
        <v>51</v>
      </c>
      <c r="BX56" s="12">
        <v>67355.238095140012</v>
      </c>
      <c r="BY56" s="10">
        <f t="shared" si="32"/>
        <v>-8</v>
      </c>
      <c r="BZ56" s="12">
        <f t="shared" si="21"/>
        <v>10488.57142854001</v>
      </c>
      <c r="CA56" s="11">
        <f t="shared" si="22"/>
        <v>0.18444146709060327</v>
      </c>
      <c r="CC56" s="14"/>
      <c r="CD56" s="13" t="s">
        <v>9</v>
      </c>
      <c r="CE56" s="10">
        <v>59</v>
      </c>
      <c r="CF56" s="12">
        <v>70390.476190379995</v>
      </c>
      <c r="CG56" s="10">
        <f t="shared" si="23"/>
        <v>8</v>
      </c>
      <c r="CH56" s="12">
        <f t="shared" si="24"/>
        <v>3035.2380952399835</v>
      </c>
      <c r="CI56" s="11">
        <f t="shared" si="25"/>
        <v>4.5063133634130677E-2</v>
      </c>
      <c r="CK56" s="14"/>
      <c r="CL56" s="13" t="s">
        <v>9</v>
      </c>
      <c r="CM56" s="10">
        <v>63</v>
      </c>
      <c r="CN56" s="12">
        <v>57885.714285640017</v>
      </c>
      <c r="CO56" s="10">
        <f t="shared" si="26"/>
        <v>4</v>
      </c>
      <c r="CP56" s="12">
        <f t="shared" si="27"/>
        <v>-12504.761904739978</v>
      </c>
      <c r="CQ56" s="11">
        <f t="shared" si="28"/>
        <v>-0.17764849140840103</v>
      </c>
      <c r="CS56" s="14"/>
      <c r="CT56" s="13" t="s">
        <v>9</v>
      </c>
      <c r="CV56" s="12"/>
      <c r="CW56" s="10">
        <f t="shared" si="29"/>
        <v>-63</v>
      </c>
      <c r="CX56" s="12">
        <f t="shared" si="30"/>
        <v>-57885.714285640017</v>
      </c>
      <c r="CY56" s="11">
        <f t="shared" si="31"/>
        <v>-1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G57" s="10">
        <v>16</v>
      </c>
      <c r="BH57" s="12">
        <v>124133.33333332</v>
      </c>
      <c r="BI57" s="10">
        <f t="shared" si="14"/>
        <v>4</v>
      </c>
      <c r="BJ57" s="12">
        <f t="shared" si="15"/>
        <v>27104.761904769999</v>
      </c>
      <c r="BK57" s="11">
        <f t="shared" si="16"/>
        <v>0.27934825284663117</v>
      </c>
      <c r="BM57" s="14"/>
      <c r="BN57" s="13" t="s">
        <v>8</v>
      </c>
      <c r="BO57" s="10">
        <v>9</v>
      </c>
      <c r="BP57" s="12">
        <v>57057.142857129998</v>
      </c>
      <c r="BQ57" s="10">
        <f t="shared" si="17"/>
        <v>-7</v>
      </c>
      <c r="BR57" s="12">
        <f t="shared" si="18"/>
        <v>-67076.190476190008</v>
      </c>
      <c r="BS57" s="11">
        <f t="shared" si="19"/>
        <v>-0.54035599202092277</v>
      </c>
      <c r="BU57" s="14"/>
      <c r="BV57" s="13" t="s">
        <v>8</v>
      </c>
      <c r="BW57" s="10">
        <v>12</v>
      </c>
      <c r="BX57" s="12">
        <v>77028.571428569994</v>
      </c>
      <c r="BY57" s="10">
        <f t="shared" si="32"/>
        <v>3</v>
      </c>
      <c r="BZ57" s="12">
        <f t="shared" si="21"/>
        <v>19971.428571439996</v>
      </c>
      <c r="CA57" s="11">
        <f t="shared" si="22"/>
        <v>0.35002503755661363</v>
      </c>
      <c r="CC57" s="14"/>
      <c r="CD57" s="13" t="s">
        <v>8</v>
      </c>
      <c r="CE57" s="10">
        <v>14</v>
      </c>
      <c r="CF57" s="12">
        <v>102723.80952379</v>
      </c>
      <c r="CG57" s="10">
        <f t="shared" si="23"/>
        <v>2</v>
      </c>
      <c r="CH57" s="12">
        <f t="shared" si="24"/>
        <v>25695.238095220004</v>
      </c>
      <c r="CI57" s="11">
        <f t="shared" si="25"/>
        <v>0.33358061325397509</v>
      </c>
      <c r="CK57" s="14"/>
      <c r="CL57" s="13" t="s">
        <v>8</v>
      </c>
      <c r="CM57" s="10">
        <v>22</v>
      </c>
      <c r="CN57" s="12">
        <v>175504.76190475002</v>
      </c>
      <c r="CO57" s="10">
        <f t="shared" si="26"/>
        <v>8</v>
      </c>
      <c r="CP57" s="12">
        <f t="shared" si="27"/>
        <v>72780.952380960021</v>
      </c>
      <c r="CQ57" s="11">
        <f t="shared" si="28"/>
        <v>0.70851103282053174</v>
      </c>
      <c r="CS57" s="14"/>
      <c r="CT57" s="13" t="s">
        <v>8</v>
      </c>
      <c r="CV57" s="12"/>
      <c r="CW57" s="10">
        <f t="shared" si="29"/>
        <v>-22</v>
      </c>
      <c r="CX57" s="12">
        <f t="shared" si="30"/>
        <v>-175504.76190475002</v>
      </c>
      <c r="CY57" s="11">
        <f t="shared" si="31"/>
        <v>-1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G58" s="10">
        <v>6</v>
      </c>
      <c r="BH58" s="12">
        <v>61333.333333310002</v>
      </c>
      <c r="BI58" s="10">
        <f t="shared" si="14"/>
        <v>-1</v>
      </c>
      <c r="BJ58" s="12">
        <f t="shared" si="15"/>
        <v>-11333.333333340008</v>
      </c>
      <c r="BK58" s="11">
        <f t="shared" si="16"/>
        <v>-0.15596330275242118</v>
      </c>
      <c r="BM58" s="14"/>
      <c r="BN58" s="13" t="s">
        <v>7</v>
      </c>
      <c r="BO58" s="10">
        <v>12</v>
      </c>
      <c r="BP58" s="12">
        <v>141714.28571425</v>
      </c>
      <c r="BQ58" s="10">
        <f t="shared" si="17"/>
        <v>6</v>
      </c>
      <c r="BR58" s="12">
        <f t="shared" si="18"/>
        <v>80380.952380939998</v>
      </c>
      <c r="BS58" s="11">
        <f t="shared" si="19"/>
        <v>1.3105590062114767</v>
      </c>
      <c r="BU58" s="14"/>
      <c r="BV58" s="13" t="s">
        <v>7</v>
      </c>
      <c r="BW58" s="10">
        <v>13</v>
      </c>
      <c r="BX58" s="12">
        <v>155904.76190472004</v>
      </c>
      <c r="BY58" s="10">
        <f t="shared" si="32"/>
        <v>1</v>
      </c>
      <c r="BZ58" s="12">
        <f t="shared" si="21"/>
        <v>14190.476190470043</v>
      </c>
      <c r="CA58" s="11">
        <f t="shared" si="22"/>
        <v>0.10013440860213239</v>
      </c>
      <c r="CC58" s="14"/>
      <c r="CD58" s="13" t="s">
        <v>7</v>
      </c>
      <c r="CE58" s="10">
        <v>13</v>
      </c>
      <c r="CF58" s="12">
        <v>156857.1428571</v>
      </c>
      <c r="CG58" s="10">
        <f t="shared" si="23"/>
        <v>0</v>
      </c>
      <c r="CH58" s="12">
        <f t="shared" si="24"/>
        <v>952.38095237995731</v>
      </c>
      <c r="CI58" s="11">
        <f t="shared" si="25"/>
        <v>6.1087354917484646E-3</v>
      </c>
      <c r="CK58" s="14"/>
      <c r="CL58" s="13" t="s">
        <v>7</v>
      </c>
      <c r="CM58" s="10">
        <v>12</v>
      </c>
      <c r="CN58" s="12">
        <v>143619.04761902001</v>
      </c>
      <c r="CO58" s="10">
        <f t="shared" si="26"/>
        <v>-1</v>
      </c>
      <c r="CP58" s="12">
        <f t="shared" si="27"/>
        <v>-13238.095238079986</v>
      </c>
      <c r="CQ58" s="11">
        <f t="shared" si="28"/>
        <v>-8.4395871281043006E-2</v>
      </c>
      <c r="CS58" s="14"/>
      <c r="CT58" s="13" t="s">
        <v>7</v>
      </c>
      <c r="CV58" s="12"/>
      <c r="CW58" s="10">
        <f t="shared" si="29"/>
        <v>-12</v>
      </c>
      <c r="CX58" s="12">
        <f t="shared" si="30"/>
        <v>-143619.04761902001</v>
      </c>
      <c r="CY58" s="11">
        <f t="shared" si="31"/>
        <v>-1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G60" s="10">
        <v>7</v>
      </c>
      <c r="BH60" s="12">
        <v>29130</v>
      </c>
      <c r="BI60" s="10">
        <f t="shared" si="14"/>
        <v>5</v>
      </c>
      <c r="BJ60" s="12">
        <f t="shared" si="15"/>
        <v>24850</v>
      </c>
      <c r="BK60" s="11">
        <f t="shared" si="16"/>
        <v>5.80607476635514</v>
      </c>
      <c r="BM60" s="14"/>
      <c r="BN60" s="13" t="s">
        <v>5</v>
      </c>
      <c r="BO60" s="10">
        <v>7</v>
      </c>
      <c r="BP60" s="12">
        <v>24830</v>
      </c>
      <c r="BQ60" s="10">
        <f t="shared" si="17"/>
        <v>0</v>
      </c>
      <c r="BR60" s="12">
        <f t="shared" si="18"/>
        <v>-4300</v>
      </c>
      <c r="BS60" s="11">
        <f t="shared" si="19"/>
        <v>-0.14761414349467902</v>
      </c>
      <c r="BU60" s="14"/>
      <c r="BV60" s="13" t="s">
        <v>5</v>
      </c>
      <c r="BW60" s="10">
        <v>6</v>
      </c>
      <c r="BX60" s="12">
        <v>18550</v>
      </c>
      <c r="BY60" s="10">
        <f t="shared" si="32"/>
        <v>-1</v>
      </c>
      <c r="BZ60" s="12">
        <f t="shared" si="21"/>
        <v>-6280</v>
      </c>
      <c r="CA60" s="11">
        <f t="shared" si="22"/>
        <v>-0.25291985501409586</v>
      </c>
      <c r="CC60" s="14"/>
      <c r="CD60" s="13" t="s">
        <v>5</v>
      </c>
      <c r="CE60" s="51">
        <v>5</v>
      </c>
      <c r="CF60" s="51">
        <v>27150</v>
      </c>
      <c r="CG60" s="10">
        <f t="shared" si="23"/>
        <v>-1</v>
      </c>
      <c r="CH60" s="12">
        <f t="shared" si="24"/>
        <v>8600</v>
      </c>
      <c r="CI60" s="11">
        <f t="shared" si="25"/>
        <v>0.46361185983827491</v>
      </c>
      <c r="CK60" s="14"/>
      <c r="CL60" s="13" t="s">
        <v>5</v>
      </c>
      <c r="CM60" s="10">
        <v>1</v>
      </c>
      <c r="CN60" s="12">
        <v>2590</v>
      </c>
      <c r="CO60" s="10">
        <f t="shared" si="26"/>
        <v>-4</v>
      </c>
      <c r="CP60" s="12">
        <f t="shared" si="27"/>
        <v>-24560</v>
      </c>
      <c r="CQ60" s="11">
        <f t="shared" si="28"/>
        <v>-0.90460405156537749</v>
      </c>
      <c r="CS60" s="14"/>
      <c r="CT60" s="13" t="s">
        <v>5</v>
      </c>
      <c r="CV60" s="12"/>
      <c r="CW60" s="10">
        <f t="shared" si="29"/>
        <v>-1</v>
      </c>
      <c r="CX60" s="12">
        <f t="shared" si="30"/>
        <v>-2590</v>
      </c>
      <c r="CY60" s="11">
        <f t="shared" si="31"/>
        <v>-1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G61" s="10">
        <v>3</v>
      </c>
      <c r="BH61" s="12">
        <v>94242.857142840003</v>
      </c>
      <c r="BI61" s="10">
        <f t="shared" si="14"/>
        <v>0</v>
      </c>
      <c r="BJ61" s="12">
        <f t="shared" si="15"/>
        <v>15480.952380939998</v>
      </c>
      <c r="BK61" s="11">
        <f t="shared" si="16"/>
        <v>0.19655380894785948</v>
      </c>
      <c r="BM61" s="14"/>
      <c r="BN61" s="13" t="s">
        <v>4</v>
      </c>
      <c r="BO61" s="10">
        <v>4</v>
      </c>
      <c r="BP61" s="12">
        <v>122476.19047618001</v>
      </c>
      <c r="BQ61" s="10">
        <f t="shared" si="17"/>
        <v>1</v>
      </c>
      <c r="BR61" s="12">
        <f t="shared" si="18"/>
        <v>28233.333333340008</v>
      </c>
      <c r="BS61" s="11">
        <f t="shared" si="19"/>
        <v>0.29958061745250264</v>
      </c>
      <c r="BU61" s="14"/>
      <c r="BV61" s="13" t="s">
        <v>4</v>
      </c>
      <c r="BW61" s="10">
        <v>3</v>
      </c>
      <c r="BX61" s="12">
        <v>126861.90476189001</v>
      </c>
      <c r="BY61" s="10">
        <f t="shared" si="32"/>
        <v>-1</v>
      </c>
      <c r="BZ61" s="12">
        <f t="shared" si="21"/>
        <v>4385.7142857099971</v>
      </c>
      <c r="CA61" s="11">
        <f t="shared" si="22"/>
        <v>3.580870917570677E-2</v>
      </c>
      <c r="CC61" s="14"/>
      <c r="CD61" s="13" t="s">
        <v>4</v>
      </c>
      <c r="CE61" s="51">
        <v>7</v>
      </c>
      <c r="CF61" s="51">
        <v>261295.23809520996</v>
      </c>
      <c r="CG61" s="10">
        <f t="shared" si="23"/>
        <v>4</v>
      </c>
      <c r="CH61" s="12">
        <f t="shared" si="24"/>
        <v>134433.33333331996</v>
      </c>
      <c r="CI61" s="11">
        <f t="shared" si="25"/>
        <v>1.0596824443527073</v>
      </c>
      <c r="CK61" s="14"/>
      <c r="CL61" s="13" t="s">
        <v>4</v>
      </c>
      <c r="CM61" s="10">
        <v>7</v>
      </c>
      <c r="CN61" s="12">
        <v>267904.76190473</v>
      </c>
      <c r="CO61" s="10">
        <f t="shared" si="26"/>
        <v>0</v>
      </c>
      <c r="CP61" s="12">
        <f t="shared" si="27"/>
        <v>6609.523809520033</v>
      </c>
      <c r="CQ61" s="11">
        <f t="shared" si="28"/>
        <v>2.5295232541175033E-2</v>
      </c>
      <c r="CS61" s="14"/>
      <c r="CT61" s="13" t="s">
        <v>4</v>
      </c>
      <c r="CV61" s="12"/>
      <c r="CW61" s="10">
        <f t="shared" si="29"/>
        <v>-7</v>
      </c>
      <c r="CX61" s="12">
        <f t="shared" si="30"/>
        <v>-267904.76190473</v>
      </c>
      <c r="CY61" s="11">
        <f t="shared" si="31"/>
        <v>-1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G62" s="10">
        <v>13</v>
      </c>
      <c r="BH62" s="12">
        <v>247809.52380948002</v>
      </c>
      <c r="BI62" s="10">
        <f t="shared" si="14"/>
        <v>-9</v>
      </c>
      <c r="BJ62" s="12">
        <f t="shared" si="15"/>
        <v>-182952.38095237012</v>
      </c>
      <c r="BK62" s="11">
        <f t="shared" si="16"/>
        <v>-0.42471810745083571</v>
      </c>
      <c r="BM62" s="14"/>
      <c r="BN62" s="13" t="s">
        <v>3</v>
      </c>
      <c r="BO62" s="10">
        <v>13</v>
      </c>
      <c r="BP62" s="12">
        <v>261619.04761899999</v>
      </c>
      <c r="BQ62" s="10">
        <f t="shared" si="17"/>
        <v>0</v>
      </c>
      <c r="BR62" s="12">
        <f t="shared" si="18"/>
        <v>13809.523809519975</v>
      </c>
      <c r="BS62" s="11">
        <f t="shared" si="19"/>
        <v>5.5726364335121202E-2</v>
      </c>
      <c r="BU62" s="14"/>
      <c r="BV62" s="13" t="s">
        <v>3</v>
      </c>
      <c r="BW62" s="10">
        <v>11</v>
      </c>
      <c r="BX62" s="12">
        <v>208952.38095234003</v>
      </c>
      <c r="BY62" s="10">
        <f t="shared" si="32"/>
        <v>-2</v>
      </c>
      <c r="BZ62" s="12">
        <f t="shared" si="21"/>
        <v>-52666.666666659963</v>
      </c>
      <c r="CA62" s="11">
        <f t="shared" si="22"/>
        <v>-0.20131052056790327</v>
      </c>
      <c r="CC62" s="14"/>
      <c r="CD62" s="13" t="s">
        <v>3</v>
      </c>
      <c r="CE62" s="51">
        <v>13</v>
      </c>
      <c r="CF62" s="51">
        <v>277809.52380949003</v>
      </c>
      <c r="CG62" s="10">
        <f t="shared" si="23"/>
        <v>2</v>
      </c>
      <c r="CH62" s="12">
        <f t="shared" si="24"/>
        <v>68857.14285715</v>
      </c>
      <c r="CI62" s="11">
        <f t="shared" si="25"/>
        <v>0.32953509571568668</v>
      </c>
      <c r="CK62" s="14"/>
      <c r="CL62" s="13" t="s">
        <v>3</v>
      </c>
      <c r="CM62" s="10">
        <v>10</v>
      </c>
      <c r="CN62" s="12">
        <v>159523.80952377999</v>
      </c>
      <c r="CO62" s="10">
        <f t="shared" si="26"/>
        <v>-3</v>
      </c>
      <c r="CP62" s="12">
        <f t="shared" si="27"/>
        <v>-118285.71428571004</v>
      </c>
      <c r="CQ62" s="11">
        <f t="shared" si="28"/>
        <v>-0.42577991086736594</v>
      </c>
      <c r="CS62" s="14"/>
      <c r="CT62" s="13" t="s">
        <v>3</v>
      </c>
      <c r="CV62" s="12"/>
      <c r="CW62" s="10">
        <f t="shared" si="29"/>
        <v>-10</v>
      </c>
      <c r="CX62" s="12">
        <f t="shared" si="30"/>
        <v>-159523.80952377999</v>
      </c>
      <c r="CY62" s="11">
        <f t="shared" si="31"/>
        <v>-1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G63" s="10">
        <v>12</v>
      </c>
      <c r="BH63" s="12">
        <v>383619.04761902994</v>
      </c>
      <c r="BI63" s="10">
        <f t="shared" si="14"/>
        <v>2</v>
      </c>
      <c r="BJ63" s="12">
        <f t="shared" si="15"/>
        <v>40761.904761909973</v>
      </c>
      <c r="BK63" s="11">
        <f t="shared" si="16"/>
        <v>0.11888888888891203</v>
      </c>
      <c r="BM63" s="14"/>
      <c r="BN63" s="13" t="s">
        <v>2</v>
      </c>
      <c r="BO63" s="10">
        <v>11</v>
      </c>
      <c r="BP63" s="12">
        <v>395861.90476186998</v>
      </c>
      <c r="BQ63" s="10">
        <f t="shared" si="17"/>
        <v>-1</v>
      </c>
      <c r="BR63" s="12">
        <f t="shared" si="18"/>
        <v>12242.857142840046</v>
      </c>
      <c r="BS63" s="11">
        <f t="shared" si="19"/>
        <v>3.1914101290920163E-2</v>
      </c>
      <c r="BU63" s="14"/>
      <c r="BV63" s="13" t="s">
        <v>2</v>
      </c>
      <c r="BW63" s="10">
        <v>11</v>
      </c>
      <c r="BX63" s="12">
        <v>348476.19047617994</v>
      </c>
      <c r="BY63" s="10">
        <f t="shared" si="32"/>
        <v>0</v>
      </c>
      <c r="BZ63" s="12">
        <f t="shared" si="21"/>
        <v>-47385.714285690046</v>
      </c>
      <c r="CA63" s="11">
        <f t="shared" si="22"/>
        <v>-0.11970263800502561</v>
      </c>
      <c r="CC63" s="14"/>
      <c r="CD63" s="13" t="s">
        <v>2</v>
      </c>
      <c r="CE63" s="51">
        <v>18</v>
      </c>
      <c r="CF63" s="51">
        <v>655428.57142853993</v>
      </c>
      <c r="CG63" s="10">
        <f t="shared" si="23"/>
        <v>7</v>
      </c>
      <c r="CH63" s="12">
        <f t="shared" si="24"/>
        <v>306952.38095235999</v>
      </c>
      <c r="CI63" s="11">
        <f t="shared" si="25"/>
        <v>0.8808417600436943</v>
      </c>
      <c r="CK63" s="14"/>
      <c r="CL63" s="13" t="s">
        <v>2</v>
      </c>
      <c r="CM63" s="10">
        <v>12</v>
      </c>
      <c r="CN63" s="12">
        <v>430707.61904758995</v>
      </c>
      <c r="CO63" s="10">
        <f t="shared" si="26"/>
        <v>-6</v>
      </c>
      <c r="CP63" s="12">
        <f t="shared" si="27"/>
        <v>-224720.95238094998</v>
      </c>
      <c r="CQ63" s="11">
        <f t="shared" si="28"/>
        <v>-0.34286108689335776</v>
      </c>
      <c r="CS63" s="14"/>
      <c r="CT63" s="13" t="s">
        <v>2</v>
      </c>
      <c r="CV63" s="12"/>
      <c r="CW63" s="10">
        <f t="shared" si="29"/>
        <v>-12</v>
      </c>
      <c r="CX63" s="12">
        <f t="shared" si="30"/>
        <v>-430707.61904758995</v>
      </c>
      <c r="CY63" s="11">
        <f t="shared" si="31"/>
        <v>-1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>
        <v>214</v>
      </c>
      <c r="BH64" s="7">
        <v>1105685.2380945599</v>
      </c>
      <c r="BI64" s="27">
        <f t="shared" si="14"/>
        <v>-12</v>
      </c>
      <c r="BJ64" s="28">
        <f t="shared" si="15"/>
        <v>-100338.57142860023</v>
      </c>
      <c r="BK64" s="29">
        <f t="shared" si="16"/>
        <v>-8.3197836258533137E-2</v>
      </c>
      <c r="BM64" s="9" t="s">
        <v>1</v>
      </c>
      <c r="BN64" s="9"/>
      <c r="BO64" s="8">
        <v>206</v>
      </c>
      <c r="BP64" s="7">
        <v>1147041.42857079</v>
      </c>
      <c r="BQ64" s="27">
        <f t="shared" si="17"/>
        <v>-8</v>
      </c>
      <c r="BR64" s="28">
        <f t="shared" si="18"/>
        <v>41356.190476230113</v>
      </c>
      <c r="BS64" s="29">
        <f t="shared" si="19"/>
        <v>3.7403222048527765E-2</v>
      </c>
      <c r="BU64" s="9" t="s">
        <v>1</v>
      </c>
      <c r="BV64" s="9"/>
      <c r="BW64" s="8">
        <v>220</v>
      </c>
      <c r="BX64" s="7">
        <v>1123006.1904754401</v>
      </c>
      <c r="BY64" s="27">
        <f t="shared" si="32"/>
        <v>14</v>
      </c>
      <c r="BZ64" s="28">
        <f t="shared" si="21"/>
        <v>-24035.238095349865</v>
      </c>
      <c r="CA64" s="29">
        <f t="shared" si="22"/>
        <v>-2.0954115079607628E-2</v>
      </c>
      <c r="CC64" s="9" t="s">
        <v>1</v>
      </c>
      <c r="CD64" s="9"/>
      <c r="CE64" s="52">
        <v>242</v>
      </c>
      <c r="CF64" s="52">
        <v>1673453.8095229999</v>
      </c>
      <c r="CG64" s="27">
        <f t="shared" si="23"/>
        <v>22</v>
      </c>
      <c r="CH64" s="28">
        <f t="shared" si="24"/>
        <v>550447.6190475598</v>
      </c>
      <c r="CI64" s="29">
        <f t="shared" si="25"/>
        <v>0.49015546282475986</v>
      </c>
      <c r="CK64" s="9" t="s">
        <v>1</v>
      </c>
      <c r="CL64" s="9"/>
      <c r="CM64" s="8">
        <v>216</v>
      </c>
      <c r="CN64" s="7">
        <v>1322869.99999941</v>
      </c>
      <c r="CO64" s="27">
        <f t="shared" si="26"/>
        <v>-26</v>
      </c>
      <c r="CP64" s="28">
        <f t="shared" si="27"/>
        <v>-350583.80952358991</v>
      </c>
      <c r="CQ64" s="29">
        <f t="shared" si="28"/>
        <v>-0.20949715344908149</v>
      </c>
      <c r="CS64" s="9" t="s">
        <v>1</v>
      </c>
      <c r="CT64" s="9"/>
      <c r="CU64" s="8"/>
      <c r="CV64" s="7"/>
      <c r="CW64" s="27">
        <f t="shared" si="29"/>
        <v>-216</v>
      </c>
      <c r="CX64" s="28">
        <f t="shared" si="30"/>
        <v>-1322869.99999941</v>
      </c>
      <c r="CY64" s="29">
        <f t="shared" si="31"/>
        <v>-1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>
        <v>1780</v>
      </c>
      <c r="BH65" s="2">
        <v>14018858.571424255</v>
      </c>
      <c r="BI65" s="6">
        <f t="shared" si="14"/>
        <v>11</v>
      </c>
      <c r="BJ65" s="5">
        <f t="shared" si="15"/>
        <v>-169152.85714323446</v>
      </c>
      <c r="BK65" s="30">
        <f t="shared" si="16"/>
        <v>-1.1922238574085586E-2</v>
      </c>
      <c r="BM65" s="4" t="s">
        <v>0</v>
      </c>
      <c r="BN65" s="4"/>
      <c r="BO65" s="3">
        <v>1589</v>
      </c>
      <c r="BP65" s="2">
        <v>13852647.142853051</v>
      </c>
      <c r="BQ65" s="6">
        <f t="shared" si="17"/>
        <v>-191</v>
      </c>
      <c r="BR65" s="5">
        <f t="shared" si="18"/>
        <v>-166211.42857120372</v>
      </c>
      <c r="BS65" s="30">
        <f t="shared" si="19"/>
        <v>-1.1856274012921822E-2</v>
      </c>
      <c r="BU65" s="4" t="s">
        <v>0</v>
      </c>
      <c r="BV65" s="4"/>
      <c r="BW65" s="3">
        <v>1787</v>
      </c>
      <c r="BX65" s="2">
        <v>13836733.809519703</v>
      </c>
      <c r="BY65" s="6">
        <f t="shared" si="32"/>
        <v>198</v>
      </c>
      <c r="BZ65" s="5">
        <f t="shared" si="21"/>
        <v>-15913.333333348855</v>
      </c>
      <c r="CA65" s="30">
        <f t="shared" si="22"/>
        <v>-1.1487575745808964E-3</v>
      </c>
      <c r="CC65" s="4" t="s">
        <v>0</v>
      </c>
      <c r="CD65" s="4"/>
      <c r="CE65" s="3">
        <v>1893</v>
      </c>
      <c r="CF65" s="2">
        <v>15151444.7619006</v>
      </c>
      <c r="CG65" s="6">
        <f t="shared" si="23"/>
        <v>106</v>
      </c>
      <c r="CH65" s="5">
        <f t="shared" si="24"/>
        <v>1314710.9523808975</v>
      </c>
      <c r="CI65" s="30">
        <f t="shared" si="25"/>
        <v>9.501598935699504E-2</v>
      </c>
      <c r="CK65" s="4" t="s">
        <v>0</v>
      </c>
      <c r="CL65" s="4"/>
      <c r="CM65" s="3">
        <v>2050</v>
      </c>
      <c r="CN65" s="2">
        <v>15951239.52380522</v>
      </c>
      <c r="CO65" s="6">
        <f t="shared" si="26"/>
        <v>157</v>
      </c>
      <c r="CP65" s="5">
        <f t="shared" si="27"/>
        <v>799794.76190461963</v>
      </c>
      <c r="CQ65" s="30">
        <f t="shared" si="28"/>
        <v>5.2786699517643441E-2</v>
      </c>
      <c r="CS65" s="4" t="s">
        <v>0</v>
      </c>
      <c r="CT65" s="4"/>
      <c r="CU65" s="3"/>
      <c r="CV65" s="2"/>
      <c r="CW65" s="6">
        <f t="shared" si="29"/>
        <v>-2050</v>
      </c>
      <c r="CX65" s="5">
        <f t="shared" si="30"/>
        <v>-15951239.52380522</v>
      </c>
      <c r="CY65" s="30">
        <f t="shared" si="31"/>
        <v>-1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2026-06-21T11:36:37Z</dcterms:modified>
</cp:coreProperties>
</file>