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AD30154-0897-7549-BE6C-C5D4B80EC8DD}" xr6:coauthVersionLast="47" xr6:coauthVersionMax="47" xr10:uidLastSave="{00000000-0000-0000-0000-000000000000}"/>
  <bookViews>
    <workbookView xWindow="16280" yWindow="652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<sst xmlns="http://schemas.openxmlformats.org/spreadsheetml/2006/main" count="846" uniqueCount="49">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</sst>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Q65"/>
  <sheetViews>
    <sheetView tabSelected="1" topLeftCell="A28" zoomScale="81" workbookViewId="0">
      <pane xSplit="1" topLeftCell="BA1" activePane="topRight" state="frozen"/>
      <selection pane="topRight" activeCell="BO54" sqref="BO54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</cols>
  <sheetData>
    <row r="1" spans="1:95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</row>
    <row r="2" spans="1:95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</row>
    <row r="3" spans="1:95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95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</row>
    <row r="5" spans="1:95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>
        <v>6943</v>
      </c>
      <c r="CN5" s="36"/>
      <c r="CO5" s="12">
        <f t="shared" ref="CO5:CO65" si="30">CM5-CE5</f>
        <v>-1392</v>
      </c>
      <c r="CP5" s="14">
        <f t="shared" ref="CP5:CP65" si="31">CN5-CF5</f>
        <v>0</v>
      </c>
      <c r="CQ5" s="13" t="e">
        <f t="shared" ref="CQ5:CQ65" si="32">(CN5-CF5)/CF5</f>
        <v>#DIV/0!</v>
      </c>
    </row>
    <row r="6" spans="1:95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3">K6-C6</f>
        <v>3</v>
      </c>
      <c r="N6" s="14">
        <f t="shared" ref="N6" si="34">L6-D6</f>
        <v>0</v>
      </c>
      <c r="O6" s="13" t="e">
        <f t="shared" ref="O6" si="35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N6" s="36"/>
      <c r="CO6" s="12">
        <f t="shared" si="30"/>
        <v>-47</v>
      </c>
      <c r="CP6" s="14">
        <f t="shared" si="31"/>
        <v>0</v>
      </c>
      <c r="CQ6" s="13" t="e">
        <f t="shared" si="32"/>
        <v>#DIV/0!</v>
      </c>
    </row>
    <row r="7" spans="1:95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6">K7-C7</f>
        <v>15</v>
      </c>
      <c r="N7" s="14">
        <f t="shared" ref="N7:N42" si="37">L7-D7</f>
        <v>34120.952380939736</v>
      </c>
      <c r="O7" s="13">
        <f t="shared" ref="O7:O42" si="38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9">BG7-AY7</f>
        <v>-24</v>
      </c>
      <c r="BJ7" s="14">
        <f t="shared" ref="BJ7:BJ65" si="40">BH7-AZ7</f>
        <v>-51955.238095139735</v>
      </c>
      <c r="BK7" s="13">
        <f t="shared" ref="BK7:BK65" si="41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</row>
    <row r="8" spans="1:95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6"/>
        <v>-121</v>
      </c>
      <c r="N8" s="14">
        <f t="shared" si="37"/>
        <v>-41953.333333299961</v>
      </c>
      <c r="O8" s="13">
        <f t="shared" si="38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9"/>
        <v>23</v>
      </c>
      <c r="BJ8" s="14">
        <f t="shared" si="40"/>
        <v>70825.714285709953</v>
      </c>
      <c r="BK8" s="13">
        <f t="shared" si="41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</row>
    <row r="9" spans="1:95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6"/>
        <v>23</v>
      </c>
      <c r="N9" s="14">
        <f t="shared" si="37"/>
        <v>146310.47619046993</v>
      </c>
      <c r="O9" s="13">
        <f t="shared" si="38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9"/>
        <v>148</v>
      </c>
      <c r="BJ9" s="14">
        <f t="shared" si="40"/>
        <v>1021451.4285714298</v>
      </c>
      <c r="BK9" s="13">
        <f t="shared" si="41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</row>
    <row r="10" spans="1:95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6"/>
        <v>46</v>
      </c>
      <c r="N10" s="14">
        <f t="shared" si="37"/>
        <v>834666.66666666977</v>
      </c>
      <c r="O10" s="13">
        <f t="shared" si="38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9"/>
        <v>-18</v>
      </c>
      <c r="BJ10" s="14">
        <f t="shared" si="40"/>
        <v>-379238.09523808013</v>
      </c>
      <c r="BK10" s="13">
        <f t="shared" si="41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</row>
    <row r="11" spans="1:95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6"/>
        <v>0</v>
      </c>
      <c r="N11" s="14">
        <f t="shared" si="37"/>
        <v>11999.999999989999</v>
      </c>
      <c r="O11" s="13">
        <f t="shared" si="38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9"/>
        <v>-2</v>
      </c>
      <c r="BJ11" s="14">
        <f t="shared" si="40"/>
        <v>-5714.2857142800012</v>
      </c>
      <c r="BK11" s="13">
        <f t="shared" si="41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</row>
    <row r="12" spans="1:95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6"/>
        <v>-4</v>
      </c>
      <c r="N12" s="14">
        <f t="shared" si="37"/>
        <v>-32060</v>
      </c>
      <c r="O12" s="13">
        <f t="shared" si="38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9"/>
        <v>-5</v>
      </c>
      <c r="BJ12" s="14">
        <f t="shared" si="40"/>
        <v>-13850</v>
      </c>
      <c r="BK12" s="13">
        <f t="shared" si="41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</row>
    <row r="13" spans="1:95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6"/>
        <v>36</v>
      </c>
      <c r="N13" s="14">
        <f t="shared" si="37"/>
        <v>1377523.8095237501</v>
      </c>
      <c r="O13" s="13">
        <f t="shared" si="38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9"/>
        <v>-1</v>
      </c>
      <c r="BJ13" s="14">
        <f t="shared" si="40"/>
        <v>21761.904761879938</v>
      </c>
      <c r="BK13" s="13">
        <f t="shared" si="41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</row>
    <row r="14" spans="1:95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6"/>
        <v>53</v>
      </c>
      <c r="N14" s="14">
        <f t="shared" si="37"/>
        <v>948190.47619039996</v>
      </c>
      <c r="O14" s="13">
        <f t="shared" si="38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9"/>
        <v>-4</v>
      </c>
      <c r="BJ14" s="14">
        <f t="shared" si="40"/>
        <v>-187952.38095238013</v>
      </c>
      <c r="BK14" s="13">
        <f t="shared" si="41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</row>
    <row r="15" spans="1:95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6"/>
        <v>-92</v>
      </c>
      <c r="N15" s="14">
        <f t="shared" si="37"/>
        <v>-4670519.0476190317</v>
      </c>
      <c r="O15" s="13">
        <f t="shared" si="38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9"/>
        <v>-5</v>
      </c>
      <c r="BJ15" s="14">
        <f t="shared" si="40"/>
        <v>-163926.66666667908</v>
      </c>
      <c r="BK15" s="13">
        <f t="shared" si="41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</row>
    <row r="16" spans="1:95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6"/>
        <v>-44</v>
      </c>
      <c r="N16" s="9">
        <f t="shared" si="37"/>
        <v>-1391720.0000001118</v>
      </c>
      <c r="O16" s="8">
        <f t="shared" si="38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9"/>
        <v>112</v>
      </c>
      <c r="BJ16" s="30">
        <f t="shared" si="40"/>
        <v>311402.38095246069</v>
      </c>
      <c r="BK16" s="31">
        <f t="shared" si="41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</row>
    <row r="17" spans="1:95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6"/>
        <v>-958</v>
      </c>
      <c r="N17" s="14">
        <f t="shared" si="37"/>
        <v>0</v>
      </c>
      <c r="O17" s="13" t="e">
        <f t="shared" si="38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9"/>
        <v>-1227</v>
      </c>
      <c r="BJ17" s="14">
        <f t="shared" si="40"/>
        <v>0</v>
      </c>
      <c r="BK17" s="13" t="e">
        <f t="shared" si="41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>
        <v>5136</v>
      </c>
      <c r="CN17" s="36"/>
      <c r="CO17" s="12">
        <f t="shared" si="30"/>
        <v>-146</v>
      </c>
      <c r="CP17" s="14">
        <f t="shared" si="31"/>
        <v>0</v>
      </c>
      <c r="CQ17" s="13" t="e">
        <f t="shared" si="32"/>
        <v>#DIV/0!</v>
      </c>
    </row>
    <row r="18" spans="1:95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6"/>
        <v>-6</v>
      </c>
      <c r="N18" s="14">
        <f t="shared" si="37"/>
        <v>0</v>
      </c>
      <c r="O18" s="13" t="e">
        <f t="shared" si="38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9"/>
        <v>18</v>
      </c>
      <c r="BJ18" s="14">
        <f t="shared" si="40"/>
        <v>0</v>
      </c>
      <c r="BK18" s="13" t="e">
        <f t="shared" si="41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/>
      <c r="CN18" s="36"/>
      <c r="CO18" s="12">
        <f t="shared" si="30"/>
        <v>-27</v>
      </c>
      <c r="CP18" s="14">
        <f t="shared" si="31"/>
        <v>0</v>
      </c>
      <c r="CQ18" s="13" t="e">
        <f t="shared" si="32"/>
        <v>#DIV/0!</v>
      </c>
    </row>
    <row r="19" spans="1:95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2">K19-C19</f>
        <v>5</v>
      </c>
      <c r="N19" s="14">
        <f t="shared" ref="N19:N27" si="43">L19-D19</f>
        <v>16320.952380870236</v>
      </c>
      <c r="O19" s="13">
        <f t="shared" ref="O19:O27" si="44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9"/>
        <v>14</v>
      </c>
      <c r="BJ19" s="14">
        <f t="shared" si="40"/>
        <v>35514.285714209807</v>
      </c>
      <c r="BK19" s="13">
        <f t="shared" si="41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</row>
    <row r="20" spans="1:95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2"/>
        <v>16</v>
      </c>
      <c r="N20" s="14">
        <f t="shared" si="43"/>
        <v>-1189.5238095000386</v>
      </c>
      <c r="O20" s="13">
        <f t="shared" si="44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9"/>
        <v>-25</v>
      </c>
      <c r="BJ20" s="14">
        <f t="shared" si="40"/>
        <v>27284.761904729938</v>
      </c>
      <c r="BK20" s="13">
        <f t="shared" si="41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</row>
    <row r="21" spans="1:95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2"/>
        <v>-1</v>
      </c>
      <c r="N21" s="14">
        <f t="shared" si="43"/>
        <v>4253.3333333399787</v>
      </c>
      <c r="O21" s="13">
        <f t="shared" si="44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9"/>
        <v>83</v>
      </c>
      <c r="BJ21" s="14">
        <f t="shared" si="40"/>
        <v>578200.95238095988</v>
      </c>
      <c r="BK21" s="13">
        <f t="shared" si="41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</row>
    <row r="22" spans="1:95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2"/>
        <v>-2</v>
      </c>
      <c r="N22" s="14">
        <f t="shared" si="43"/>
        <v>-128857.14285715017</v>
      </c>
      <c r="O22" s="13">
        <f t="shared" si="44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9"/>
        <v>11</v>
      </c>
      <c r="BJ22" s="14">
        <f t="shared" si="40"/>
        <v>159904.76190476993</v>
      </c>
      <c r="BK22" s="13">
        <f t="shared" si="41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</row>
    <row r="23" spans="1:95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2"/>
        <v>-1</v>
      </c>
      <c r="N23" s="14">
        <f t="shared" si="43"/>
        <v>-8857.1428571299984</v>
      </c>
      <c r="O23" s="13">
        <f t="shared" si="44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9"/>
        <v>0</v>
      </c>
      <c r="BJ23" s="14">
        <f t="shared" si="40"/>
        <v>0</v>
      </c>
      <c r="BK23" s="13">
        <f t="shared" si="41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</row>
    <row r="24" spans="1:95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2"/>
        <v>-2</v>
      </c>
      <c r="N24" s="14">
        <f t="shared" si="43"/>
        <v>-11080</v>
      </c>
      <c r="O24" s="13">
        <f t="shared" si="44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9"/>
        <v>-1</v>
      </c>
      <c r="BJ24" s="14">
        <f t="shared" si="40"/>
        <v>-18590</v>
      </c>
      <c r="BK24" s="13">
        <f t="shared" si="41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</row>
    <row r="25" spans="1:95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2"/>
        <v>-4</v>
      </c>
      <c r="N25" s="14">
        <f t="shared" si="43"/>
        <v>-75333.333333309973</v>
      </c>
      <c r="O25" s="13">
        <f t="shared" si="44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9"/>
        <v>7</v>
      </c>
      <c r="BJ25" s="14">
        <f t="shared" si="40"/>
        <v>239511.42857142998</v>
      </c>
      <c r="BK25" s="13">
        <f t="shared" si="41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</row>
    <row r="26" spans="1:95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2"/>
        <v>-4</v>
      </c>
      <c r="N26" s="14">
        <f t="shared" si="43"/>
        <v>-72390.476190499961</v>
      </c>
      <c r="O26" s="13">
        <f t="shared" si="44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9"/>
        <v>-9</v>
      </c>
      <c r="BJ26" s="14">
        <f t="shared" si="40"/>
        <v>-198380.95238094009</v>
      </c>
      <c r="BK26" s="13">
        <f t="shared" si="41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</row>
    <row r="27" spans="1:95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2"/>
        <v>-5</v>
      </c>
      <c r="N27" s="14">
        <f t="shared" si="43"/>
        <v>-664649.52380951005</v>
      </c>
      <c r="O27" s="13">
        <f t="shared" si="44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9"/>
        <v>46</v>
      </c>
      <c r="BJ27" s="14">
        <f t="shared" si="40"/>
        <v>1565619.0476190113</v>
      </c>
      <c r="BK27" s="13">
        <f t="shared" si="41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</row>
    <row r="28" spans="1:95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6"/>
        <v>2</v>
      </c>
      <c r="N28" s="9">
        <f t="shared" si="37"/>
        <v>-941782.8571428908</v>
      </c>
      <c r="O28" s="8">
        <f t="shared" si="38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9"/>
        <v>126</v>
      </c>
      <c r="BJ28" s="30">
        <f t="shared" si="40"/>
        <v>2389064.28571417</v>
      </c>
      <c r="BK28" s="31">
        <f t="shared" si="41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</row>
    <row r="29" spans="1:95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6"/>
        <v>685</v>
      </c>
      <c r="N29" s="14">
        <f t="shared" si="37"/>
        <v>0</v>
      </c>
      <c r="O29" s="13" t="e">
        <f t="shared" si="38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9"/>
        <v>-431</v>
      </c>
      <c r="BJ29" s="14">
        <f t="shared" si="40"/>
        <v>0</v>
      </c>
      <c r="BK29" s="13" t="e">
        <f t="shared" si="41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>
        <v>3376</v>
      </c>
      <c r="CN29" s="36"/>
      <c r="CO29" s="12">
        <f t="shared" si="30"/>
        <v>-656</v>
      </c>
      <c r="CP29" s="14">
        <f t="shared" si="31"/>
        <v>0</v>
      </c>
      <c r="CQ29" s="13" t="e">
        <f t="shared" si="32"/>
        <v>#DIV/0!</v>
      </c>
    </row>
    <row r="30" spans="1:95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6"/>
        <v>-9</v>
      </c>
      <c r="N30" s="14">
        <f t="shared" si="37"/>
        <v>0</v>
      </c>
      <c r="O30" s="13" t="e">
        <f t="shared" si="38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9"/>
        <v>7</v>
      </c>
      <c r="BJ30" s="14">
        <f t="shared" si="40"/>
        <v>0</v>
      </c>
      <c r="BK30" s="13" t="e">
        <f t="shared" si="41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/>
      <c r="CN30" s="36"/>
      <c r="CO30" s="12">
        <f t="shared" si="30"/>
        <v>-4</v>
      </c>
      <c r="CP30" s="14">
        <f t="shared" si="31"/>
        <v>0</v>
      </c>
      <c r="CQ30" s="13" t="e">
        <f t="shared" si="32"/>
        <v>#DIV/0!</v>
      </c>
    </row>
    <row r="31" spans="1:95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5">K31-C31</f>
        <v>50</v>
      </c>
      <c r="N31" s="14">
        <f t="shared" ref="N31:N39" si="46">L31-D31</f>
        <v>59494.285713969963</v>
      </c>
      <c r="O31" s="13">
        <f t="shared" ref="O31:O39" si="47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9"/>
        <v>9</v>
      </c>
      <c r="BJ31" s="14">
        <f t="shared" si="40"/>
        <v>12963.809523710006</v>
      </c>
      <c r="BK31" s="13">
        <f t="shared" si="41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</row>
    <row r="32" spans="1:95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5"/>
        <v>12</v>
      </c>
      <c r="N32" s="14">
        <f t="shared" si="46"/>
        <v>7165.7142857699801</v>
      </c>
      <c r="O32" s="13">
        <f t="shared" si="47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9"/>
        <v>19</v>
      </c>
      <c r="BJ32" s="14">
        <f t="shared" si="40"/>
        <v>31128.571428589974</v>
      </c>
      <c r="BK32" s="13">
        <f t="shared" si="41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</row>
    <row r="33" spans="1:95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5"/>
        <v>15</v>
      </c>
      <c r="N33" s="14">
        <f t="shared" si="46"/>
        <v>110428.57142856001</v>
      </c>
      <c r="O33" s="13">
        <f t="shared" si="47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9"/>
        <v>19</v>
      </c>
      <c r="BJ33" s="14">
        <f t="shared" si="40"/>
        <v>151247.61904761998</v>
      </c>
      <c r="BK33" s="13">
        <f t="shared" si="41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</row>
    <row r="34" spans="1:95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5"/>
        <v>11</v>
      </c>
      <c r="N34" s="14">
        <f t="shared" si="46"/>
        <v>194190.47619048005</v>
      </c>
      <c r="O34" s="13">
        <f t="shared" si="47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9"/>
        <v>-5</v>
      </c>
      <c r="BJ34" s="14">
        <f t="shared" si="40"/>
        <v>-121428.57142856999</v>
      </c>
      <c r="BK34" s="13">
        <f t="shared" si="41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</row>
    <row r="35" spans="1:95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5"/>
        <v>-6</v>
      </c>
      <c r="N35" s="14">
        <f t="shared" si="46"/>
        <v>-17551.428571409997</v>
      </c>
      <c r="O35" s="13">
        <f t="shared" si="47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9"/>
        <v>0</v>
      </c>
      <c r="BJ35" s="14">
        <f t="shared" si="40"/>
        <v>1856.1904761899996</v>
      </c>
      <c r="BK35" s="13">
        <f t="shared" si="41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</row>
    <row r="36" spans="1:95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5"/>
        <v>2</v>
      </c>
      <c r="N36" s="14">
        <f t="shared" si="46"/>
        <v>23980</v>
      </c>
      <c r="O36" s="13">
        <f t="shared" si="47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9"/>
        <v>4</v>
      </c>
      <c r="BJ36" s="14">
        <f t="shared" si="40"/>
        <v>13360</v>
      </c>
      <c r="BK36" s="13">
        <f t="shared" si="41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</row>
    <row r="37" spans="1:95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5"/>
        <v>1</v>
      </c>
      <c r="N37" s="14">
        <f t="shared" si="46"/>
        <v>8449.5238095299865</v>
      </c>
      <c r="O37" s="13">
        <f t="shared" si="47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9"/>
        <v>0</v>
      </c>
      <c r="BJ37" s="14">
        <f t="shared" si="40"/>
        <v>3333.3333333299997</v>
      </c>
      <c r="BK37" s="13">
        <f t="shared" si="41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</row>
    <row r="38" spans="1:95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5"/>
        <v>0</v>
      </c>
      <c r="N38" s="14">
        <f t="shared" si="46"/>
        <v>45666.666666680016</v>
      </c>
      <c r="O38" s="13">
        <f t="shared" si="47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9"/>
        <v>-2</v>
      </c>
      <c r="BJ38" s="14">
        <f t="shared" si="40"/>
        <v>-1285.7142856900464</v>
      </c>
      <c r="BK38" s="13">
        <f t="shared" si="41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</row>
    <row r="39" spans="1:95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5"/>
        <v>-39</v>
      </c>
      <c r="N39" s="14">
        <f t="shared" si="46"/>
        <v>-1661411.4285714002</v>
      </c>
      <c r="O39" s="13">
        <f t="shared" si="47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9"/>
        <v>26</v>
      </c>
      <c r="BJ39" s="14">
        <f t="shared" si="40"/>
        <v>918476.1904761903</v>
      </c>
      <c r="BK39" s="13">
        <f t="shared" si="41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</row>
    <row r="40" spans="1:95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6"/>
        <v>46</v>
      </c>
      <c r="N40" s="9">
        <f t="shared" si="37"/>
        <v>-1229587.6190478201</v>
      </c>
      <c r="O40" s="8">
        <f t="shared" si="38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9"/>
        <v>70</v>
      </c>
      <c r="BJ40" s="30">
        <f t="shared" si="40"/>
        <v>1009651.4285713704</v>
      </c>
      <c r="BK40" s="31">
        <f t="shared" si="41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</row>
    <row r="41" spans="1:95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6"/>
        <v>-261</v>
      </c>
      <c r="N41" s="14">
        <f t="shared" si="37"/>
        <v>0</v>
      </c>
      <c r="O41" s="13" t="e">
        <f t="shared" si="38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9"/>
        <v>-210</v>
      </c>
      <c r="BJ41" s="14">
        <f t="shared" si="40"/>
        <v>0</v>
      </c>
      <c r="BK41" s="13" t="e">
        <f t="shared" si="41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>
        <v>1455</v>
      </c>
      <c r="CN41" s="36"/>
      <c r="CO41" s="12">
        <f t="shared" si="30"/>
        <v>-173</v>
      </c>
      <c r="CP41" s="14">
        <f t="shared" si="31"/>
        <v>0</v>
      </c>
      <c r="CQ41" s="13" t="e">
        <f t="shared" si="32"/>
        <v>#DIV/0!</v>
      </c>
    </row>
    <row r="42" spans="1:95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6"/>
        <v>-9</v>
      </c>
      <c r="N42" s="14">
        <f t="shared" si="37"/>
        <v>0</v>
      </c>
      <c r="O42" s="13" t="e">
        <f t="shared" si="38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9"/>
        <v>3</v>
      </c>
      <c r="BJ42" s="14">
        <f t="shared" si="40"/>
        <v>0</v>
      </c>
      <c r="BK42" s="13" t="e">
        <f t="shared" si="41"/>
        <v>#DIV/0!</v>
      </c>
      <c r="BM42" s="16"/>
      <c r="BN42" s="35" t="s">
        <v>33</v>
      </c>
      <c r="BO42" s="17">
        <v>8</v>
      </c>
      <c r="BP42" s="36"/>
      <c r="BQ42" s="12">
        <f t="shared" si="21"/>
        <v>-5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2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/>
      <c r="CN42" s="36"/>
      <c r="CO42" s="12">
        <f t="shared" si="30"/>
        <v>-11</v>
      </c>
      <c r="CP42" s="14">
        <f t="shared" si="31"/>
        <v>0</v>
      </c>
      <c r="CQ42" s="13" t="e">
        <f t="shared" si="32"/>
        <v>#DIV/0!</v>
      </c>
    </row>
    <row r="43" spans="1:95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8">K43-C43</f>
        <v>32</v>
      </c>
      <c r="N43" s="14">
        <f t="shared" ref="N43:N51" si="49">L43-D43</f>
        <v>36774.285714210011</v>
      </c>
      <c r="O43" s="13">
        <f t="shared" ref="O43:O51" si="50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9"/>
        <v>14</v>
      </c>
      <c r="BJ43" s="14">
        <f t="shared" si="40"/>
        <v>1656.1904762000049</v>
      </c>
      <c r="BK43" s="13">
        <f t="shared" si="41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</row>
    <row r="44" spans="1:95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8"/>
        <v>26</v>
      </c>
      <c r="N44" s="14">
        <f t="shared" si="49"/>
        <v>14286.666666670004</v>
      </c>
      <c r="O44" s="13">
        <f t="shared" si="50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9"/>
        <v>-20</v>
      </c>
      <c r="BJ44" s="14">
        <f t="shared" si="40"/>
        <v>-27973.333333309987</v>
      </c>
      <c r="BK44" s="13">
        <f t="shared" si="41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</row>
    <row r="45" spans="1:95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8"/>
        <v>1</v>
      </c>
      <c r="N45" s="14">
        <f t="shared" si="49"/>
        <v>-2866.6666666700039</v>
      </c>
      <c r="O45" s="13">
        <f t="shared" si="50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9"/>
        <v>19</v>
      </c>
      <c r="BJ45" s="14">
        <f t="shared" si="40"/>
        <v>139106.66666665999</v>
      </c>
      <c r="BK45" s="13">
        <f t="shared" si="41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</row>
    <row r="46" spans="1:95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8"/>
        <v>12</v>
      </c>
      <c r="N46" s="14">
        <f t="shared" si="49"/>
        <v>133142.85714283999</v>
      </c>
      <c r="O46" s="13">
        <f t="shared" si="50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9"/>
        <v>-4</v>
      </c>
      <c r="BJ46" s="14">
        <f t="shared" si="40"/>
        <v>-36761.90476188001</v>
      </c>
      <c r="BK46" s="13">
        <f t="shared" si="41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</row>
    <row r="47" spans="1:95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8"/>
        <v>-1</v>
      </c>
      <c r="N47" s="14">
        <f t="shared" si="49"/>
        <v>-2857.1428571400002</v>
      </c>
      <c r="O47" s="13">
        <f t="shared" si="50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9"/>
        <v>-1</v>
      </c>
      <c r="BJ47" s="14">
        <f t="shared" si="40"/>
        <v>-2857.1428571400002</v>
      </c>
      <c r="BK47" s="13">
        <f t="shared" si="41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</row>
    <row r="48" spans="1:95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8"/>
        <v>0</v>
      </c>
      <c r="N48" s="14">
        <f t="shared" si="49"/>
        <v>-6800</v>
      </c>
      <c r="O48" s="13">
        <f t="shared" si="50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9"/>
        <v>-6</v>
      </c>
      <c r="BJ48" s="14">
        <f t="shared" si="40"/>
        <v>-35540</v>
      </c>
      <c r="BK48" s="13">
        <f t="shared" si="41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</row>
    <row r="49" spans="1:95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8"/>
        <v>-2</v>
      </c>
      <c r="N49" s="14">
        <f t="shared" si="49"/>
        <v>-76190.476190459987</v>
      </c>
      <c r="O49" s="13">
        <f t="shared" si="50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9"/>
        <v>1</v>
      </c>
      <c r="BJ49" s="14">
        <f t="shared" si="40"/>
        <v>53526.666666669997</v>
      </c>
      <c r="BK49" s="13">
        <f t="shared" si="41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</row>
    <row r="50" spans="1:95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8"/>
        <v>13</v>
      </c>
      <c r="N50" s="14">
        <f t="shared" si="49"/>
        <v>205619.04761898998</v>
      </c>
      <c r="O50" s="13">
        <f t="shared" si="50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9"/>
        <v>-2</v>
      </c>
      <c r="BJ50" s="14">
        <f t="shared" si="40"/>
        <v>-40380.952380940027</v>
      </c>
      <c r="BK50" s="13">
        <f t="shared" si="41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</row>
    <row r="51" spans="1:95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8"/>
        <v>-6</v>
      </c>
      <c r="N51" s="14">
        <f t="shared" si="49"/>
        <v>-406999.99999997998</v>
      </c>
      <c r="O51" s="13">
        <f t="shared" si="50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9"/>
        <v>5</v>
      </c>
      <c r="BJ51" s="14">
        <f t="shared" si="40"/>
        <v>74761.904761900194</v>
      </c>
      <c r="BK51" s="13">
        <f t="shared" si="41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</row>
    <row r="52" spans="1:95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1">K52-C52</f>
        <v>75</v>
      </c>
      <c r="N52" s="9">
        <f t="shared" ref="N52:N65" si="52">L52-D52</f>
        <v>-105891.42857153993</v>
      </c>
      <c r="O52" s="8">
        <f t="shared" ref="O52:O65" si="53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9"/>
        <v>6</v>
      </c>
      <c r="BJ52" s="30">
        <f t="shared" si="40"/>
        <v>125538.09523816034</v>
      </c>
      <c r="BK52" s="31">
        <f t="shared" si="41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</row>
    <row r="53" spans="1:95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1"/>
        <v>0</v>
      </c>
      <c r="N53" s="14">
        <f t="shared" si="52"/>
        <v>0</v>
      </c>
      <c r="O53" s="13" t="e">
        <f t="shared" si="53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9"/>
        <v>0</v>
      </c>
      <c r="BJ53" s="14">
        <f t="shared" si="40"/>
        <v>0</v>
      </c>
      <c r="BK53" s="13" t="e">
        <f t="shared" si="41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/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</row>
    <row r="54" spans="1:95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1"/>
        <v>-4</v>
      </c>
      <c r="N54" s="14">
        <f t="shared" si="52"/>
        <v>0</v>
      </c>
      <c r="O54" s="13" t="e">
        <f t="shared" si="53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9"/>
        <v>-2</v>
      </c>
      <c r="BJ54" s="14">
        <f t="shared" si="40"/>
        <v>0</v>
      </c>
      <c r="BK54" s="13" t="e">
        <f t="shared" si="41"/>
        <v>#DIV/0!</v>
      </c>
      <c r="BM54" s="16"/>
      <c r="BN54" s="35" t="s">
        <v>33</v>
      </c>
      <c r="BO54" s="17">
        <v>8</v>
      </c>
      <c r="BP54" s="36"/>
      <c r="BQ54" s="12">
        <f t="shared" si="21"/>
        <v>3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-8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/>
      <c r="CN54" s="36"/>
      <c r="CO54" s="12">
        <f t="shared" si="30"/>
        <v>-11</v>
      </c>
      <c r="CP54" s="14">
        <f t="shared" si="31"/>
        <v>0</v>
      </c>
      <c r="CQ54" s="13" t="e">
        <f t="shared" si="32"/>
        <v>#DIV/0!</v>
      </c>
    </row>
    <row r="55" spans="1:95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1"/>
        <v>-18</v>
      </c>
      <c r="N55" s="14">
        <f t="shared" si="52"/>
        <v>-24420.952380899951</v>
      </c>
      <c r="O55" s="13">
        <f t="shared" si="53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9"/>
        <v>10</v>
      </c>
      <c r="BJ55" s="14">
        <f t="shared" si="40"/>
        <v>-72.380952419975074</v>
      </c>
      <c r="BK55" s="13">
        <f t="shared" si="41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</row>
    <row r="56" spans="1:95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1"/>
        <v>-24</v>
      </c>
      <c r="N56" s="14">
        <f t="shared" si="52"/>
        <v>-76438.095238119946</v>
      </c>
      <c r="O56" s="13">
        <f t="shared" si="53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9"/>
        <v>6</v>
      </c>
      <c r="BJ56" s="14">
        <f t="shared" si="40"/>
        <v>-4819.047619060002</v>
      </c>
      <c r="BK56" s="13">
        <f t="shared" si="41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</row>
    <row r="57" spans="1:95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1"/>
        <v>5</v>
      </c>
      <c r="N57" s="14">
        <f t="shared" si="52"/>
        <v>24522.857142859983</v>
      </c>
      <c r="O57" s="13">
        <f t="shared" si="53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9"/>
        <v>27</v>
      </c>
      <c r="BJ57" s="14">
        <f t="shared" si="40"/>
        <v>194028.57142857002</v>
      </c>
      <c r="BK57" s="13">
        <f t="shared" si="41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</row>
    <row r="58" spans="1:95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1"/>
        <v>-17</v>
      </c>
      <c r="N58" s="14">
        <f t="shared" si="52"/>
        <v>-169809.52380950004</v>
      </c>
      <c r="O58" s="13">
        <f t="shared" si="53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9"/>
        <v>3</v>
      </c>
      <c r="BJ58" s="14">
        <f t="shared" si="40"/>
        <v>78761.904761919985</v>
      </c>
      <c r="BK58" s="13">
        <f t="shared" si="41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</row>
    <row r="59" spans="1:95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1"/>
        <v>0</v>
      </c>
      <c r="N59" s="14">
        <f t="shared" si="52"/>
        <v>0</v>
      </c>
      <c r="O59" s="13" t="e">
        <f t="shared" si="53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9"/>
        <v>1</v>
      </c>
      <c r="BJ59" s="14">
        <f t="shared" si="40"/>
        <v>2857.1428571400002</v>
      </c>
      <c r="BK59" s="13" t="e">
        <f t="shared" si="41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</row>
    <row r="60" spans="1:95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1"/>
        <v>-1</v>
      </c>
      <c r="N60" s="14">
        <f t="shared" si="52"/>
        <v>129873.80952380001</v>
      </c>
      <c r="O60" s="13">
        <f t="shared" si="53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9"/>
        <v>2</v>
      </c>
      <c r="BJ60" s="14">
        <f t="shared" si="40"/>
        <v>7080</v>
      </c>
      <c r="BK60" s="13" t="e">
        <f t="shared" si="41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</row>
    <row r="61" spans="1:95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1"/>
        <v>-3</v>
      </c>
      <c r="N61" s="14">
        <f t="shared" si="52"/>
        <v>-150952.38095236997</v>
      </c>
      <c r="O61" s="13">
        <f t="shared" si="53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9"/>
        <v>1</v>
      </c>
      <c r="BJ61" s="14">
        <f t="shared" si="40"/>
        <v>44666.666666659992</v>
      </c>
      <c r="BK61" s="13">
        <f t="shared" si="41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</row>
    <row r="62" spans="1:95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1"/>
        <v>-6</v>
      </c>
      <c r="N62" s="14">
        <f t="shared" si="52"/>
        <v>-78476.190476179938</v>
      </c>
      <c r="O62" s="13">
        <f t="shared" si="53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9"/>
        <v>0</v>
      </c>
      <c r="BJ62" s="14">
        <f t="shared" si="40"/>
        <v>-43333.333333340008</v>
      </c>
      <c r="BK62" s="13">
        <f t="shared" si="41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</row>
    <row r="63" spans="1:95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1"/>
        <v>7</v>
      </c>
      <c r="N63" s="14">
        <f t="shared" si="52"/>
        <v>197904.76190476026</v>
      </c>
      <c r="O63" s="13">
        <f t="shared" si="53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9"/>
        <v>5</v>
      </c>
      <c r="BJ63" s="14">
        <f t="shared" si="40"/>
        <v>261428.57142858999</v>
      </c>
      <c r="BK63" s="13">
        <f t="shared" si="41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</row>
    <row r="64" spans="1:95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1"/>
        <v>-60</v>
      </c>
      <c r="N64" s="9">
        <f t="shared" si="52"/>
        <v>-286129.52380944975</v>
      </c>
      <c r="O64" s="8">
        <f t="shared" si="53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9"/>
        <v>55</v>
      </c>
      <c r="BJ64" s="30">
        <f t="shared" si="40"/>
        <v>540598.09523805976</v>
      </c>
      <c r="BK64" s="31">
        <f t="shared" si="41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</row>
    <row r="65" spans="1:95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1"/>
        <v>19</v>
      </c>
      <c r="N65" s="3">
        <f t="shared" si="52"/>
        <v>-3955111.4285718128</v>
      </c>
      <c r="O65" s="2">
        <f t="shared" si="53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9"/>
        <v>369</v>
      </c>
      <c r="BJ65" s="6">
        <f t="shared" si="40"/>
        <v>4376254.2857142128</v>
      </c>
      <c r="BK65" s="32">
        <f t="shared" si="41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3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2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1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0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9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8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2025-12-21T14:37:59Z</dcterms:modified>
</cp:coreProperties>
</file>