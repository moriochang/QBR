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Downloads/26Q1/"/>
    </mc:Choice>
  </mc:AlternateContent>
  <xr:revisionPtr revIDLastSave="0" documentId="13_ncr:1_{EE3C905C-2A69-5D42-A8E7-3EC7FBDB6ABC}" xr6:coauthVersionLast="47" xr6:coauthVersionMax="47" xr10:uidLastSave="{00000000-0000-0000-0000-000000000000}"/>
  <bookViews>
    <workbookView xWindow="13320" yWindow="1780" windowWidth="19960" windowHeight="20040" xr2:uid="{021FACC0-6583-9245-81B4-0A7BE4D712CF}"/>
  </bookViews>
  <sheets>
    <sheet name="26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5" i="2" l="1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I7" i="2"/>
  <c r="BJ7" i="2"/>
  <c r="BK7" i="2"/>
  <c r="BI8" i="2"/>
  <c r="BJ8" i="2"/>
  <c r="BK8" i="2"/>
  <c r="BI9" i="2"/>
  <c r="BJ9" i="2"/>
  <c r="BK9" i="2"/>
  <c r="BI10" i="2"/>
  <c r="BJ10" i="2"/>
  <c r="BK10" i="2"/>
  <c r="BI11" i="2"/>
  <c r="BJ11" i="2"/>
  <c r="BK11" i="2"/>
  <c r="BI12" i="2"/>
  <c r="BJ12" i="2"/>
  <c r="BK12" i="2"/>
  <c r="BI13" i="2"/>
  <c r="BJ13" i="2"/>
  <c r="BK13" i="2"/>
  <c r="BI14" i="2"/>
  <c r="BJ14" i="2"/>
  <c r="BK14" i="2"/>
  <c r="BI15" i="2"/>
  <c r="BJ15" i="2"/>
  <c r="BK15" i="2"/>
  <c r="BI16" i="2"/>
  <c r="BJ16" i="2"/>
  <c r="BK16" i="2"/>
  <c r="BI17" i="2"/>
  <c r="BJ17" i="2"/>
  <c r="BK17" i="2"/>
  <c r="BI18" i="2"/>
  <c r="BJ18" i="2"/>
  <c r="BK18" i="2"/>
  <c r="BI19" i="2"/>
  <c r="BJ19" i="2"/>
  <c r="BK19" i="2"/>
  <c r="BI20" i="2"/>
  <c r="BJ20" i="2"/>
  <c r="BK20" i="2"/>
  <c r="BI21" i="2"/>
  <c r="BJ21" i="2"/>
  <c r="BK21" i="2"/>
  <c r="BI22" i="2"/>
  <c r="BJ22" i="2"/>
  <c r="BK22" i="2"/>
  <c r="BI23" i="2"/>
  <c r="BJ23" i="2"/>
  <c r="BK23" i="2"/>
  <c r="BI24" i="2"/>
  <c r="BJ24" i="2"/>
  <c r="BK24" i="2"/>
  <c r="BI25" i="2"/>
  <c r="BJ25" i="2"/>
  <c r="BK25" i="2"/>
  <c r="BI26" i="2"/>
  <c r="BJ26" i="2"/>
  <c r="BK26" i="2"/>
  <c r="BI27" i="2"/>
  <c r="BJ27" i="2"/>
  <c r="BK27" i="2"/>
  <c r="BI28" i="2"/>
  <c r="BJ28" i="2"/>
  <c r="BK28" i="2"/>
  <c r="BI29" i="2"/>
  <c r="BJ29" i="2"/>
  <c r="BK29" i="2"/>
  <c r="BI30" i="2"/>
  <c r="BJ30" i="2"/>
  <c r="BK30" i="2"/>
  <c r="BI31" i="2"/>
  <c r="BJ31" i="2"/>
  <c r="BK31" i="2"/>
  <c r="BI32" i="2"/>
  <c r="BJ32" i="2"/>
  <c r="BK32" i="2"/>
  <c r="BI33" i="2"/>
  <c r="BJ33" i="2"/>
  <c r="BK33" i="2"/>
  <c r="BI34" i="2"/>
  <c r="BJ34" i="2"/>
  <c r="BK34" i="2"/>
  <c r="BI35" i="2"/>
  <c r="BJ35" i="2"/>
  <c r="BK35" i="2"/>
  <c r="BI36" i="2"/>
  <c r="BJ36" i="2"/>
  <c r="BK36" i="2"/>
  <c r="BI37" i="2"/>
  <c r="BJ37" i="2"/>
  <c r="BK37" i="2"/>
  <c r="BI38" i="2"/>
  <c r="BJ38" i="2"/>
  <c r="BK38" i="2"/>
  <c r="BI39" i="2"/>
  <c r="BJ39" i="2"/>
  <c r="BK39" i="2"/>
  <c r="BI40" i="2"/>
  <c r="BJ40" i="2"/>
  <c r="BK40" i="2"/>
  <c r="BI41" i="2"/>
  <c r="BJ41" i="2"/>
  <c r="BK41" i="2"/>
  <c r="BI42" i="2"/>
  <c r="BJ42" i="2"/>
  <c r="BK42" i="2"/>
  <c r="BI43" i="2"/>
  <c r="BJ43" i="2"/>
  <c r="BK43" i="2"/>
  <c r="BI44" i="2"/>
  <c r="BJ44" i="2"/>
  <c r="BK44" i="2"/>
  <c r="BI45" i="2"/>
  <c r="BJ45" i="2"/>
  <c r="BK45" i="2"/>
  <c r="BI46" i="2"/>
  <c r="BJ46" i="2"/>
  <c r="BK46" i="2"/>
  <c r="BI47" i="2"/>
  <c r="BJ47" i="2"/>
  <c r="BK47" i="2"/>
  <c r="BI48" i="2"/>
  <c r="BJ48" i="2"/>
  <c r="BK48" i="2"/>
  <c r="BI49" i="2"/>
  <c r="BJ49" i="2"/>
  <c r="BK49" i="2"/>
  <c r="BI50" i="2"/>
  <c r="BJ50" i="2"/>
  <c r="BK50" i="2"/>
  <c r="BI51" i="2"/>
  <c r="BJ51" i="2"/>
  <c r="BK51" i="2"/>
  <c r="BI52" i="2"/>
  <c r="BJ52" i="2"/>
  <c r="BK52" i="2"/>
  <c r="BI53" i="2"/>
  <c r="BJ53" i="2"/>
  <c r="BK53" i="2"/>
  <c r="BI54" i="2"/>
  <c r="BJ54" i="2"/>
  <c r="BK54" i="2"/>
  <c r="BI55" i="2"/>
  <c r="BJ55" i="2"/>
  <c r="BK55" i="2"/>
  <c r="BI56" i="2"/>
  <c r="BJ56" i="2"/>
  <c r="BK56" i="2"/>
  <c r="BI57" i="2"/>
  <c r="BJ57" i="2"/>
  <c r="BK57" i="2"/>
  <c r="BI58" i="2"/>
  <c r="BJ58" i="2"/>
  <c r="BK58" i="2"/>
  <c r="BI59" i="2"/>
  <c r="BJ59" i="2"/>
  <c r="BK59" i="2"/>
  <c r="BI60" i="2"/>
  <c r="BJ60" i="2"/>
  <c r="BK60" i="2"/>
  <c r="BI61" i="2"/>
  <c r="BJ61" i="2"/>
  <c r="BK61" i="2"/>
  <c r="BI62" i="2"/>
  <c r="BJ62" i="2"/>
  <c r="BK62" i="2"/>
  <c r="BI63" i="2"/>
  <c r="BJ63" i="2"/>
  <c r="BK63" i="2"/>
  <c r="BI64" i="2"/>
  <c r="BJ64" i="2"/>
  <c r="BK64" i="2"/>
  <c r="BI65" i="2"/>
  <c r="BJ65" i="2"/>
  <c r="BK65" i="2"/>
  <c r="BK6" i="2"/>
  <c r="BJ6" i="2"/>
  <c r="BI6" i="2"/>
  <c r="BK5" i="2"/>
  <c r="BJ5" i="2"/>
  <c r="BI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5" i="2"/>
  <c r="N5" i="2"/>
  <c r="M5" i="2"/>
  <c r="O6" i="2"/>
  <c r="N6" i="2"/>
  <c r="M6" i="2"/>
  <c r="M16" i="2"/>
  <c r="N16" i="2"/>
  <c r="O16" i="2"/>
  <c r="M7" i="2"/>
  <c r="N7" i="2"/>
  <c r="O7" i="2"/>
  <c r="M8" i="2"/>
  <c r="N8" i="2"/>
  <c r="O8" i="2"/>
  <c r="M9" i="2"/>
  <c r="N9" i="2"/>
  <c r="O9" i="2"/>
  <c r="M10" i="2"/>
  <c r="N10" i="2"/>
  <c r="O10" i="2"/>
  <c r="M11" i="2"/>
  <c r="N11" i="2"/>
  <c r="O11" i="2"/>
  <c r="M12" i="2"/>
  <c r="N12" i="2"/>
  <c r="O12" i="2"/>
  <c r="M13" i="2"/>
  <c r="N13" i="2"/>
  <c r="O13" i="2"/>
  <c r="M14" i="2"/>
  <c r="N14" i="2"/>
  <c r="O14" i="2"/>
  <c r="M15" i="2"/>
  <c r="N15" i="2"/>
  <c r="O15" i="2"/>
  <c r="M28" i="2"/>
  <c r="N28" i="2"/>
  <c r="O28" i="2"/>
  <c r="M40" i="2"/>
  <c r="N40" i="2"/>
  <c r="O40" i="2"/>
  <c r="M52" i="2"/>
  <c r="N52" i="2"/>
  <c r="O52" i="2"/>
  <c r="M64" i="2"/>
  <c r="N64" i="2"/>
  <c r="O64" i="2"/>
  <c r="M65" i="2"/>
  <c r="N65" i="2"/>
  <c r="O65" i="2"/>
</calcChain>
</file>

<file path=xl/sharedStrings.xml><?xml version="1.0" encoding="utf-8"?>
<sst xmlns="http://schemas.openxmlformats.org/spreadsheetml/2006/main" count="636" uniqueCount="43">
  <si>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</si>
  <si>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</si>
  <si>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</si>
  <si>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</si>
  <si>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</si>
  <si>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</si>
  <si>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</si>
  <si>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</si>
  <si>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</si>
  <si>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</si>
  <si>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</si>
  <si>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</si>
  <si>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</si>
  <si>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</si>
  <si>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</si>
  <si>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</si>
  <si>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</si>
  <si>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</si>
  <si>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</si>
  <si>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t>26Q1W1</t>
    <phoneticPr fontId="15" type="noConversion"/>
  </si>
  <si>
    <t>26Q1W2</t>
  </si>
  <si>
    <t>26Q1W3</t>
  </si>
  <si>
    <t>26Q1W4</t>
  </si>
  <si>
    <t>26Q1W5</t>
  </si>
  <si>
    <t>26Q1W6</t>
  </si>
  <si>
    <t>26Q1W7</t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</si>
  <si>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</si>
  <si>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10/12~10/18</t>
    <phoneticPr fontId="2" type="noConversion"/>
  </si>
  <si>
    <t>10/19~10/25</t>
    <phoneticPr fontId="2" type="noConversion"/>
  </si>
  <si>
    <r>
      <t>10/9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 xml:space="preserve">1013 </t>
    </r>
    <r>
      <rPr>
        <sz val="13"/>
        <color theme="1"/>
        <rFont val="PingFang TC"/>
        <family val="2"/>
        <charset val="136"/>
      </rPr>
      <t>預購滿萬送千</t>
    </r>
  </si>
  <si>
    <r>
      <t>10/16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>10/22</t>
    </r>
    <r>
      <rPr>
        <sz val="13"/>
        <color theme="1"/>
        <rFont val="PingFang TC"/>
        <family val="2"/>
        <charset val="136"/>
      </rPr>
      <t>滿萬送千</t>
    </r>
  </si>
  <si>
    <r>
      <t xml:space="preserve">10/23~10/29 </t>
    </r>
    <r>
      <rPr>
        <sz val="13"/>
        <color theme="1"/>
        <rFont val="PingFang TC"/>
        <family val="2"/>
        <charset val="136"/>
      </rPr>
      <t>滿萬送五百</t>
    </r>
  </si>
  <si>
    <t>Traffic</t>
    <phoneticPr fontId="2" type="noConversion"/>
  </si>
  <si>
    <t>Trade in</t>
    <phoneticPr fontId="2" type="noConversion"/>
  </si>
  <si>
    <t>09/27~10/04</t>
    <phoneticPr fontId="2" type="noConversion"/>
  </si>
  <si>
    <t>10/05~10/11</t>
    <phoneticPr fontId="2" type="noConversion"/>
  </si>
  <si>
    <t>10/26~11/01</t>
    <phoneticPr fontId="2" type="noConversion"/>
  </si>
  <si>
    <t>11/02~11/08</t>
    <phoneticPr fontId="2" type="noConversion"/>
  </si>
  <si>
    <t>11/09~11/15</t>
    <phoneticPr fontId="2" type="noConversion"/>
  </si>
  <si>
    <t>11/16~11/22</t>
    <phoneticPr fontId="2" type="noConversion"/>
  </si>
  <si>
    <t>26Q1W8</t>
    <phoneticPr fontId="2" type="noConversion"/>
  </si>
  <si>
    <t>26Q1W9</t>
    <phoneticPr fontId="2" type="noConversion"/>
  </si>
  <si>
    <t>11/23~11/29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</si>
</sst>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m&quot;月&quot;d&quot;日&quot;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sz val="9"/>
      <name val="Wawati TC"/>
      <family val="3"/>
      <charset val="136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sz val="13"/>
      <color theme="1"/>
      <name val="PingFang TC"/>
      <family val="2"/>
      <charset val="136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177" fontId="12" fillId="0" borderId="0" xfId="0" applyNumberFormat="1" applyFont="1">
      <alignment vertical="center"/>
    </xf>
    <xf numFmtId="0" fontId="17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9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dimension ref="A1:BS65"/>
  <sheetViews>
    <sheetView tabSelected="1" zoomScale="81" workbookViewId="0">
      <pane xSplit="1" topLeftCell="BD1" activePane="topRight" state="frozen"/>
      <selection pane="topRight" activeCell="BT51" sqref="BT51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</cols>
  <sheetData>
    <row r="1" spans="1:71" s="26" customFormat="1" ht="28" customHeight="1">
      <c r="A1" s="28" t="s">
        <v>19</v>
      </c>
      <c r="B1" s="28"/>
      <c r="D1" s="27"/>
      <c r="I1" s="28" t="s">
        <v>20</v>
      </c>
      <c r="J1" s="28"/>
      <c r="L1" s="27"/>
      <c r="Q1" s="28" t="s">
        <v>21</v>
      </c>
      <c r="R1" s="28"/>
      <c r="T1" s="27"/>
      <c r="Y1" s="28" t="s">
        <v>22</v>
      </c>
      <c r="Z1" s="28"/>
      <c r="AB1" s="27"/>
      <c r="AG1" s="28" t="s">
        <v>23</v>
      </c>
      <c r="AH1" s="28"/>
      <c r="AJ1" s="27"/>
      <c r="AO1" s="28" t="s">
        <v>24</v>
      </c>
      <c r="AP1" s="28"/>
      <c r="AR1" s="27"/>
      <c r="AW1" s="28" t="s">
        <v>25</v>
      </c>
      <c r="AX1" s="28"/>
      <c r="AZ1" s="27"/>
      <c r="BE1" s="28" t="s">
        <v>40</v>
      </c>
      <c r="BM1" s="28" t="s">
        <v>41</v>
      </c>
    </row>
    <row r="2" spans="1:71" s="22" customFormat="1" ht="18">
      <c r="A2" s="25" t="s">
        <v>34</v>
      </c>
      <c r="B2" s="24"/>
      <c r="D2" s="23"/>
      <c r="I2" s="33" t="s">
        <v>35</v>
      </c>
      <c r="K2" s="25"/>
      <c r="M2" s="25"/>
      <c r="O2" s="25"/>
      <c r="Q2" s="24" t="s">
        <v>27</v>
      </c>
      <c r="S2" s="25"/>
      <c r="U2" s="25"/>
      <c r="W2" s="25"/>
      <c r="Y2" s="22" t="s">
        <v>28</v>
      </c>
      <c r="Z2" s="24"/>
      <c r="AB2" s="23"/>
      <c r="AG2" s="22" t="s">
        <v>36</v>
      </c>
      <c r="AK2" s="24"/>
      <c r="AL2" s="24"/>
      <c r="AN2" s="23"/>
      <c r="AO2" s="22" t="s">
        <v>37</v>
      </c>
      <c r="AQ2" s="24"/>
      <c r="AR2" s="24"/>
      <c r="AT2" s="23"/>
      <c r="AW2" s="24" t="s">
        <v>38</v>
      </c>
      <c r="AX2" s="24"/>
      <c r="AZ2" s="23"/>
      <c r="BE2" s="22" t="s">
        <v>39</v>
      </c>
      <c r="BF2" s="23"/>
      <c r="BH2" s="23"/>
      <c r="BI2" s="23"/>
      <c r="BJ2" s="23"/>
      <c r="BK2" s="23"/>
      <c r="BM2" s="22" t="s">
        <v>42</v>
      </c>
      <c r="BN2" s="23"/>
      <c r="BP2" s="23"/>
      <c r="BQ2" s="23"/>
      <c r="BR2" s="23"/>
      <c r="BS2" s="23"/>
    </row>
    <row r="3" spans="1:71" s="22" customFormat="1" ht="28" customHeight="1">
      <c r="I3" s="34" t="s">
        <v>29</v>
      </c>
      <c r="Q3" s="34" t="s">
        <v>29</v>
      </c>
      <c r="T3" s="34" t="s">
        <v>30</v>
      </c>
      <c r="Y3" s="34" t="s">
        <v>30</v>
      </c>
      <c r="AB3" s="34" t="s">
        <v>31</v>
      </c>
      <c r="AG3" s="34" t="s">
        <v>31</v>
      </c>
    </row>
    <row r="4" spans="1:71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 t="s">
        <v>18</v>
      </c>
      <c r="J4" s="21" t="s">
        <v>17</v>
      </c>
      <c r="K4" s="20" t="s">
        <v>16</v>
      </c>
      <c r="L4" s="19" t="s">
        <v>15</v>
      </c>
      <c r="M4" s="18" t="s">
        <v>14</v>
      </c>
      <c r="N4" s="18" t="s">
        <v>14</v>
      </c>
      <c r="O4" s="18" t="s">
        <v>14</v>
      </c>
      <c r="Q4" s="21" t="s">
        <v>18</v>
      </c>
      <c r="R4" s="21" t="s">
        <v>17</v>
      </c>
      <c r="S4" s="20" t="s">
        <v>16</v>
      </c>
      <c r="T4" s="19" t="s">
        <v>15</v>
      </c>
      <c r="U4" s="18" t="s">
        <v>14</v>
      </c>
      <c r="V4" s="18" t="s">
        <v>14</v>
      </c>
      <c r="W4" s="18" t="s">
        <v>14</v>
      </c>
      <c r="Y4" s="21" t="s">
        <v>18</v>
      </c>
      <c r="Z4" s="21" t="s">
        <v>17</v>
      </c>
      <c r="AA4" s="20" t="s">
        <v>16</v>
      </c>
      <c r="AB4" s="19" t="s">
        <v>15</v>
      </c>
      <c r="AC4" s="18" t="s">
        <v>14</v>
      </c>
      <c r="AD4" s="18" t="s">
        <v>14</v>
      </c>
      <c r="AE4" s="18" t="s">
        <v>14</v>
      </c>
      <c r="AG4" s="21" t="s">
        <v>18</v>
      </c>
      <c r="AH4" s="21" t="s">
        <v>17</v>
      </c>
      <c r="AI4" s="20" t="s">
        <v>16</v>
      </c>
      <c r="AJ4" s="19" t="s">
        <v>15</v>
      </c>
      <c r="AK4" s="18" t="s">
        <v>14</v>
      </c>
      <c r="AL4" s="18" t="s">
        <v>14</v>
      </c>
      <c r="AM4" s="18" t="s">
        <v>14</v>
      </c>
      <c r="AO4" s="21" t="s">
        <v>18</v>
      </c>
      <c r="AP4" s="21" t="s">
        <v>17</v>
      </c>
      <c r="AQ4" s="20" t="s">
        <v>16</v>
      </c>
      <c r="AR4" s="19" t="s">
        <v>15</v>
      </c>
      <c r="AS4" s="18" t="s">
        <v>14</v>
      </c>
      <c r="AT4" s="18" t="s">
        <v>14</v>
      </c>
      <c r="AU4" s="18" t="s">
        <v>14</v>
      </c>
      <c r="AW4" s="21" t="s">
        <v>18</v>
      </c>
      <c r="AX4" s="21" t="s">
        <v>17</v>
      </c>
      <c r="AY4" s="20" t="s">
        <v>16</v>
      </c>
      <c r="AZ4" s="19" t="s">
        <v>15</v>
      </c>
      <c r="BA4" s="18" t="s">
        <v>14</v>
      </c>
      <c r="BB4" s="18" t="s">
        <v>14</v>
      </c>
      <c r="BC4" s="18" t="s">
        <v>14</v>
      </c>
      <c r="BE4" s="21" t="s">
        <v>18</v>
      </c>
      <c r="BF4" s="21" t="s">
        <v>17</v>
      </c>
      <c r="BG4" s="20" t="s">
        <v>16</v>
      </c>
      <c r="BH4" s="19" t="s">
        <v>15</v>
      </c>
      <c r="BI4" s="18" t="s">
        <v>14</v>
      </c>
      <c r="BJ4" s="18" t="s">
        <v>14</v>
      </c>
      <c r="BK4" s="18" t="s">
        <v>14</v>
      </c>
      <c r="BM4" s="21" t="s">
        <v>18</v>
      </c>
      <c r="BN4" s="21" t="s">
        <v>17</v>
      </c>
      <c r="BO4" s="20" t="s">
        <v>16</v>
      </c>
      <c r="BP4" s="19" t="s">
        <v>15</v>
      </c>
      <c r="BQ4" s="18" t="s">
        <v>14</v>
      </c>
      <c r="BR4" s="18" t="s">
        <v>14</v>
      </c>
      <c r="BS4" s="18" t="s">
        <v>14</v>
      </c>
    </row>
    <row r="5" spans="1:71" s="42" customFormat="1" ht="22" customHeight="1">
      <c r="A5" s="16">
        <v>75</v>
      </c>
      <c r="B5" s="35" t="s">
        <v>32</v>
      </c>
      <c r="C5" s="43">
        <v>31227</v>
      </c>
      <c r="D5" s="1"/>
      <c r="E5" s="40"/>
      <c r="F5" s="40"/>
      <c r="G5" s="40"/>
      <c r="H5" s="1"/>
      <c r="I5" s="16">
        <v>75</v>
      </c>
      <c r="J5" s="35" t="s">
        <v>32</v>
      </c>
      <c r="K5" s="43">
        <v>25585</v>
      </c>
      <c r="L5" s="1"/>
      <c r="M5" s="12">
        <f t="shared" ref="M5" si="0">K5-C5</f>
        <v>-5642</v>
      </c>
      <c r="N5" s="14">
        <f t="shared" ref="N5" si="1">L5-D5</f>
        <v>0</v>
      </c>
      <c r="O5" s="13" t="e">
        <f t="shared" ref="O5" si="2">(L5-D5)/D5</f>
        <v>#DIV/0!</v>
      </c>
      <c r="P5" s="1"/>
      <c r="Q5" s="16">
        <v>75</v>
      </c>
      <c r="R5" s="35" t="s">
        <v>32</v>
      </c>
      <c r="S5" s="43">
        <v>17917</v>
      </c>
      <c r="T5" s="1"/>
      <c r="U5" s="12">
        <f t="shared" ref="U5:U65" si="3">S5-K5</f>
        <v>-7668</v>
      </c>
      <c r="V5" s="14">
        <f t="shared" ref="V5:V65" si="4">T5-L5</f>
        <v>0</v>
      </c>
      <c r="W5" s="13" t="e">
        <f t="shared" ref="W5:W65" si="5">(T5-L5)/L5</f>
        <v>#DIV/0!</v>
      </c>
      <c r="X5" s="1"/>
      <c r="Y5" s="16">
        <v>75</v>
      </c>
      <c r="Z5" s="35" t="s">
        <v>32</v>
      </c>
      <c r="AA5" s="43">
        <v>17993</v>
      </c>
      <c r="AB5" s="1"/>
      <c r="AC5" s="12">
        <f t="shared" ref="AC5:AC65" si="6">AA5-S5</f>
        <v>76</v>
      </c>
      <c r="AD5" s="14">
        <f t="shared" ref="AD5:AD65" si="7">AB5-T5</f>
        <v>0</v>
      </c>
      <c r="AE5" s="13" t="e">
        <f t="shared" ref="AE5:AE65" si="8">(AB5-T5)/T5</f>
        <v>#DIV/0!</v>
      </c>
      <c r="AF5" s="1"/>
      <c r="AG5" s="16">
        <v>75</v>
      </c>
      <c r="AH5" s="35" t="s">
        <v>32</v>
      </c>
      <c r="AI5" s="43">
        <v>12285</v>
      </c>
      <c r="AJ5" s="1"/>
      <c r="AK5" s="12">
        <f t="shared" ref="AK5:AK65" si="9">AI5-AA5</f>
        <v>-5708</v>
      </c>
      <c r="AL5" s="14">
        <f t="shared" ref="AL5:AL65" si="10">AJ5-AB5</f>
        <v>0</v>
      </c>
      <c r="AM5" s="13" t="e">
        <f t="shared" ref="AM5:AM65" si="11">(AJ5-AB5)/AB5</f>
        <v>#DIV/0!</v>
      </c>
      <c r="AN5" s="1"/>
      <c r="AO5" s="16">
        <v>75</v>
      </c>
      <c r="AP5" s="35" t="s">
        <v>32</v>
      </c>
      <c r="AQ5" s="43">
        <v>11491</v>
      </c>
      <c r="AR5" s="1"/>
      <c r="AS5" s="12">
        <f t="shared" ref="AS5:AS65" si="12">AQ5-AI5</f>
        <v>-794</v>
      </c>
      <c r="AT5" s="14">
        <f t="shared" ref="AT5:AT65" si="13">AR5-AJ5</f>
        <v>0</v>
      </c>
      <c r="AU5" s="13" t="e">
        <f t="shared" ref="AU5:AU65" si="14">(AR5-AJ5)/AJ5</f>
        <v>#DIV/0!</v>
      </c>
      <c r="AV5" s="1"/>
      <c r="AW5" s="16">
        <v>75</v>
      </c>
      <c r="AX5" s="35" t="s">
        <v>32</v>
      </c>
      <c r="AY5" s="43">
        <v>11638</v>
      </c>
      <c r="AZ5" s="1"/>
      <c r="BA5" s="12">
        <f t="shared" ref="BA5:BA65" si="15">AY5-AQ5</f>
        <v>147</v>
      </c>
      <c r="BB5" s="14">
        <f t="shared" ref="BB5:BB65" si="16">AZ5-AR5</f>
        <v>0</v>
      </c>
      <c r="BC5" s="13" t="e">
        <f t="shared" ref="BC5:BC65" si="17">(AZ5-AR5)/AR5</f>
        <v>#DIV/0!</v>
      </c>
      <c r="BD5" s="41"/>
      <c r="BE5" s="16">
        <v>75</v>
      </c>
      <c r="BF5" s="35" t="s">
        <v>32</v>
      </c>
      <c r="BG5" s="17">
        <v>9691</v>
      </c>
      <c r="BH5" s="36"/>
      <c r="BI5" s="12">
        <f t="shared" ref="BI5:BI6" si="18">BG5-AY5</f>
        <v>-1947</v>
      </c>
      <c r="BJ5" s="14">
        <f t="shared" ref="BJ5:BJ6" si="19">BH5-AZ5</f>
        <v>0</v>
      </c>
      <c r="BK5" s="13" t="e">
        <f t="shared" ref="BK5:BK6" si="20">(BH5-AZ5)/AZ5</f>
        <v>#DIV/0!</v>
      </c>
      <c r="BL5" s="41"/>
      <c r="BM5" s="16">
        <v>75</v>
      </c>
      <c r="BN5" s="35" t="s">
        <v>32</v>
      </c>
      <c r="BO5" s="17">
        <v>8806</v>
      </c>
      <c r="BP5" s="36"/>
      <c r="BQ5" s="12">
        <f t="shared" ref="BQ5:BQ65" si="21">BO5-BG5</f>
        <v>-885</v>
      </c>
      <c r="BR5" s="14">
        <f t="shared" ref="BR5:BR65" si="22">BP5-BH5</f>
        <v>0</v>
      </c>
      <c r="BS5" s="13" t="e">
        <f t="shared" ref="BS5:BS65" si="23">(BP5-BH5)/BH5</f>
        <v>#DIV/0!</v>
      </c>
    </row>
    <row r="6" spans="1:71" s="17" customFormat="1" ht="22" customHeight="1">
      <c r="A6" s="16"/>
      <c r="B6" s="35" t="s">
        <v>33</v>
      </c>
      <c r="C6" s="17">
        <v>14</v>
      </c>
      <c r="D6" s="36"/>
      <c r="E6" s="37"/>
      <c r="F6" s="37"/>
      <c r="G6" s="37"/>
      <c r="I6" s="16"/>
      <c r="J6" s="35" t="s">
        <v>33</v>
      </c>
      <c r="K6" s="17">
        <v>17</v>
      </c>
      <c r="L6" s="36"/>
      <c r="M6" s="12">
        <f t="shared" ref="M6" si="24">K6-C6</f>
        <v>3</v>
      </c>
      <c r="N6" s="14">
        <f t="shared" ref="N6" si="25">L6-D6</f>
        <v>0</v>
      </c>
      <c r="O6" s="13" t="e">
        <f t="shared" ref="O6" si="26">(L6-D6)/D6</f>
        <v>#DIV/0!</v>
      </c>
      <c r="Q6" s="16"/>
      <c r="R6" s="35" t="s">
        <v>33</v>
      </c>
      <c r="S6" s="17">
        <v>27</v>
      </c>
      <c r="T6" s="36"/>
      <c r="U6" s="12">
        <f t="shared" si="3"/>
        <v>10</v>
      </c>
      <c r="V6" s="14">
        <f t="shared" si="4"/>
        <v>0</v>
      </c>
      <c r="W6" s="13" t="e">
        <f t="shared" si="5"/>
        <v>#DIV/0!</v>
      </c>
      <c r="Y6" s="16"/>
      <c r="Z6" s="35" t="s">
        <v>33</v>
      </c>
      <c r="AA6" s="17">
        <v>49</v>
      </c>
      <c r="AB6" s="36"/>
      <c r="AC6" s="12">
        <f t="shared" si="6"/>
        <v>22</v>
      </c>
      <c r="AD6" s="14">
        <f t="shared" si="7"/>
        <v>0</v>
      </c>
      <c r="AE6" s="13" t="e">
        <f t="shared" si="8"/>
        <v>#DIV/0!</v>
      </c>
      <c r="AG6" s="16"/>
      <c r="AH6" s="35" t="s">
        <v>33</v>
      </c>
      <c r="AI6" s="17">
        <v>39</v>
      </c>
      <c r="AJ6" s="36"/>
      <c r="AK6" s="12">
        <f t="shared" si="9"/>
        <v>-10</v>
      </c>
      <c r="AL6" s="14">
        <f t="shared" si="10"/>
        <v>0</v>
      </c>
      <c r="AM6" s="13" t="e">
        <f t="shared" si="11"/>
        <v>#DIV/0!</v>
      </c>
      <c r="AO6" s="16"/>
      <c r="AP6" s="35" t="s">
        <v>33</v>
      </c>
      <c r="AQ6" s="17">
        <v>54</v>
      </c>
      <c r="AR6" s="36"/>
      <c r="AS6" s="12">
        <f t="shared" si="12"/>
        <v>15</v>
      </c>
      <c r="AT6" s="14">
        <f t="shared" si="13"/>
        <v>0</v>
      </c>
      <c r="AU6" s="13" t="e">
        <f t="shared" si="14"/>
        <v>#DIV/0!</v>
      </c>
      <c r="AW6" s="16"/>
      <c r="AX6" s="35" t="s">
        <v>33</v>
      </c>
      <c r="AY6" s="17">
        <v>43</v>
      </c>
      <c r="AZ6" s="36"/>
      <c r="BA6" s="12">
        <f t="shared" si="15"/>
        <v>-11</v>
      </c>
      <c r="BB6" s="14">
        <f t="shared" si="16"/>
        <v>0</v>
      </c>
      <c r="BC6" s="13" t="e">
        <f t="shared" si="17"/>
        <v>#DIV/0!</v>
      </c>
      <c r="BE6" s="16"/>
      <c r="BF6" s="35" t="s">
        <v>33</v>
      </c>
      <c r="BG6" s="17">
        <v>50</v>
      </c>
      <c r="BH6" s="36"/>
      <c r="BI6" s="12">
        <f t="shared" si="18"/>
        <v>7</v>
      </c>
      <c r="BJ6" s="14">
        <f t="shared" si="19"/>
        <v>0</v>
      </c>
      <c r="BK6" s="13" t="e">
        <f t="shared" si="20"/>
        <v>#DIV/0!</v>
      </c>
      <c r="BM6" s="16"/>
      <c r="BN6" s="35" t="s">
        <v>33</v>
      </c>
      <c r="BO6" s="17">
        <v>34</v>
      </c>
      <c r="BP6" s="36"/>
      <c r="BQ6" s="12">
        <f t="shared" si="21"/>
        <v>-16</v>
      </c>
      <c r="BR6" s="14">
        <f t="shared" si="22"/>
        <v>0</v>
      </c>
      <c r="BS6" s="13" t="e">
        <f t="shared" si="23"/>
        <v>#DIV/0!</v>
      </c>
    </row>
    <row r="7" spans="1:71" s="12" customFormat="1" ht="20" customHeight="1">
      <c r="A7" s="16"/>
      <c r="B7" s="15" t="s">
        <v>10</v>
      </c>
      <c r="C7" s="12">
        <v>277</v>
      </c>
      <c r="D7" s="14">
        <v>283009.52380857011</v>
      </c>
      <c r="F7" s="14"/>
      <c r="G7" s="13"/>
      <c r="I7" s="16"/>
      <c r="J7" s="15" t="s">
        <v>10</v>
      </c>
      <c r="K7" s="12">
        <v>292</v>
      </c>
      <c r="L7" s="14">
        <v>317130.47618950985</v>
      </c>
      <c r="M7" s="12">
        <f t="shared" ref="M7:M42" si="27">K7-C7</f>
        <v>15</v>
      </c>
      <c r="N7" s="14">
        <f t="shared" ref="N7:N42" si="28">L7-D7</f>
        <v>34120.952380939736</v>
      </c>
      <c r="O7" s="13">
        <f t="shared" ref="O7:O42" si="29">(L7-D7)/D7</f>
        <v>0.12056467896119079</v>
      </c>
      <c r="Q7" s="16"/>
      <c r="R7" s="15" t="s">
        <v>10</v>
      </c>
      <c r="S7" s="12">
        <v>461</v>
      </c>
      <c r="T7" s="14">
        <v>515246.66666530969</v>
      </c>
      <c r="U7" s="12">
        <f t="shared" si="3"/>
        <v>169</v>
      </c>
      <c r="V7" s="14">
        <f t="shared" si="4"/>
        <v>198116.19047579984</v>
      </c>
      <c r="W7" s="13">
        <f t="shared" si="5"/>
        <v>0.62471507896771861</v>
      </c>
      <c r="Y7" s="16"/>
      <c r="Z7" s="15" t="s">
        <v>10</v>
      </c>
      <c r="AA7" s="12">
        <v>427</v>
      </c>
      <c r="AB7" s="14">
        <v>509714.2857128802</v>
      </c>
      <c r="AC7" s="12">
        <f t="shared" si="6"/>
        <v>-34</v>
      </c>
      <c r="AD7" s="14">
        <f t="shared" si="7"/>
        <v>-5532.380952429492</v>
      </c>
      <c r="AE7" s="13">
        <f t="shared" si="8"/>
        <v>-1.0737344480528542E-2</v>
      </c>
      <c r="AG7" s="16"/>
      <c r="AH7" s="15" t="s">
        <v>10</v>
      </c>
      <c r="AI7" s="12">
        <v>310</v>
      </c>
      <c r="AJ7" s="14">
        <v>376394.28571326024</v>
      </c>
      <c r="AK7" s="12">
        <f t="shared" si="9"/>
        <v>-117</v>
      </c>
      <c r="AL7" s="14">
        <f t="shared" si="10"/>
        <v>-133319.99999961996</v>
      </c>
      <c r="AM7" s="13">
        <f t="shared" si="11"/>
        <v>-0.26155829596410118</v>
      </c>
      <c r="AO7" s="16"/>
      <c r="AP7" s="15" t="s">
        <v>10</v>
      </c>
      <c r="AQ7" s="12">
        <v>319</v>
      </c>
      <c r="AR7" s="14">
        <v>351366.66666564008</v>
      </c>
      <c r="AS7" s="12">
        <f t="shared" si="12"/>
        <v>9</v>
      </c>
      <c r="AT7" s="14">
        <f t="shared" si="13"/>
        <v>-25027.619047620159</v>
      </c>
      <c r="AU7" s="13">
        <f t="shared" si="14"/>
        <v>-6.6493089819876727E-2</v>
      </c>
      <c r="AW7" s="16"/>
      <c r="AX7" s="15" t="s">
        <v>10</v>
      </c>
      <c r="AY7" s="12">
        <v>296</v>
      </c>
      <c r="AZ7" s="14">
        <v>313259.9999989997</v>
      </c>
      <c r="BA7" s="12">
        <f t="shared" si="15"/>
        <v>-23</v>
      </c>
      <c r="BB7" s="14">
        <f t="shared" si="16"/>
        <v>-38106.666666640376</v>
      </c>
      <c r="BC7" s="13">
        <f t="shared" si="17"/>
        <v>-0.10845270847192405</v>
      </c>
      <c r="BE7" s="16"/>
      <c r="BF7" s="15" t="s">
        <v>10</v>
      </c>
      <c r="BG7" s="12">
        <v>272</v>
      </c>
      <c r="BH7" s="14">
        <v>261304.76190385997</v>
      </c>
      <c r="BI7" s="12">
        <f t="shared" ref="BI7:BI65" si="30">BG7-AY7</f>
        <v>-24</v>
      </c>
      <c r="BJ7" s="14">
        <f t="shared" ref="BJ7:BJ65" si="31">BH7-AZ7</f>
        <v>-51955.238095139735</v>
      </c>
      <c r="BK7" s="13">
        <f t="shared" ref="BK7:BK65" si="32">(BH7-AZ7)/AZ7</f>
        <v>-0.16585340642056323</v>
      </c>
      <c r="BM7" s="16"/>
      <c r="BN7" s="15" t="s">
        <v>10</v>
      </c>
      <c r="BO7" s="12">
        <v>265</v>
      </c>
      <c r="BP7" s="14">
        <v>275323.80952288979</v>
      </c>
      <c r="BQ7" s="12">
        <f t="shared" si="21"/>
        <v>-7</v>
      </c>
      <c r="BR7" s="14">
        <f t="shared" si="22"/>
        <v>14019.047619029821</v>
      </c>
      <c r="BS7" s="13">
        <f t="shared" si="23"/>
        <v>5.3650180413427569E-2</v>
      </c>
    </row>
    <row r="8" spans="1:71" s="12" customFormat="1" ht="20" customHeight="1">
      <c r="A8" s="16"/>
      <c r="B8" s="15" t="s">
        <v>9</v>
      </c>
      <c r="C8" s="12">
        <v>469</v>
      </c>
      <c r="D8" s="14">
        <v>463554.28571405995</v>
      </c>
      <c r="F8" s="14"/>
      <c r="G8" s="13"/>
      <c r="I8" s="16"/>
      <c r="J8" s="15" t="s">
        <v>9</v>
      </c>
      <c r="K8" s="12">
        <v>348</v>
      </c>
      <c r="L8" s="14">
        <v>421600.95238075999</v>
      </c>
      <c r="M8" s="12">
        <f t="shared" si="27"/>
        <v>-121</v>
      </c>
      <c r="N8" s="14">
        <f t="shared" si="28"/>
        <v>-41953.333333299961</v>
      </c>
      <c r="O8" s="13">
        <f t="shared" si="29"/>
        <v>-9.0503603625786702E-2</v>
      </c>
      <c r="Q8" s="16"/>
      <c r="R8" s="15" t="s">
        <v>9</v>
      </c>
      <c r="S8" s="12">
        <v>447</v>
      </c>
      <c r="T8" s="14">
        <v>616982.85714266007</v>
      </c>
      <c r="U8" s="12">
        <f t="shared" si="3"/>
        <v>99</v>
      </c>
      <c r="V8" s="14">
        <f t="shared" si="4"/>
        <v>195381.90476190008</v>
      </c>
      <c r="W8" s="13">
        <f t="shared" si="5"/>
        <v>0.46342851850449579</v>
      </c>
      <c r="Y8" s="16"/>
      <c r="Z8" s="15" t="s">
        <v>9</v>
      </c>
      <c r="AA8" s="12">
        <v>459</v>
      </c>
      <c r="AB8" s="14">
        <v>518668.57142836001</v>
      </c>
      <c r="AC8" s="12">
        <f t="shared" si="6"/>
        <v>12</v>
      </c>
      <c r="AD8" s="14">
        <f t="shared" si="7"/>
        <v>-98314.285714300058</v>
      </c>
      <c r="AE8" s="13">
        <f t="shared" si="8"/>
        <v>-0.15934686770651657</v>
      </c>
      <c r="AG8" s="16"/>
      <c r="AH8" s="15" t="s">
        <v>9</v>
      </c>
      <c r="AI8" s="12">
        <v>357</v>
      </c>
      <c r="AJ8" s="14">
        <v>401904.76190458995</v>
      </c>
      <c r="AK8" s="12">
        <f t="shared" si="9"/>
        <v>-102</v>
      </c>
      <c r="AL8" s="14">
        <f t="shared" si="10"/>
        <v>-116763.80952377006</v>
      </c>
      <c r="AM8" s="13">
        <f t="shared" si="11"/>
        <v>-0.22512219933090319</v>
      </c>
      <c r="AO8" s="16"/>
      <c r="AP8" s="15" t="s">
        <v>9</v>
      </c>
      <c r="AQ8" s="12">
        <v>378</v>
      </c>
      <c r="AR8" s="14">
        <v>456372.38095218991</v>
      </c>
      <c r="AS8" s="12">
        <f t="shared" si="12"/>
        <v>21</v>
      </c>
      <c r="AT8" s="14">
        <f t="shared" si="13"/>
        <v>54467.619047599961</v>
      </c>
      <c r="AU8" s="13">
        <f t="shared" si="14"/>
        <v>0.13552369668247494</v>
      </c>
      <c r="AW8" s="16"/>
      <c r="AX8" s="15" t="s">
        <v>9</v>
      </c>
      <c r="AY8" s="12">
        <v>325</v>
      </c>
      <c r="AZ8" s="14">
        <v>345895.23809503997</v>
      </c>
      <c r="BA8" s="12">
        <f t="shared" si="15"/>
        <v>-53</v>
      </c>
      <c r="BB8" s="14">
        <f t="shared" si="16"/>
        <v>-110477.14285714994</v>
      </c>
      <c r="BC8" s="13">
        <f t="shared" si="17"/>
        <v>-0.24207675018949854</v>
      </c>
      <c r="BE8" s="16"/>
      <c r="BF8" s="15" t="s">
        <v>9</v>
      </c>
      <c r="BG8" s="12">
        <v>348</v>
      </c>
      <c r="BH8" s="14">
        <v>416720.95238074992</v>
      </c>
      <c r="BI8" s="12">
        <f t="shared" si="30"/>
        <v>23</v>
      </c>
      <c r="BJ8" s="14">
        <f t="shared" si="31"/>
        <v>70825.714285709953</v>
      </c>
      <c r="BK8" s="13">
        <f t="shared" si="32"/>
        <v>0.20476059362878396</v>
      </c>
      <c r="BM8" s="16"/>
      <c r="BN8" s="15" t="s">
        <v>9</v>
      </c>
      <c r="BO8" s="12">
        <v>358</v>
      </c>
      <c r="BP8" s="14">
        <v>362030.47619031003</v>
      </c>
      <c r="BQ8" s="12">
        <f t="shared" si="21"/>
        <v>10</v>
      </c>
      <c r="BR8" s="14">
        <f t="shared" si="22"/>
        <v>-54690.476190439891</v>
      </c>
      <c r="BS8" s="13">
        <f t="shared" si="23"/>
        <v>-0.13124004415422399</v>
      </c>
    </row>
    <row r="9" spans="1:71" s="12" customFormat="1" ht="20" customHeight="1">
      <c r="A9" s="16"/>
      <c r="B9" s="15" t="s">
        <v>8</v>
      </c>
      <c r="C9" s="12">
        <v>61</v>
      </c>
      <c r="D9" s="14">
        <v>389704.76190475002</v>
      </c>
      <c r="F9" s="14"/>
      <c r="G9" s="13"/>
      <c r="I9" s="16"/>
      <c r="J9" s="15" t="s">
        <v>8</v>
      </c>
      <c r="K9" s="12">
        <v>84</v>
      </c>
      <c r="L9" s="14">
        <v>536015.23809521995</v>
      </c>
      <c r="M9" s="12">
        <f t="shared" si="27"/>
        <v>23</v>
      </c>
      <c r="N9" s="14">
        <f t="shared" si="28"/>
        <v>146310.47619046993</v>
      </c>
      <c r="O9" s="13">
        <f t="shared" si="29"/>
        <v>0.3754392824849046</v>
      </c>
      <c r="Q9" s="16"/>
      <c r="R9" s="15" t="s">
        <v>8</v>
      </c>
      <c r="S9" s="12">
        <v>51</v>
      </c>
      <c r="T9" s="14">
        <v>346657.14285712002</v>
      </c>
      <c r="U9" s="12">
        <f t="shared" si="3"/>
        <v>-33</v>
      </c>
      <c r="V9" s="14">
        <f t="shared" si="4"/>
        <v>-189358.09523809992</v>
      </c>
      <c r="W9" s="13">
        <f t="shared" si="5"/>
        <v>-0.35326998521721426</v>
      </c>
      <c r="Y9" s="16"/>
      <c r="Z9" s="15" t="s">
        <v>8</v>
      </c>
      <c r="AA9" s="12">
        <v>53</v>
      </c>
      <c r="AB9" s="14">
        <v>367781.90476188</v>
      </c>
      <c r="AC9" s="12">
        <f t="shared" si="6"/>
        <v>2</v>
      </c>
      <c r="AD9" s="14">
        <f t="shared" si="7"/>
        <v>21124.761904759973</v>
      </c>
      <c r="AE9" s="13">
        <f t="shared" si="8"/>
        <v>6.0938487321078691E-2</v>
      </c>
      <c r="AG9" s="16"/>
      <c r="AH9" s="15" t="s">
        <v>8</v>
      </c>
      <c r="AI9" s="12">
        <v>58</v>
      </c>
      <c r="AJ9" s="14">
        <v>342304.76190474001</v>
      </c>
      <c r="AK9" s="12">
        <f t="shared" si="9"/>
        <v>5</v>
      </c>
      <c r="AL9" s="14">
        <f t="shared" si="10"/>
        <v>-25477.142857139988</v>
      </c>
      <c r="AM9" s="13">
        <f t="shared" si="11"/>
        <v>-6.92724207669628E-2</v>
      </c>
      <c r="AO9" s="16"/>
      <c r="AP9" s="15" t="s">
        <v>8</v>
      </c>
      <c r="AQ9" s="12">
        <v>40</v>
      </c>
      <c r="AR9" s="14">
        <v>273904.76190475002</v>
      </c>
      <c r="AS9" s="12">
        <f t="shared" si="12"/>
        <v>-18</v>
      </c>
      <c r="AT9" s="14">
        <f t="shared" si="13"/>
        <v>-68399.999999989988</v>
      </c>
      <c r="AU9" s="13">
        <f t="shared" si="14"/>
        <v>-0.19982193534025397</v>
      </c>
      <c r="AW9" s="16"/>
      <c r="AX9" s="15" t="s">
        <v>8</v>
      </c>
      <c r="AY9" s="12">
        <v>51</v>
      </c>
      <c r="AZ9" s="14">
        <v>330942.85714283003</v>
      </c>
      <c r="BA9" s="12">
        <f t="shared" si="15"/>
        <v>11</v>
      </c>
      <c r="BB9" s="14">
        <f t="shared" si="16"/>
        <v>57038.095238080015</v>
      </c>
      <c r="BC9" s="13">
        <f t="shared" si="17"/>
        <v>0.20824061196101049</v>
      </c>
      <c r="BE9" s="16"/>
      <c r="BF9" s="15" t="s">
        <v>8</v>
      </c>
      <c r="BG9" s="12">
        <v>199</v>
      </c>
      <c r="BH9" s="14">
        <v>1352394.2857142598</v>
      </c>
      <c r="BI9" s="12">
        <f t="shared" si="30"/>
        <v>148</v>
      </c>
      <c r="BJ9" s="14">
        <f t="shared" si="31"/>
        <v>1021451.4285714298</v>
      </c>
      <c r="BK9" s="13">
        <f t="shared" si="32"/>
        <v>3.0864888198224096</v>
      </c>
      <c r="BM9" s="16"/>
      <c r="BN9" s="15" t="s">
        <v>8</v>
      </c>
      <c r="BO9" s="12">
        <v>83</v>
      </c>
      <c r="BP9" s="14">
        <v>604268.57142853993</v>
      </c>
      <c r="BQ9" s="12">
        <f t="shared" si="21"/>
        <v>-116</v>
      </c>
      <c r="BR9" s="14">
        <f t="shared" si="22"/>
        <v>-748125.71428571991</v>
      </c>
      <c r="BS9" s="13">
        <f t="shared" si="23"/>
        <v>-0.55318609534837049</v>
      </c>
    </row>
    <row r="10" spans="1:71" s="12" customFormat="1" ht="20" customHeight="1">
      <c r="A10" s="16"/>
      <c r="B10" s="15" t="s">
        <v>7</v>
      </c>
      <c r="C10" s="12">
        <v>98</v>
      </c>
      <c r="D10" s="14">
        <v>1517333.33333313</v>
      </c>
      <c r="F10" s="14"/>
      <c r="G10" s="13"/>
      <c r="I10" s="16"/>
      <c r="J10" s="15" t="s">
        <v>7</v>
      </c>
      <c r="K10" s="12">
        <v>144</v>
      </c>
      <c r="L10" s="14">
        <v>2351999.9999997998</v>
      </c>
      <c r="M10" s="12">
        <f t="shared" si="27"/>
        <v>46</v>
      </c>
      <c r="N10" s="14">
        <f t="shared" si="28"/>
        <v>834666.66666666977</v>
      </c>
      <c r="O10" s="13">
        <f t="shared" si="29"/>
        <v>0.55008787346229016</v>
      </c>
      <c r="Q10" s="16"/>
      <c r="R10" s="15" t="s">
        <v>7</v>
      </c>
      <c r="S10" s="12">
        <v>127</v>
      </c>
      <c r="T10" s="14">
        <v>1853142.8571426999</v>
      </c>
      <c r="U10" s="12">
        <f t="shared" si="3"/>
        <v>-17</v>
      </c>
      <c r="V10" s="14">
        <f t="shared" si="4"/>
        <v>-498857.14285709988</v>
      </c>
      <c r="W10" s="13">
        <f t="shared" si="5"/>
        <v>-0.21209912536443126</v>
      </c>
      <c r="Y10" s="16"/>
      <c r="Z10" s="15" t="s">
        <v>7</v>
      </c>
      <c r="AA10" s="12">
        <v>139</v>
      </c>
      <c r="AB10" s="14">
        <v>2008190.47619031</v>
      </c>
      <c r="AC10" s="12">
        <f t="shared" si="6"/>
        <v>12</v>
      </c>
      <c r="AD10" s="14">
        <f t="shared" si="7"/>
        <v>155047.61904761009</v>
      </c>
      <c r="AE10" s="13">
        <f t="shared" si="8"/>
        <v>8.3667386165075755E-2</v>
      </c>
      <c r="AG10" s="16"/>
      <c r="AH10" s="15" t="s">
        <v>7</v>
      </c>
      <c r="AI10" s="12">
        <v>90</v>
      </c>
      <c r="AJ10" s="14">
        <v>1313809.5238093601</v>
      </c>
      <c r="AK10" s="12">
        <f t="shared" si="9"/>
        <v>-49</v>
      </c>
      <c r="AL10" s="14">
        <f t="shared" si="10"/>
        <v>-694380.95238094986</v>
      </c>
      <c r="AM10" s="13">
        <f t="shared" si="11"/>
        <v>-0.34577444750073871</v>
      </c>
      <c r="AO10" s="16"/>
      <c r="AP10" s="15" t="s">
        <v>7</v>
      </c>
      <c r="AQ10" s="12">
        <v>57</v>
      </c>
      <c r="AR10" s="14">
        <v>773619.04761898005</v>
      </c>
      <c r="AS10" s="12">
        <f t="shared" si="12"/>
        <v>-33</v>
      </c>
      <c r="AT10" s="14">
        <f t="shared" si="13"/>
        <v>-540190.47619038005</v>
      </c>
      <c r="AU10" s="13">
        <f t="shared" si="14"/>
        <v>-0.41116346502353734</v>
      </c>
      <c r="AW10" s="16"/>
      <c r="AX10" s="15" t="s">
        <v>7</v>
      </c>
      <c r="AY10" s="12">
        <v>74</v>
      </c>
      <c r="AZ10" s="14">
        <v>1163904.7619046601</v>
      </c>
      <c r="BA10" s="12">
        <f t="shared" si="15"/>
        <v>17</v>
      </c>
      <c r="BB10" s="14">
        <f t="shared" si="16"/>
        <v>390285.71428568009</v>
      </c>
      <c r="BC10" s="13">
        <f t="shared" si="17"/>
        <v>0.50449341376338774</v>
      </c>
      <c r="BE10" s="16"/>
      <c r="BF10" s="15" t="s">
        <v>7</v>
      </c>
      <c r="BG10" s="12">
        <v>56</v>
      </c>
      <c r="BH10" s="14">
        <v>784666.66666658001</v>
      </c>
      <c r="BI10" s="12">
        <f t="shared" si="30"/>
        <v>-18</v>
      </c>
      <c r="BJ10" s="14">
        <f t="shared" si="31"/>
        <v>-379238.09523808013</v>
      </c>
      <c r="BK10" s="13">
        <f t="shared" si="32"/>
        <v>-0.32583258325834136</v>
      </c>
      <c r="BM10" s="16"/>
      <c r="BN10" s="15" t="s">
        <v>7</v>
      </c>
      <c r="BO10" s="12">
        <v>63</v>
      </c>
      <c r="BP10" s="14">
        <v>1023047.61904754</v>
      </c>
      <c r="BQ10" s="12">
        <f t="shared" si="21"/>
        <v>7</v>
      </c>
      <c r="BR10" s="14">
        <f t="shared" si="22"/>
        <v>238380.95238095999</v>
      </c>
      <c r="BS10" s="13">
        <f t="shared" si="23"/>
        <v>0.30379900473362742</v>
      </c>
    </row>
    <row r="11" spans="1:71" s="12" customFormat="1" ht="20" customHeight="1">
      <c r="A11" s="16"/>
      <c r="B11" s="15" t="s">
        <v>6</v>
      </c>
      <c r="C11" s="12">
        <v>8</v>
      </c>
      <c r="D11" s="14">
        <v>22857.142857139999</v>
      </c>
      <c r="F11" s="14"/>
      <c r="G11" s="13"/>
      <c r="I11" s="16"/>
      <c r="J11" s="15" t="s">
        <v>6</v>
      </c>
      <c r="K11" s="12">
        <v>8</v>
      </c>
      <c r="L11" s="14">
        <v>34857.142857129998</v>
      </c>
      <c r="M11" s="12">
        <f t="shared" si="27"/>
        <v>0</v>
      </c>
      <c r="N11" s="14">
        <f t="shared" si="28"/>
        <v>11999.999999989999</v>
      </c>
      <c r="O11" s="13">
        <f t="shared" si="29"/>
        <v>0.5249999999996281</v>
      </c>
      <c r="Q11" s="16"/>
      <c r="R11" s="15" t="s">
        <v>6</v>
      </c>
      <c r="S11" s="12">
        <v>8</v>
      </c>
      <c r="T11" s="14">
        <v>22857.142857139999</v>
      </c>
      <c r="U11" s="12">
        <f t="shared" si="3"/>
        <v>0</v>
      </c>
      <c r="V11" s="14">
        <f t="shared" si="4"/>
        <v>-11999.999999989999</v>
      </c>
      <c r="W11" s="13">
        <f t="shared" si="5"/>
        <v>-0.34426229508180728</v>
      </c>
      <c r="Y11" s="16"/>
      <c r="Z11" s="15" t="s">
        <v>6</v>
      </c>
      <c r="AA11" s="12">
        <v>4</v>
      </c>
      <c r="AB11" s="14">
        <v>35428.571428559997</v>
      </c>
      <c r="AC11" s="12">
        <f t="shared" si="6"/>
        <v>-4</v>
      </c>
      <c r="AD11" s="14">
        <f t="shared" si="7"/>
        <v>12571.428571419998</v>
      </c>
      <c r="AE11" s="13">
        <f t="shared" si="8"/>
        <v>0.54999999999969362</v>
      </c>
      <c r="AG11" s="16"/>
      <c r="AH11" s="15" t="s">
        <v>6</v>
      </c>
      <c r="AI11" s="12">
        <v>1</v>
      </c>
      <c r="AJ11" s="14">
        <v>2857.1428571400002</v>
      </c>
      <c r="AK11" s="12">
        <f t="shared" si="9"/>
        <v>-3</v>
      </c>
      <c r="AL11" s="14">
        <f t="shared" si="10"/>
        <v>-32571.428571419998</v>
      </c>
      <c r="AM11" s="13">
        <f t="shared" si="11"/>
        <v>-0.91935483870973211</v>
      </c>
      <c r="AO11" s="16"/>
      <c r="AP11" s="15" t="s">
        <v>6</v>
      </c>
      <c r="AQ11" s="12">
        <v>6</v>
      </c>
      <c r="AR11" s="14">
        <v>23142.85714285</v>
      </c>
      <c r="AS11" s="12">
        <f t="shared" si="12"/>
        <v>5</v>
      </c>
      <c r="AT11" s="14">
        <f t="shared" si="13"/>
        <v>20285.714285710001</v>
      </c>
      <c r="AU11" s="13">
        <f t="shared" si="14"/>
        <v>7.1000000000055996</v>
      </c>
      <c r="AW11" s="16"/>
      <c r="AX11" s="15" t="s">
        <v>6</v>
      </c>
      <c r="AY11" s="12">
        <v>3</v>
      </c>
      <c r="AZ11" s="14">
        <v>8571.4285714200014</v>
      </c>
      <c r="BA11" s="12">
        <f t="shared" si="15"/>
        <v>-3</v>
      </c>
      <c r="BB11" s="14">
        <f t="shared" si="16"/>
        <v>-14571.428571429999</v>
      </c>
      <c r="BC11" s="13">
        <f t="shared" si="17"/>
        <v>-0.62962962962988567</v>
      </c>
      <c r="BE11" s="16"/>
      <c r="BF11" s="15" t="s">
        <v>6</v>
      </c>
      <c r="BG11" s="12">
        <v>1</v>
      </c>
      <c r="BH11" s="14">
        <v>2857.1428571400002</v>
      </c>
      <c r="BI11" s="12">
        <f t="shared" si="30"/>
        <v>-2</v>
      </c>
      <c r="BJ11" s="14">
        <f t="shared" si="31"/>
        <v>-5714.2857142800012</v>
      </c>
      <c r="BK11" s="13">
        <f t="shared" si="32"/>
        <v>-0.66666666666666674</v>
      </c>
      <c r="BM11" s="16"/>
      <c r="BN11" s="15" t="s">
        <v>6</v>
      </c>
      <c r="BO11" s="12">
        <v>6</v>
      </c>
      <c r="BP11" s="14">
        <v>25522.857142839996</v>
      </c>
      <c r="BQ11" s="12">
        <f t="shared" si="21"/>
        <v>5</v>
      </c>
      <c r="BR11" s="14">
        <f t="shared" si="22"/>
        <v>22665.714285699996</v>
      </c>
      <c r="BS11" s="13">
        <f t="shared" si="23"/>
        <v>7.9330000000029308</v>
      </c>
    </row>
    <row r="12" spans="1:71" s="12" customFormat="1" ht="20" customHeight="1">
      <c r="A12" s="16"/>
      <c r="B12" s="15" t="s">
        <v>5</v>
      </c>
      <c r="C12" s="12">
        <v>12</v>
      </c>
      <c r="D12" s="14">
        <v>59380</v>
      </c>
      <c r="F12" s="14"/>
      <c r="G12" s="13"/>
      <c r="I12" s="16"/>
      <c r="J12" s="15" t="s">
        <v>5</v>
      </c>
      <c r="K12" s="12">
        <v>8</v>
      </c>
      <c r="L12" s="14">
        <v>27320</v>
      </c>
      <c r="M12" s="12">
        <f t="shared" si="27"/>
        <v>-4</v>
      </c>
      <c r="N12" s="14">
        <f t="shared" si="28"/>
        <v>-32060</v>
      </c>
      <c r="O12" s="13">
        <f t="shared" si="29"/>
        <v>-0.53991242842707987</v>
      </c>
      <c r="Q12" s="16"/>
      <c r="R12" s="15" t="s">
        <v>5</v>
      </c>
      <c r="S12" s="12">
        <v>19</v>
      </c>
      <c r="T12" s="14">
        <v>108810</v>
      </c>
      <c r="U12" s="12">
        <f t="shared" si="3"/>
        <v>11</v>
      </c>
      <c r="V12" s="14">
        <f t="shared" si="4"/>
        <v>81490</v>
      </c>
      <c r="W12" s="13">
        <f t="shared" si="5"/>
        <v>2.9827964860907761</v>
      </c>
      <c r="Y12" s="16"/>
      <c r="Z12" s="15" t="s">
        <v>5</v>
      </c>
      <c r="AA12" s="12">
        <v>15</v>
      </c>
      <c r="AB12" s="14">
        <v>70970</v>
      </c>
      <c r="AC12" s="12">
        <f t="shared" si="6"/>
        <v>-4</v>
      </c>
      <c r="AD12" s="14">
        <f t="shared" si="7"/>
        <v>-37840</v>
      </c>
      <c r="AE12" s="13">
        <f t="shared" si="8"/>
        <v>-0.34776215421376711</v>
      </c>
      <c r="AG12" s="16"/>
      <c r="AH12" s="15" t="s">
        <v>5</v>
      </c>
      <c r="AI12" s="12">
        <v>10</v>
      </c>
      <c r="AJ12" s="14">
        <v>63900</v>
      </c>
      <c r="AK12" s="12">
        <f t="shared" si="9"/>
        <v>-5</v>
      </c>
      <c r="AL12" s="14">
        <f t="shared" si="10"/>
        <v>-7070</v>
      </c>
      <c r="AM12" s="13">
        <f t="shared" si="11"/>
        <v>-9.9619557559532196E-2</v>
      </c>
      <c r="AO12" s="16"/>
      <c r="AP12" s="15" t="s">
        <v>5</v>
      </c>
      <c r="AQ12" s="12">
        <v>17</v>
      </c>
      <c r="AR12" s="14">
        <v>86930</v>
      </c>
      <c r="AS12" s="12">
        <f t="shared" si="12"/>
        <v>7</v>
      </c>
      <c r="AT12" s="14">
        <f t="shared" si="13"/>
        <v>23030</v>
      </c>
      <c r="AU12" s="13">
        <f t="shared" si="14"/>
        <v>0.36040688575899843</v>
      </c>
      <c r="AW12" s="16"/>
      <c r="AX12" s="15" t="s">
        <v>5</v>
      </c>
      <c r="AY12" s="12">
        <v>15</v>
      </c>
      <c r="AZ12" s="14">
        <v>70450</v>
      </c>
      <c r="BA12" s="12">
        <f t="shared" si="15"/>
        <v>-2</v>
      </c>
      <c r="BB12" s="14">
        <f t="shared" si="16"/>
        <v>-16480</v>
      </c>
      <c r="BC12" s="13">
        <f t="shared" si="17"/>
        <v>-0.18957782123547681</v>
      </c>
      <c r="BE12" s="16"/>
      <c r="BF12" s="15" t="s">
        <v>5</v>
      </c>
      <c r="BG12" s="12">
        <v>10</v>
      </c>
      <c r="BH12" s="14">
        <v>56600</v>
      </c>
      <c r="BI12" s="12">
        <f t="shared" si="30"/>
        <v>-5</v>
      </c>
      <c r="BJ12" s="14">
        <f t="shared" si="31"/>
        <v>-13850</v>
      </c>
      <c r="BK12" s="13">
        <f t="shared" si="32"/>
        <v>-0.19659332860184528</v>
      </c>
      <c r="BM12" s="16"/>
      <c r="BN12" s="15" t="s">
        <v>5</v>
      </c>
      <c r="BO12" s="12">
        <v>17</v>
      </c>
      <c r="BP12" s="14">
        <v>92130</v>
      </c>
      <c r="BQ12" s="12">
        <f t="shared" si="21"/>
        <v>7</v>
      </c>
      <c r="BR12" s="14">
        <f t="shared" si="22"/>
        <v>35530</v>
      </c>
      <c r="BS12" s="13">
        <f t="shared" si="23"/>
        <v>0.62773851590106011</v>
      </c>
    </row>
    <row r="13" spans="1:71" s="12" customFormat="1" ht="20" customHeight="1">
      <c r="A13" s="16"/>
      <c r="B13" s="15" t="s">
        <v>4</v>
      </c>
      <c r="C13" s="12">
        <v>10</v>
      </c>
      <c r="D13" s="14">
        <v>455623.80952377</v>
      </c>
      <c r="F13" s="14"/>
      <c r="G13" s="13"/>
      <c r="I13" s="16"/>
      <c r="J13" s="15" t="s">
        <v>4</v>
      </c>
      <c r="K13" s="12">
        <v>46</v>
      </c>
      <c r="L13" s="14">
        <v>1833147.61904752</v>
      </c>
      <c r="M13" s="12">
        <f t="shared" si="27"/>
        <v>36</v>
      </c>
      <c r="N13" s="14">
        <f t="shared" si="28"/>
        <v>1377523.8095237501</v>
      </c>
      <c r="O13" s="13">
        <f t="shared" si="29"/>
        <v>3.0233797723687315</v>
      </c>
      <c r="Q13" s="16"/>
      <c r="R13" s="15" t="s">
        <v>4</v>
      </c>
      <c r="S13" s="12">
        <v>63</v>
      </c>
      <c r="T13" s="14">
        <v>2555114.2857141597</v>
      </c>
      <c r="U13" s="12">
        <f t="shared" si="3"/>
        <v>17</v>
      </c>
      <c r="V13" s="14">
        <f t="shared" si="4"/>
        <v>721966.66666663974</v>
      </c>
      <c r="W13" s="13">
        <f t="shared" si="5"/>
        <v>0.39383989546993731</v>
      </c>
      <c r="Y13" s="16"/>
      <c r="Z13" s="15" t="s">
        <v>4</v>
      </c>
      <c r="AA13" s="12">
        <v>52</v>
      </c>
      <c r="AB13" s="14">
        <v>2095104.7619046599</v>
      </c>
      <c r="AC13" s="12">
        <f t="shared" si="6"/>
        <v>-11</v>
      </c>
      <c r="AD13" s="14">
        <f t="shared" si="7"/>
        <v>-460009.52380949981</v>
      </c>
      <c r="AE13" s="13">
        <f t="shared" si="8"/>
        <v>-0.1800348134646847</v>
      </c>
      <c r="AG13" s="16"/>
      <c r="AH13" s="15" t="s">
        <v>4</v>
      </c>
      <c r="AI13" s="12">
        <v>28</v>
      </c>
      <c r="AJ13" s="14">
        <v>1082242.8571428</v>
      </c>
      <c r="AK13" s="12">
        <f t="shared" si="9"/>
        <v>-24</v>
      </c>
      <c r="AL13" s="14">
        <f t="shared" si="10"/>
        <v>-1012861.9047618599</v>
      </c>
      <c r="AM13" s="13">
        <f t="shared" si="11"/>
        <v>-0.48344212813542892</v>
      </c>
      <c r="AO13" s="16"/>
      <c r="AP13" s="15" t="s">
        <v>4</v>
      </c>
      <c r="AQ13" s="12">
        <v>22</v>
      </c>
      <c r="AR13" s="14">
        <v>773723.80952375999</v>
      </c>
      <c r="AS13" s="12">
        <f t="shared" si="12"/>
        <v>-6</v>
      </c>
      <c r="AT13" s="14">
        <f t="shared" si="13"/>
        <v>-308519.04761904001</v>
      </c>
      <c r="AU13" s="13">
        <f t="shared" si="14"/>
        <v>-0.28507376656063388</v>
      </c>
      <c r="AW13" s="16"/>
      <c r="AX13" s="15" t="s">
        <v>4</v>
      </c>
      <c r="AY13" s="12">
        <v>16</v>
      </c>
      <c r="AZ13" s="14">
        <v>578957.14285712002</v>
      </c>
      <c r="BA13" s="12">
        <f t="shared" si="15"/>
        <v>-6</v>
      </c>
      <c r="BB13" s="14">
        <f t="shared" si="16"/>
        <v>-194766.66666663997</v>
      </c>
      <c r="BC13" s="13">
        <f t="shared" si="17"/>
        <v>-0.25172634507205111</v>
      </c>
      <c r="BE13" s="16"/>
      <c r="BF13" s="15" t="s">
        <v>4</v>
      </c>
      <c r="BG13" s="12">
        <v>15</v>
      </c>
      <c r="BH13" s="14">
        <v>600719.04761899996</v>
      </c>
      <c r="BI13" s="12">
        <f t="shared" si="30"/>
        <v>-1</v>
      </c>
      <c r="BJ13" s="14">
        <f t="shared" si="31"/>
        <v>21761.904761879938</v>
      </c>
      <c r="BK13" s="13">
        <f t="shared" si="32"/>
        <v>3.7588109984248913E-2</v>
      </c>
      <c r="BM13" s="16"/>
      <c r="BN13" s="15" t="s">
        <v>4</v>
      </c>
      <c r="BO13" s="12">
        <v>10</v>
      </c>
      <c r="BP13" s="14">
        <v>319052.38095237</v>
      </c>
      <c r="BQ13" s="12">
        <f t="shared" si="21"/>
        <v>-5</v>
      </c>
      <c r="BR13" s="14">
        <f t="shared" si="22"/>
        <v>-281666.66666662996</v>
      </c>
      <c r="BS13" s="13">
        <f t="shared" si="23"/>
        <v>-0.46888252966680394</v>
      </c>
    </row>
    <row r="14" spans="1:71" s="12" customFormat="1" ht="20" customHeight="1">
      <c r="A14" s="16"/>
      <c r="B14" s="15" t="s">
        <v>3</v>
      </c>
      <c r="C14" s="12">
        <v>50</v>
      </c>
      <c r="D14" s="14">
        <v>830095.23809518002</v>
      </c>
      <c r="F14" s="14"/>
      <c r="G14" s="13"/>
      <c r="I14" s="16"/>
      <c r="J14" s="15" t="s">
        <v>3</v>
      </c>
      <c r="K14" s="12">
        <v>103</v>
      </c>
      <c r="L14" s="14">
        <v>1778285.71428558</v>
      </c>
      <c r="M14" s="12">
        <f t="shared" si="27"/>
        <v>53</v>
      </c>
      <c r="N14" s="14">
        <f t="shared" si="28"/>
        <v>948190.47619039996</v>
      </c>
      <c r="O14" s="13">
        <f t="shared" si="29"/>
        <v>1.1422670949976934</v>
      </c>
      <c r="Q14" s="16"/>
      <c r="R14" s="15" t="s">
        <v>3</v>
      </c>
      <c r="S14" s="12">
        <v>202</v>
      </c>
      <c r="T14" s="14">
        <v>3525047.6190474406</v>
      </c>
      <c r="U14" s="12">
        <f t="shared" si="3"/>
        <v>99</v>
      </c>
      <c r="V14" s="14">
        <f t="shared" si="4"/>
        <v>1746761.9047618606</v>
      </c>
      <c r="W14" s="13">
        <f t="shared" si="5"/>
        <v>0.98227292202232874</v>
      </c>
      <c r="Y14" s="16"/>
      <c r="Z14" s="15" t="s">
        <v>3</v>
      </c>
      <c r="AA14" s="12">
        <v>139</v>
      </c>
      <c r="AB14" s="14">
        <v>2662952.3809522502</v>
      </c>
      <c r="AC14" s="12">
        <f t="shared" si="6"/>
        <v>-63</v>
      </c>
      <c r="AD14" s="14">
        <f t="shared" si="7"/>
        <v>-862095.23809519038</v>
      </c>
      <c r="AE14" s="13">
        <f t="shared" si="8"/>
        <v>-0.24456272120606157</v>
      </c>
      <c r="AG14" s="16"/>
      <c r="AH14" s="15" t="s">
        <v>3</v>
      </c>
      <c r="AI14" s="12">
        <v>58</v>
      </c>
      <c r="AJ14" s="14">
        <v>1008190.4761904</v>
      </c>
      <c r="AK14" s="12">
        <f t="shared" si="9"/>
        <v>-81</v>
      </c>
      <c r="AL14" s="14">
        <f t="shared" si="10"/>
        <v>-1654761.9047618504</v>
      </c>
      <c r="AM14" s="13">
        <f t="shared" si="11"/>
        <v>-0.62140123743787001</v>
      </c>
      <c r="AO14" s="16"/>
      <c r="AP14" s="15" t="s">
        <v>3</v>
      </c>
      <c r="AQ14" s="12">
        <v>62</v>
      </c>
      <c r="AR14" s="14">
        <v>1079761.9047618099</v>
      </c>
      <c r="AS14" s="12">
        <f t="shared" si="12"/>
        <v>4</v>
      </c>
      <c r="AT14" s="14">
        <f t="shared" si="13"/>
        <v>71571.428571409895</v>
      </c>
      <c r="AU14" s="13">
        <f t="shared" si="14"/>
        <v>7.0989986774972674E-2</v>
      </c>
      <c r="AW14" s="16"/>
      <c r="AX14" s="15" t="s">
        <v>3</v>
      </c>
      <c r="AY14" s="12">
        <v>50</v>
      </c>
      <c r="AZ14" s="14">
        <v>871904.76190468017</v>
      </c>
      <c r="BA14" s="12">
        <f t="shared" si="15"/>
        <v>-12</v>
      </c>
      <c r="BB14" s="14">
        <f t="shared" si="16"/>
        <v>-207857.14285712969</v>
      </c>
      <c r="BC14" s="13">
        <f t="shared" si="17"/>
        <v>-0.19250275633958575</v>
      </c>
      <c r="BE14" s="16"/>
      <c r="BF14" s="15" t="s">
        <v>3</v>
      </c>
      <c r="BG14" s="12">
        <v>46</v>
      </c>
      <c r="BH14" s="14">
        <v>683952.38095230004</v>
      </c>
      <c r="BI14" s="12">
        <f t="shared" si="30"/>
        <v>-4</v>
      </c>
      <c r="BJ14" s="14">
        <f t="shared" si="31"/>
        <v>-187952.38095238013</v>
      </c>
      <c r="BK14" s="13">
        <f t="shared" si="32"/>
        <v>-0.21556526488259709</v>
      </c>
      <c r="BM14" s="16"/>
      <c r="BN14" s="15" t="s">
        <v>3</v>
      </c>
      <c r="BO14" s="12">
        <v>53</v>
      </c>
      <c r="BP14" s="14">
        <v>1137380.9523808502</v>
      </c>
      <c r="BQ14" s="12">
        <f t="shared" si="21"/>
        <v>7</v>
      </c>
      <c r="BR14" s="14">
        <f t="shared" si="22"/>
        <v>453428.57142855017</v>
      </c>
      <c r="BS14" s="13">
        <f t="shared" si="23"/>
        <v>0.66295342198709739</v>
      </c>
    </row>
    <row r="15" spans="1:71" s="12" customFormat="1" ht="20" customHeight="1">
      <c r="A15" s="16"/>
      <c r="B15" s="15" t="s">
        <v>2</v>
      </c>
      <c r="C15" s="12">
        <v>208</v>
      </c>
      <c r="D15" s="14">
        <v>9184952.3809522614</v>
      </c>
      <c r="F15" s="14"/>
      <c r="G15" s="13"/>
      <c r="I15" s="16"/>
      <c r="J15" s="15" t="s">
        <v>2</v>
      </c>
      <c r="K15" s="12">
        <v>116</v>
      </c>
      <c r="L15" s="14">
        <v>4514433.3333332296</v>
      </c>
      <c r="M15" s="12">
        <f t="shared" si="27"/>
        <v>-92</v>
      </c>
      <c r="N15" s="14">
        <f t="shared" si="28"/>
        <v>-4670519.0476190317</v>
      </c>
      <c r="O15" s="13">
        <f t="shared" si="29"/>
        <v>-0.50849681673959968</v>
      </c>
      <c r="Q15" s="16"/>
      <c r="R15" s="15" t="s">
        <v>2</v>
      </c>
      <c r="S15" s="12">
        <v>601</v>
      </c>
      <c r="T15" s="14">
        <v>24417052.380952246</v>
      </c>
      <c r="U15" s="12">
        <f t="shared" si="3"/>
        <v>485</v>
      </c>
      <c r="V15" s="14">
        <f t="shared" si="4"/>
        <v>19902619.047619015</v>
      </c>
      <c r="W15" s="13">
        <f t="shared" si="5"/>
        <v>4.4086638517095844</v>
      </c>
      <c r="Y15" s="16"/>
      <c r="Z15" s="15" t="s">
        <v>2</v>
      </c>
      <c r="AA15" s="12">
        <v>453</v>
      </c>
      <c r="AB15" s="14">
        <v>17007333.333333187</v>
      </c>
      <c r="AC15" s="12">
        <f t="shared" si="6"/>
        <v>-148</v>
      </c>
      <c r="AD15" s="14">
        <f t="shared" si="7"/>
        <v>-7409719.0476190597</v>
      </c>
      <c r="AE15" s="13">
        <f t="shared" si="8"/>
        <v>-0.30346492819908866</v>
      </c>
      <c r="AG15" s="16"/>
      <c r="AH15" s="15" t="s">
        <v>2</v>
      </c>
      <c r="AI15" s="12">
        <v>451</v>
      </c>
      <c r="AJ15" s="14">
        <v>18017523.809523731</v>
      </c>
      <c r="AK15" s="12">
        <f t="shared" si="9"/>
        <v>-2</v>
      </c>
      <c r="AL15" s="14">
        <f t="shared" si="10"/>
        <v>1010190.4761905447</v>
      </c>
      <c r="AM15" s="13">
        <f t="shared" si="11"/>
        <v>5.9397346802784294E-2</v>
      </c>
      <c r="AO15" s="16"/>
      <c r="AP15" s="15" t="s">
        <v>2</v>
      </c>
      <c r="AQ15" s="12">
        <v>404</v>
      </c>
      <c r="AR15" s="14">
        <v>15835279.04761895</v>
      </c>
      <c r="AS15" s="12">
        <f t="shared" si="12"/>
        <v>-47</v>
      </c>
      <c r="AT15" s="14">
        <f t="shared" si="13"/>
        <v>-2182244.7619047817</v>
      </c>
      <c r="AU15" s="13">
        <f t="shared" si="14"/>
        <v>-0.12111790637686225</v>
      </c>
      <c r="AW15" s="16"/>
      <c r="AX15" s="15" t="s">
        <v>2</v>
      </c>
      <c r="AY15" s="12">
        <v>260</v>
      </c>
      <c r="AZ15" s="14">
        <v>9784285.71428564</v>
      </c>
      <c r="BA15" s="12">
        <f t="shared" si="15"/>
        <v>-144</v>
      </c>
      <c r="BB15" s="14">
        <f t="shared" si="16"/>
        <v>-6050993.3333333097</v>
      </c>
      <c r="BC15" s="13">
        <f t="shared" si="17"/>
        <v>-0.38212104220816739</v>
      </c>
      <c r="BE15" s="16"/>
      <c r="BF15" s="15" t="s">
        <v>2</v>
      </c>
      <c r="BG15" s="12">
        <v>255</v>
      </c>
      <c r="BH15" s="14">
        <v>9620359.047618961</v>
      </c>
      <c r="BI15" s="12">
        <f t="shared" si="30"/>
        <v>-5</v>
      </c>
      <c r="BJ15" s="14">
        <f t="shared" si="31"/>
        <v>-163926.66666667908</v>
      </c>
      <c r="BK15" s="13">
        <f t="shared" si="32"/>
        <v>-1.6754076020831687E-2</v>
      </c>
      <c r="BM15" s="16"/>
      <c r="BN15" s="15" t="s">
        <v>2</v>
      </c>
      <c r="BO15" s="12">
        <v>192</v>
      </c>
      <c r="BP15" s="14">
        <v>7325226.6666666102</v>
      </c>
      <c r="BQ15" s="12">
        <f t="shared" si="21"/>
        <v>-63</v>
      </c>
      <c r="BR15" s="14">
        <f t="shared" si="22"/>
        <v>-2295132.3809523508</v>
      </c>
      <c r="BS15" s="13">
        <f t="shared" si="23"/>
        <v>-0.23857034540934272</v>
      </c>
    </row>
    <row r="16" spans="1:71" s="1" customFormat="1" ht="20" customHeight="1">
      <c r="A16" s="11" t="s">
        <v>26</v>
      </c>
      <c r="B16" s="11"/>
      <c r="C16" s="10">
        <v>1193</v>
      </c>
      <c r="D16" s="9">
        <v>13206510.476188861</v>
      </c>
      <c r="E16" s="29"/>
      <c r="F16" s="30"/>
      <c r="G16" s="31"/>
      <c r="I16" s="11" t="s">
        <v>26</v>
      </c>
      <c r="J16" s="11"/>
      <c r="K16" s="10">
        <v>1149</v>
      </c>
      <c r="L16" s="9">
        <v>11814790.476188749</v>
      </c>
      <c r="M16" s="10">
        <f t="shared" si="27"/>
        <v>-44</v>
      </c>
      <c r="N16" s="9">
        <f t="shared" si="28"/>
        <v>-1391720.0000001118</v>
      </c>
      <c r="O16" s="8">
        <f t="shared" si="29"/>
        <v>-0.10538135736229202</v>
      </c>
      <c r="Q16" s="11" t="s">
        <v>26</v>
      </c>
      <c r="R16" s="11"/>
      <c r="S16" s="10">
        <v>1979</v>
      </c>
      <c r="T16" s="9">
        <v>33960910.95237878</v>
      </c>
      <c r="U16" s="10">
        <f t="shared" si="3"/>
        <v>830</v>
      </c>
      <c r="V16" s="9">
        <f t="shared" si="4"/>
        <v>22146120.476190031</v>
      </c>
      <c r="W16" s="8">
        <f t="shared" si="5"/>
        <v>1.874440390696966</v>
      </c>
      <c r="Y16" s="11" t="s">
        <v>26</v>
      </c>
      <c r="Z16" s="11"/>
      <c r="AA16" s="10">
        <v>1741</v>
      </c>
      <c r="AB16" s="9">
        <v>25276144.285712086</v>
      </c>
      <c r="AC16" s="10">
        <f t="shared" si="6"/>
        <v>-238</v>
      </c>
      <c r="AD16" s="9">
        <f t="shared" si="7"/>
        <v>-8684766.666666694</v>
      </c>
      <c r="AE16" s="8">
        <f t="shared" si="8"/>
        <v>-0.2557283189147897</v>
      </c>
      <c r="AG16" s="11" t="s">
        <v>26</v>
      </c>
      <c r="AH16" s="11"/>
      <c r="AI16" s="10">
        <v>1363</v>
      </c>
      <c r="AJ16" s="9">
        <v>22609127.619046021</v>
      </c>
      <c r="AK16" s="10">
        <f t="shared" si="9"/>
        <v>-378</v>
      </c>
      <c r="AL16" s="9">
        <f t="shared" si="10"/>
        <v>-2667016.6666660644</v>
      </c>
      <c r="AM16" s="8">
        <f t="shared" si="11"/>
        <v>-0.10551517021421879</v>
      </c>
      <c r="AO16" s="11" t="s">
        <v>26</v>
      </c>
      <c r="AP16" s="11"/>
      <c r="AQ16" s="10">
        <v>1305</v>
      </c>
      <c r="AR16" s="9">
        <v>19654100.476188928</v>
      </c>
      <c r="AS16" s="10">
        <f t="shared" si="12"/>
        <v>-58</v>
      </c>
      <c r="AT16" s="9">
        <f t="shared" si="13"/>
        <v>-2955027.1428570934</v>
      </c>
      <c r="AU16" s="8">
        <f t="shared" si="14"/>
        <v>-0.13070062643052915</v>
      </c>
      <c r="AW16" s="11" t="s">
        <v>26</v>
      </c>
      <c r="AX16" s="11"/>
      <c r="AY16" s="10">
        <v>1090</v>
      </c>
      <c r="AZ16" s="9">
        <v>13468171.904760391</v>
      </c>
      <c r="BA16" s="10">
        <f t="shared" si="15"/>
        <v>-215</v>
      </c>
      <c r="BB16" s="9">
        <f t="shared" si="16"/>
        <v>-6185928.5714285374</v>
      </c>
      <c r="BC16" s="8">
        <f t="shared" si="17"/>
        <v>-0.31473984672678512</v>
      </c>
      <c r="BE16" s="11" t="s">
        <v>26</v>
      </c>
      <c r="BF16" s="11"/>
      <c r="BG16" s="10">
        <v>1202</v>
      </c>
      <c r="BH16" s="9">
        <v>13779574.285712851</v>
      </c>
      <c r="BI16" s="29">
        <f t="shared" si="30"/>
        <v>112</v>
      </c>
      <c r="BJ16" s="30">
        <f t="shared" si="31"/>
        <v>311402.38095246069</v>
      </c>
      <c r="BK16" s="31">
        <f t="shared" si="32"/>
        <v>2.3121354787756607E-2</v>
      </c>
      <c r="BM16" s="11" t="s">
        <v>26</v>
      </c>
      <c r="BN16" s="11"/>
      <c r="BO16" s="10">
        <v>1047</v>
      </c>
      <c r="BP16" s="9">
        <v>11163983.33333195</v>
      </c>
      <c r="BQ16" s="29">
        <f t="shared" si="21"/>
        <v>-155</v>
      </c>
      <c r="BR16" s="30">
        <f t="shared" si="22"/>
        <v>-2615590.9523809012</v>
      </c>
      <c r="BS16" s="31">
        <f t="shared" si="23"/>
        <v>-0.18981652830108389</v>
      </c>
    </row>
    <row r="17" spans="1:71" s="1" customFormat="1" ht="20" customHeight="1">
      <c r="A17" s="16">
        <v>76</v>
      </c>
      <c r="B17" s="35" t="s">
        <v>32</v>
      </c>
      <c r="C17" s="1">
        <v>13536</v>
      </c>
      <c r="D17" s="38"/>
      <c r="E17" s="12"/>
      <c r="F17" s="14"/>
      <c r="G17" s="39"/>
      <c r="I17" s="16">
        <v>76</v>
      </c>
      <c r="J17" s="35" t="s">
        <v>32</v>
      </c>
      <c r="K17" s="1">
        <v>12578</v>
      </c>
      <c r="L17" s="38"/>
      <c r="M17" s="12">
        <f t="shared" si="27"/>
        <v>-958</v>
      </c>
      <c r="N17" s="14">
        <f t="shared" si="28"/>
        <v>0</v>
      </c>
      <c r="O17" s="13" t="e">
        <f t="shared" si="29"/>
        <v>#DIV/0!</v>
      </c>
      <c r="Q17" s="16">
        <v>76</v>
      </c>
      <c r="R17" s="35" t="s">
        <v>32</v>
      </c>
      <c r="S17" s="1">
        <v>7622</v>
      </c>
      <c r="T17" s="38"/>
      <c r="U17" s="12">
        <f t="shared" si="3"/>
        <v>-4956</v>
      </c>
      <c r="V17" s="14">
        <f t="shared" si="4"/>
        <v>0</v>
      </c>
      <c r="W17" s="13" t="e">
        <f t="shared" si="5"/>
        <v>#DIV/0!</v>
      </c>
      <c r="Y17" s="16">
        <v>76</v>
      </c>
      <c r="Z17" s="35" t="s">
        <v>32</v>
      </c>
      <c r="AA17" s="1">
        <v>8251</v>
      </c>
      <c r="AB17" s="38"/>
      <c r="AC17" s="12">
        <f t="shared" si="6"/>
        <v>629</v>
      </c>
      <c r="AD17" s="14">
        <f t="shared" si="7"/>
        <v>0</v>
      </c>
      <c r="AE17" s="13" t="e">
        <f t="shared" si="8"/>
        <v>#DIV/0!</v>
      </c>
      <c r="AG17" s="16">
        <v>76</v>
      </c>
      <c r="AH17" s="35" t="s">
        <v>32</v>
      </c>
      <c r="AI17" s="1">
        <v>6179</v>
      </c>
      <c r="AJ17" s="38"/>
      <c r="AK17" s="12">
        <f t="shared" si="9"/>
        <v>-2072</v>
      </c>
      <c r="AL17" s="14">
        <f t="shared" si="10"/>
        <v>0</v>
      </c>
      <c r="AM17" s="13" t="e">
        <f t="shared" si="11"/>
        <v>#DIV/0!</v>
      </c>
      <c r="AO17" s="16">
        <v>76</v>
      </c>
      <c r="AP17" s="35" t="s">
        <v>32</v>
      </c>
      <c r="AQ17" s="1">
        <v>6814</v>
      </c>
      <c r="AR17" s="38"/>
      <c r="AS17" s="12">
        <f t="shared" si="12"/>
        <v>635</v>
      </c>
      <c r="AT17" s="14">
        <f t="shared" si="13"/>
        <v>0</v>
      </c>
      <c r="AU17" s="13" t="e">
        <f t="shared" si="14"/>
        <v>#DIV/0!</v>
      </c>
      <c r="AW17" s="16">
        <v>76</v>
      </c>
      <c r="AX17" s="35" t="s">
        <v>32</v>
      </c>
      <c r="AY17" s="1">
        <v>7831</v>
      </c>
      <c r="AZ17" s="38"/>
      <c r="BA17" s="12">
        <f t="shared" si="15"/>
        <v>1017</v>
      </c>
      <c r="BB17" s="14">
        <f t="shared" si="16"/>
        <v>0</v>
      </c>
      <c r="BC17" s="13" t="e">
        <f t="shared" si="17"/>
        <v>#DIV/0!</v>
      </c>
      <c r="BE17" s="16">
        <v>76</v>
      </c>
      <c r="BF17" s="35" t="s">
        <v>32</v>
      </c>
      <c r="BG17" s="17">
        <v>6604</v>
      </c>
      <c r="BH17" s="36"/>
      <c r="BI17" s="12">
        <f t="shared" si="30"/>
        <v>-1227</v>
      </c>
      <c r="BJ17" s="14">
        <f t="shared" si="31"/>
        <v>0</v>
      </c>
      <c r="BK17" s="13" t="e">
        <f t="shared" si="32"/>
        <v>#DIV/0!</v>
      </c>
      <c r="BM17" s="16">
        <v>76</v>
      </c>
      <c r="BN17" s="35" t="s">
        <v>32</v>
      </c>
      <c r="BO17" s="17">
        <v>5779</v>
      </c>
      <c r="BP17" s="36"/>
      <c r="BQ17" s="12">
        <f t="shared" si="21"/>
        <v>-825</v>
      </c>
      <c r="BR17" s="14">
        <f t="shared" si="22"/>
        <v>0</v>
      </c>
      <c r="BS17" s="13" t="e">
        <f t="shared" si="23"/>
        <v>#DIV/0!</v>
      </c>
    </row>
    <row r="18" spans="1:71" s="1" customFormat="1" ht="20" customHeight="1">
      <c r="A18" s="16"/>
      <c r="B18" s="35" t="s">
        <v>33</v>
      </c>
      <c r="C18" s="1">
        <v>13</v>
      </c>
      <c r="D18" s="38"/>
      <c r="E18" s="12"/>
      <c r="F18" s="14"/>
      <c r="G18" s="39"/>
      <c r="I18" s="16"/>
      <c r="J18" s="35" t="s">
        <v>33</v>
      </c>
      <c r="K18" s="1">
        <v>7</v>
      </c>
      <c r="L18" s="38"/>
      <c r="M18" s="12">
        <f t="shared" si="27"/>
        <v>-6</v>
      </c>
      <c r="N18" s="14">
        <f t="shared" si="28"/>
        <v>0</v>
      </c>
      <c r="O18" s="13" t="e">
        <f t="shared" si="29"/>
        <v>#DIV/0!</v>
      </c>
      <c r="Q18" s="16"/>
      <c r="R18" s="35" t="s">
        <v>33</v>
      </c>
      <c r="S18" s="1">
        <v>10</v>
      </c>
      <c r="T18" s="38"/>
      <c r="U18" s="12">
        <f t="shared" si="3"/>
        <v>3</v>
      </c>
      <c r="V18" s="14">
        <f t="shared" si="4"/>
        <v>0</v>
      </c>
      <c r="W18" s="13" t="e">
        <f t="shared" si="5"/>
        <v>#DIV/0!</v>
      </c>
      <c r="Y18" s="16"/>
      <c r="Z18" s="35" t="s">
        <v>33</v>
      </c>
      <c r="AA18" s="1">
        <v>23</v>
      </c>
      <c r="AB18" s="38"/>
      <c r="AC18" s="12">
        <f t="shared" si="6"/>
        <v>13</v>
      </c>
      <c r="AD18" s="14">
        <f t="shared" si="7"/>
        <v>0</v>
      </c>
      <c r="AE18" s="13" t="e">
        <f t="shared" si="8"/>
        <v>#DIV/0!</v>
      </c>
      <c r="AG18" s="16"/>
      <c r="AH18" s="35" t="s">
        <v>33</v>
      </c>
      <c r="AI18" s="1">
        <v>27</v>
      </c>
      <c r="AJ18" s="38"/>
      <c r="AK18" s="12">
        <f t="shared" si="9"/>
        <v>4</v>
      </c>
      <c r="AL18" s="14">
        <f t="shared" si="10"/>
        <v>0</v>
      </c>
      <c r="AM18" s="13" t="e">
        <f t="shared" si="11"/>
        <v>#DIV/0!</v>
      </c>
      <c r="AO18" s="16"/>
      <c r="AP18" s="35" t="s">
        <v>33</v>
      </c>
      <c r="AQ18" s="1">
        <v>21</v>
      </c>
      <c r="AR18" s="38"/>
      <c r="AS18" s="12">
        <f t="shared" si="12"/>
        <v>-6</v>
      </c>
      <c r="AT18" s="14">
        <f t="shared" si="13"/>
        <v>0</v>
      </c>
      <c r="AU18" s="13" t="e">
        <f t="shared" si="14"/>
        <v>#DIV/0!</v>
      </c>
      <c r="AW18" s="16"/>
      <c r="AX18" s="35" t="s">
        <v>33</v>
      </c>
      <c r="AY18" s="1">
        <v>27</v>
      </c>
      <c r="AZ18" s="38"/>
      <c r="BA18" s="12">
        <f t="shared" si="15"/>
        <v>6</v>
      </c>
      <c r="BB18" s="14">
        <f t="shared" si="16"/>
        <v>0</v>
      </c>
      <c r="BC18" s="13" t="e">
        <f t="shared" si="17"/>
        <v>#DIV/0!</v>
      </c>
      <c r="BE18" s="16"/>
      <c r="BF18" s="35" t="s">
        <v>33</v>
      </c>
      <c r="BG18" s="17">
        <v>45</v>
      </c>
      <c r="BH18" s="36"/>
      <c r="BI18" s="12">
        <f t="shared" si="30"/>
        <v>18</v>
      </c>
      <c r="BJ18" s="14">
        <f t="shared" si="31"/>
        <v>0</v>
      </c>
      <c r="BK18" s="13" t="e">
        <f t="shared" si="32"/>
        <v>#DIV/0!</v>
      </c>
      <c r="BM18" s="16"/>
      <c r="BN18" s="35" t="s">
        <v>33</v>
      </c>
      <c r="BO18" s="17">
        <v>30</v>
      </c>
      <c r="BP18" s="36"/>
      <c r="BQ18" s="12">
        <f t="shared" si="21"/>
        <v>-15</v>
      </c>
      <c r="BR18" s="14">
        <f t="shared" si="22"/>
        <v>0</v>
      </c>
      <c r="BS18" s="13" t="e">
        <f t="shared" si="23"/>
        <v>#DIV/0!</v>
      </c>
    </row>
    <row r="19" spans="1:71" s="12" customFormat="1" ht="20" customHeight="1">
      <c r="A19" s="16"/>
      <c r="B19" s="15" t="s">
        <v>10</v>
      </c>
      <c r="C19" s="12">
        <v>205</v>
      </c>
      <c r="D19" s="14">
        <v>212487.61904685988</v>
      </c>
      <c r="F19" s="14"/>
      <c r="G19" s="13"/>
      <c r="I19" s="16"/>
      <c r="J19" s="15" t="s">
        <v>10</v>
      </c>
      <c r="K19" s="12">
        <v>210</v>
      </c>
      <c r="L19" s="14">
        <v>228808.57142773012</v>
      </c>
      <c r="M19" s="12">
        <f t="shared" ref="M19:M27" si="33">K19-C19</f>
        <v>5</v>
      </c>
      <c r="N19" s="14">
        <f t="shared" ref="N19:N27" si="34">L19-D19</f>
        <v>16320.952380870236</v>
      </c>
      <c r="O19" s="13">
        <f t="shared" ref="O19:O27" si="35">(L19-D19)/D19</f>
        <v>7.6808956936314385E-2</v>
      </c>
      <c r="Q19" s="16"/>
      <c r="R19" s="15" t="s">
        <v>10</v>
      </c>
      <c r="S19" s="12">
        <v>165</v>
      </c>
      <c r="T19" s="14">
        <v>192667.61904700007</v>
      </c>
      <c r="U19" s="12">
        <f t="shared" si="3"/>
        <v>-45</v>
      </c>
      <c r="V19" s="14">
        <f t="shared" si="4"/>
        <v>-36140.952380730043</v>
      </c>
      <c r="W19" s="13">
        <f t="shared" si="5"/>
        <v>-0.15795279064598011</v>
      </c>
      <c r="Y19" s="16"/>
      <c r="Z19" s="15" t="s">
        <v>10</v>
      </c>
      <c r="AA19" s="12">
        <v>214</v>
      </c>
      <c r="AB19" s="14">
        <v>213577.14285629999</v>
      </c>
      <c r="AC19" s="12">
        <f t="shared" si="6"/>
        <v>49</v>
      </c>
      <c r="AD19" s="14">
        <f t="shared" si="7"/>
        <v>20909.523809299921</v>
      </c>
      <c r="AE19" s="13">
        <f t="shared" si="8"/>
        <v>0.10852640372432885</v>
      </c>
      <c r="AG19" s="16"/>
      <c r="AH19" s="15" t="s">
        <v>10</v>
      </c>
      <c r="AI19" s="12">
        <v>183</v>
      </c>
      <c r="AJ19" s="14">
        <v>179602.85714211993</v>
      </c>
      <c r="AK19" s="12">
        <f t="shared" si="9"/>
        <v>-31</v>
      </c>
      <c r="AL19" s="14">
        <f t="shared" si="10"/>
        <v>-33974.285714180063</v>
      </c>
      <c r="AM19" s="13">
        <f t="shared" si="11"/>
        <v>-0.15907266695218789</v>
      </c>
      <c r="AO19" s="16"/>
      <c r="AP19" s="15" t="s">
        <v>10</v>
      </c>
      <c r="AQ19" s="12">
        <v>211</v>
      </c>
      <c r="AR19" s="14">
        <v>200327.61904686989</v>
      </c>
      <c r="AS19" s="12">
        <f t="shared" si="12"/>
        <v>28</v>
      </c>
      <c r="AT19" s="14">
        <f t="shared" si="13"/>
        <v>20724.761904749961</v>
      </c>
      <c r="AU19" s="13">
        <f t="shared" si="14"/>
        <v>0.11539216154200951</v>
      </c>
      <c r="AW19" s="16"/>
      <c r="AX19" s="15" t="s">
        <v>10</v>
      </c>
      <c r="AY19" s="12">
        <v>240</v>
      </c>
      <c r="AZ19" s="14">
        <v>226033.33333244006</v>
      </c>
      <c r="BA19" s="12">
        <f t="shared" si="15"/>
        <v>29</v>
      </c>
      <c r="BB19" s="14">
        <f t="shared" si="16"/>
        <v>25705.714285570168</v>
      </c>
      <c r="BC19" s="13">
        <f t="shared" si="17"/>
        <v>0.12831837371139473</v>
      </c>
      <c r="BE19" s="16"/>
      <c r="BF19" s="15" t="s">
        <v>10</v>
      </c>
      <c r="BG19" s="12">
        <v>254</v>
      </c>
      <c r="BH19" s="14">
        <v>261547.61904664987</v>
      </c>
      <c r="BI19" s="12">
        <f t="shared" si="30"/>
        <v>14</v>
      </c>
      <c r="BJ19" s="14">
        <f t="shared" si="31"/>
        <v>35514.285714209807</v>
      </c>
      <c r="BK19" s="13">
        <f t="shared" si="32"/>
        <v>0.1571196831485776</v>
      </c>
      <c r="BM19" s="16"/>
      <c r="BN19" s="15" t="s">
        <v>10</v>
      </c>
      <c r="BO19" s="12">
        <v>201</v>
      </c>
      <c r="BP19" s="14">
        <v>199822.85714215989</v>
      </c>
      <c r="BQ19" s="12">
        <f t="shared" si="21"/>
        <v>-53</v>
      </c>
      <c r="BR19" s="14">
        <f t="shared" si="22"/>
        <v>-61724.761904489977</v>
      </c>
      <c r="BS19" s="13">
        <f t="shared" si="23"/>
        <v>-0.23599817933529227</v>
      </c>
    </row>
    <row r="20" spans="1:71" s="12" customFormat="1" ht="20" customHeight="1">
      <c r="A20" s="16"/>
      <c r="B20" s="15" t="s">
        <v>9</v>
      </c>
      <c r="C20" s="12">
        <v>249</v>
      </c>
      <c r="D20" s="14">
        <v>271799.99999979994</v>
      </c>
      <c r="F20" s="14"/>
      <c r="G20" s="13"/>
      <c r="I20" s="16"/>
      <c r="J20" s="15" t="s">
        <v>9</v>
      </c>
      <c r="K20" s="12">
        <v>265</v>
      </c>
      <c r="L20" s="14">
        <v>270610.4761902999</v>
      </c>
      <c r="M20" s="12">
        <f t="shared" si="33"/>
        <v>16</v>
      </c>
      <c r="N20" s="14">
        <f t="shared" si="34"/>
        <v>-1189.5238095000386</v>
      </c>
      <c r="O20" s="13">
        <f t="shared" si="35"/>
        <v>-4.3764672902903388E-3</v>
      </c>
      <c r="Q20" s="16"/>
      <c r="R20" s="15" t="s">
        <v>9</v>
      </c>
      <c r="S20" s="12">
        <v>268</v>
      </c>
      <c r="T20" s="14">
        <v>280524.7619045999</v>
      </c>
      <c r="U20" s="12">
        <f t="shared" si="3"/>
        <v>3</v>
      </c>
      <c r="V20" s="14">
        <f t="shared" si="4"/>
        <v>9914.2857143000001</v>
      </c>
      <c r="W20" s="13">
        <f t="shared" si="5"/>
        <v>3.6636740210042838E-2</v>
      </c>
      <c r="Y20" s="16"/>
      <c r="Z20" s="15" t="s">
        <v>9</v>
      </c>
      <c r="AA20" s="12">
        <v>267</v>
      </c>
      <c r="AB20" s="14">
        <v>273267.61904742994</v>
      </c>
      <c r="AC20" s="12">
        <f t="shared" si="6"/>
        <v>-1</v>
      </c>
      <c r="AD20" s="14">
        <f t="shared" si="7"/>
        <v>-7257.1428571699653</v>
      </c>
      <c r="AE20" s="13">
        <f t="shared" si="8"/>
        <v>-2.5869883314036834E-2</v>
      </c>
      <c r="AG20" s="16"/>
      <c r="AH20" s="15" t="s">
        <v>9</v>
      </c>
      <c r="AI20" s="12">
        <v>240</v>
      </c>
      <c r="AJ20" s="14">
        <v>281381.90476173995</v>
      </c>
      <c r="AK20" s="12">
        <f t="shared" si="9"/>
        <v>-27</v>
      </c>
      <c r="AL20" s="14">
        <f t="shared" si="10"/>
        <v>8114.2857143100118</v>
      </c>
      <c r="AM20" s="13">
        <f t="shared" si="11"/>
        <v>2.9693550017360997E-2</v>
      </c>
      <c r="AO20" s="16"/>
      <c r="AP20" s="15" t="s">
        <v>9</v>
      </c>
      <c r="AQ20" s="12">
        <v>258</v>
      </c>
      <c r="AR20" s="14">
        <v>225462.85714269005</v>
      </c>
      <c r="AS20" s="12">
        <f t="shared" si="12"/>
        <v>18</v>
      </c>
      <c r="AT20" s="14">
        <f t="shared" si="13"/>
        <v>-55919.047619049903</v>
      </c>
      <c r="AU20" s="13">
        <f t="shared" si="14"/>
        <v>-0.19873007706874166</v>
      </c>
      <c r="AW20" s="16"/>
      <c r="AX20" s="15" t="s">
        <v>9</v>
      </c>
      <c r="AY20" s="12">
        <v>316</v>
      </c>
      <c r="AZ20" s="14">
        <v>325009.52380938001</v>
      </c>
      <c r="BA20" s="12">
        <f t="shared" si="15"/>
        <v>58</v>
      </c>
      <c r="BB20" s="14">
        <f t="shared" si="16"/>
        <v>99546.666666689969</v>
      </c>
      <c r="BC20" s="13">
        <f t="shared" si="17"/>
        <v>0.4415213571239775</v>
      </c>
      <c r="BE20" s="16"/>
      <c r="BF20" s="15" t="s">
        <v>9</v>
      </c>
      <c r="BG20" s="12">
        <v>291</v>
      </c>
      <c r="BH20" s="14">
        <v>352294.28571410995</v>
      </c>
      <c r="BI20" s="12">
        <f t="shared" si="30"/>
        <v>-25</v>
      </c>
      <c r="BJ20" s="14">
        <f t="shared" si="31"/>
        <v>27284.761904729938</v>
      </c>
      <c r="BK20" s="13">
        <f t="shared" si="32"/>
        <v>8.3950653460643232E-2</v>
      </c>
      <c r="BM20" s="16"/>
      <c r="BN20" s="15" t="s">
        <v>9</v>
      </c>
      <c r="BO20" s="12">
        <v>209</v>
      </c>
      <c r="BP20" s="14">
        <v>297391.42857128999</v>
      </c>
      <c r="BQ20" s="12">
        <f t="shared" si="21"/>
        <v>-82</v>
      </c>
      <c r="BR20" s="14">
        <f t="shared" si="22"/>
        <v>-54902.857142819965</v>
      </c>
      <c r="BS20" s="13">
        <f t="shared" si="23"/>
        <v>-0.15584373454008885</v>
      </c>
    </row>
    <row r="21" spans="1:71" s="12" customFormat="1" ht="20" customHeight="1">
      <c r="A21" s="16"/>
      <c r="B21" s="15" t="s">
        <v>8</v>
      </c>
      <c r="C21" s="12">
        <v>43</v>
      </c>
      <c r="D21" s="14">
        <v>238447.61904760002</v>
      </c>
      <c r="F21" s="14"/>
      <c r="G21" s="13"/>
      <c r="I21" s="16"/>
      <c r="J21" s="15" t="s">
        <v>8</v>
      </c>
      <c r="K21" s="12">
        <v>42</v>
      </c>
      <c r="L21" s="14">
        <v>242700.95238094</v>
      </c>
      <c r="M21" s="12">
        <f t="shared" si="33"/>
        <v>-1</v>
      </c>
      <c r="N21" s="14">
        <f t="shared" si="34"/>
        <v>4253.3333333399787</v>
      </c>
      <c r="O21" s="13">
        <f t="shared" si="35"/>
        <v>1.7837600351509102E-2</v>
      </c>
      <c r="Q21" s="16"/>
      <c r="R21" s="15" t="s">
        <v>8</v>
      </c>
      <c r="S21" s="12">
        <v>33</v>
      </c>
      <c r="T21" s="14">
        <v>199685.71428568999</v>
      </c>
      <c r="U21" s="12">
        <f t="shared" si="3"/>
        <v>-9</v>
      </c>
      <c r="V21" s="14">
        <f t="shared" si="4"/>
        <v>-43015.23809525001</v>
      </c>
      <c r="W21" s="13">
        <f t="shared" si="5"/>
        <v>-0.1772355554160904</v>
      </c>
      <c r="Y21" s="16"/>
      <c r="Z21" s="15" t="s">
        <v>8</v>
      </c>
      <c r="AA21" s="12">
        <v>26</v>
      </c>
      <c r="AB21" s="14">
        <v>148323.80952379998</v>
      </c>
      <c r="AC21" s="12">
        <f t="shared" si="6"/>
        <v>-7</v>
      </c>
      <c r="AD21" s="14">
        <f t="shared" si="7"/>
        <v>-51361.904761890008</v>
      </c>
      <c r="AE21" s="13">
        <f t="shared" si="8"/>
        <v>-0.25721371679301319</v>
      </c>
      <c r="AG21" s="16"/>
      <c r="AH21" s="15" t="s">
        <v>8</v>
      </c>
      <c r="AI21" s="12">
        <v>24</v>
      </c>
      <c r="AJ21" s="14">
        <v>119771.42857141999</v>
      </c>
      <c r="AK21" s="12">
        <f t="shared" si="9"/>
        <v>-2</v>
      </c>
      <c r="AL21" s="14">
        <f t="shared" si="10"/>
        <v>-28552.380952379986</v>
      </c>
      <c r="AM21" s="13">
        <f t="shared" si="11"/>
        <v>-0.19250032104790621</v>
      </c>
      <c r="AO21" s="16"/>
      <c r="AP21" s="15" t="s">
        <v>8</v>
      </c>
      <c r="AQ21" s="12">
        <v>30</v>
      </c>
      <c r="AR21" s="14">
        <v>161142.85714283999</v>
      </c>
      <c r="AS21" s="12">
        <f t="shared" si="12"/>
        <v>6</v>
      </c>
      <c r="AT21" s="14">
        <f t="shared" si="13"/>
        <v>41371.428571419994</v>
      </c>
      <c r="AU21" s="13">
        <f t="shared" si="14"/>
        <v>0.34541984732819742</v>
      </c>
      <c r="AW21" s="16"/>
      <c r="AX21" s="15" t="s">
        <v>8</v>
      </c>
      <c r="AY21" s="12">
        <v>52</v>
      </c>
      <c r="AZ21" s="14">
        <v>319504.76190474001</v>
      </c>
      <c r="BA21" s="12">
        <f t="shared" si="15"/>
        <v>22</v>
      </c>
      <c r="BB21" s="14">
        <f t="shared" si="16"/>
        <v>158361.90476190002</v>
      </c>
      <c r="BC21" s="13">
        <f t="shared" si="17"/>
        <v>0.98274231678494517</v>
      </c>
      <c r="BE21" s="16"/>
      <c r="BF21" s="15" t="s">
        <v>8</v>
      </c>
      <c r="BG21" s="12">
        <v>135</v>
      </c>
      <c r="BH21" s="14">
        <v>897705.71428569988</v>
      </c>
      <c r="BI21" s="12">
        <f t="shared" si="30"/>
        <v>83</v>
      </c>
      <c r="BJ21" s="14">
        <f t="shared" si="31"/>
        <v>578200.95238095988</v>
      </c>
      <c r="BK21" s="13">
        <f t="shared" si="32"/>
        <v>1.8096786693694094</v>
      </c>
      <c r="BM21" s="16"/>
      <c r="BN21" s="15" t="s">
        <v>8</v>
      </c>
      <c r="BO21" s="12">
        <v>86</v>
      </c>
      <c r="BP21" s="14">
        <v>584895.23809522996</v>
      </c>
      <c r="BQ21" s="12">
        <f t="shared" si="21"/>
        <v>-49</v>
      </c>
      <c r="BR21" s="14">
        <f t="shared" si="22"/>
        <v>-312810.47619046993</v>
      </c>
      <c r="BS21" s="13">
        <f t="shared" si="23"/>
        <v>-0.34845548069098758</v>
      </c>
    </row>
    <row r="22" spans="1:71" s="12" customFormat="1" ht="20" customHeight="1">
      <c r="A22" s="16"/>
      <c r="B22" s="15" t="s">
        <v>7</v>
      </c>
      <c r="C22" s="12">
        <v>74</v>
      </c>
      <c r="D22" s="14">
        <v>988190.47619037016</v>
      </c>
      <c r="F22" s="14"/>
      <c r="G22" s="13"/>
      <c r="I22" s="16"/>
      <c r="J22" s="15" t="s">
        <v>7</v>
      </c>
      <c r="K22" s="12">
        <v>72</v>
      </c>
      <c r="L22" s="14">
        <v>859333.33333321998</v>
      </c>
      <c r="M22" s="12">
        <f t="shared" si="33"/>
        <v>-2</v>
      </c>
      <c r="N22" s="14">
        <f t="shared" si="34"/>
        <v>-128857.14285715017</v>
      </c>
      <c r="O22" s="13">
        <f t="shared" si="35"/>
        <v>-0.1303970701619335</v>
      </c>
      <c r="Q22" s="16"/>
      <c r="R22" s="15" t="s">
        <v>7</v>
      </c>
      <c r="S22" s="12">
        <v>42</v>
      </c>
      <c r="T22" s="14">
        <v>597904.76190469007</v>
      </c>
      <c r="U22" s="12">
        <f t="shared" si="3"/>
        <v>-30</v>
      </c>
      <c r="V22" s="14">
        <f t="shared" si="4"/>
        <v>-261428.57142852992</v>
      </c>
      <c r="W22" s="13">
        <f t="shared" si="5"/>
        <v>-0.30422254239165758</v>
      </c>
      <c r="Y22" s="16"/>
      <c r="Z22" s="15" t="s">
        <v>7</v>
      </c>
      <c r="AA22" s="12">
        <v>44</v>
      </c>
      <c r="AB22" s="14">
        <v>562476.19047611998</v>
      </c>
      <c r="AC22" s="12">
        <f t="shared" si="6"/>
        <v>2</v>
      </c>
      <c r="AD22" s="14">
        <f t="shared" si="7"/>
        <v>-35428.571428570081</v>
      </c>
      <c r="AE22" s="13">
        <f t="shared" si="8"/>
        <v>-5.9254539662317703E-2</v>
      </c>
      <c r="AG22" s="16"/>
      <c r="AH22" s="15" t="s">
        <v>7</v>
      </c>
      <c r="AI22" s="12">
        <v>41</v>
      </c>
      <c r="AJ22" s="14">
        <v>557047.61904753011</v>
      </c>
      <c r="AK22" s="12">
        <f t="shared" si="9"/>
        <v>-3</v>
      </c>
      <c r="AL22" s="14">
        <f t="shared" si="10"/>
        <v>-5428.5714285898721</v>
      </c>
      <c r="AM22" s="13">
        <f t="shared" si="11"/>
        <v>-9.6512021673215032E-3</v>
      </c>
      <c r="AO22" s="16"/>
      <c r="AP22" s="15" t="s">
        <v>7</v>
      </c>
      <c r="AQ22" s="12">
        <v>51</v>
      </c>
      <c r="AR22" s="14">
        <v>703714.2857142</v>
      </c>
      <c r="AS22" s="12">
        <f t="shared" si="12"/>
        <v>10</v>
      </c>
      <c r="AT22" s="14">
        <f t="shared" si="13"/>
        <v>146666.66666666989</v>
      </c>
      <c r="AU22" s="13">
        <f t="shared" si="14"/>
        <v>0.2632928705762147</v>
      </c>
      <c r="AW22" s="16"/>
      <c r="AX22" s="15" t="s">
        <v>7</v>
      </c>
      <c r="AY22" s="12">
        <v>52</v>
      </c>
      <c r="AZ22" s="14">
        <v>674095.23809514008</v>
      </c>
      <c r="BA22" s="12">
        <f t="shared" si="15"/>
        <v>1</v>
      </c>
      <c r="BB22" s="14">
        <f t="shared" si="16"/>
        <v>-29619.047619059915</v>
      </c>
      <c r="BC22" s="13">
        <f t="shared" si="17"/>
        <v>-4.2089592637727297E-2</v>
      </c>
      <c r="BE22" s="16"/>
      <c r="BF22" s="15" t="s">
        <v>7</v>
      </c>
      <c r="BG22" s="12">
        <v>63</v>
      </c>
      <c r="BH22" s="14">
        <v>833999.99999991001</v>
      </c>
      <c r="BI22" s="12">
        <f t="shared" si="30"/>
        <v>11</v>
      </c>
      <c r="BJ22" s="14">
        <f t="shared" si="31"/>
        <v>159904.76190476993</v>
      </c>
      <c r="BK22" s="13">
        <f t="shared" si="32"/>
        <v>0.23721390223231539</v>
      </c>
      <c r="BM22" s="16"/>
      <c r="BN22" s="15" t="s">
        <v>7</v>
      </c>
      <c r="BO22" s="12">
        <v>48</v>
      </c>
      <c r="BP22" s="14">
        <v>607809.52380944998</v>
      </c>
      <c r="BQ22" s="12">
        <f t="shared" si="21"/>
        <v>-15</v>
      </c>
      <c r="BR22" s="14">
        <f t="shared" si="22"/>
        <v>-226190.47619046003</v>
      </c>
      <c r="BS22" s="13">
        <f t="shared" si="23"/>
        <v>-0.27121160214686385</v>
      </c>
    </row>
    <row r="23" spans="1:71" s="12" customFormat="1" ht="20" customHeight="1">
      <c r="A23" s="16"/>
      <c r="B23" s="15" t="s">
        <v>6</v>
      </c>
      <c r="C23" s="12">
        <v>6</v>
      </c>
      <c r="D23" s="14">
        <v>23142.857142839999</v>
      </c>
      <c r="F23" s="14"/>
      <c r="G23" s="13"/>
      <c r="I23" s="16"/>
      <c r="J23" s="15" t="s">
        <v>6</v>
      </c>
      <c r="K23" s="12">
        <v>5</v>
      </c>
      <c r="L23" s="14">
        <v>14285.714285710001</v>
      </c>
      <c r="M23" s="12">
        <f t="shared" si="33"/>
        <v>-1</v>
      </c>
      <c r="N23" s="14">
        <f t="shared" si="34"/>
        <v>-8857.1428571299984</v>
      </c>
      <c r="O23" s="13">
        <f t="shared" si="35"/>
        <v>-0.38271604938244391</v>
      </c>
      <c r="Q23" s="16"/>
      <c r="R23" s="15" t="s">
        <v>6</v>
      </c>
      <c r="S23" s="12">
        <v>8</v>
      </c>
      <c r="T23" s="14">
        <v>40857.142857129998</v>
      </c>
      <c r="U23" s="12">
        <f t="shared" si="3"/>
        <v>3</v>
      </c>
      <c r="V23" s="14">
        <f t="shared" si="4"/>
        <v>26571.428571419998</v>
      </c>
      <c r="W23" s="13">
        <f t="shared" si="5"/>
        <v>1.8599999999999577</v>
      </c>
      <c r="Y23" s="16"/>
      <c r="Z23" s="15" t="s">
        <v>6</v>
      </c>
      <c r="AA23" s="12">
        <v>1</v>
      </c>
      <c r="AB23" s="14">
        <v>2857.1428571400002</v>
      </c>
      <c r="AC23" s="12">
        <f t="shared" si="6"/>
        <v>-7</v>
      </c>
      <c r="AD23" s="14">
        <f t="shared" si="7"/>
        <v>-37999.999999989996</v>
      </c>
      <c r="AE23" s="13">
        <f t="shared" si="8"/>
        <v>-0.93006993006997796</v>
      </c>
      <c r="AG23" s="16"/>
      <c r="AH23" s="15" t="s">
        <v>6</v>
      </c>
      <c r="AI23" s="12">
        <v>2</v>
      </c>
      <c r="AJ23" s="14">
        <v>5714.2857142800003</v>
      </c>
      <c r="AK23" s="12">
        <f t="shared" si="9"/>
        <v>1</v>
      </c>
      <c r="AL23" s="14">
        <f t="shared" si="10"/>
        <v>2857.1428571400002</v>
      </c>
      <c r="AM23" s="13">
        <f t="shared" si="11"/>
        <v>1</v>
      </c>
      <c r="AO23" s="16"/>
      <c r="AP23" s="15" t="s">
        <v>6</v>
      </c>
      <c r="AR23" s="14"/>
      <c r="AS23" s="12">
        <f t="shared" si="12"/>
        <v>-2</v>
      </c>
      <c r="AT23" s="14">
        <f t="shared" si="13"/>
        <v>-5714.2857142800003</v>
      </c>
      <c r="AU23" s="13">
        <f t="shared" si="14"/>
        <v>-1</v>
      </c>
      <c r="AW23" s="16"/>
      <c r="AX23" s="15" t="s">
        <v>6</v>
      </c>
      <c r="AY23" s="12">
        <v>2</v>
      </c>
      <c r="AZ23" s="14">
        <v>5714.2857142800003</v>
      </c>
      <c r="BA23" s="12">
        <f t="shared" si="15"/>
        <v>2</v>
      </c>
      <c r="BB23" s="14">
        <f t="shared" si="16"/>
        <v>5714.2857142800003</v>
      </c>
      <c r="BC23" s="13" t="e">
        <f t="shared" si="17"/>
        <v>#DIV/0!</v>
      </c>
      <c r="BE23" s="16"/>
      <c r="BF23" s="15" t="s">
        <v>6</v>
      </c>
      <c r="BG23" s="12">
        <v>2</v>
      </c>
      <c r="BH23" s="14">
        <v>5714.2857142800003</v>
      </c>
      <c r="BI23" s="12">
        <f t="shared" si="30"/>
        <v>0</v>
      </c>
      <c r="BJ23" s="14">
        <f t="shared" si="31"/>
        <v>0</v>
      </c>
      <c r="BK23" s="13">
        <f t="shared" si="32"/>
        <v>0</v>
      </c>
      <c r="BM23" s="16"/>
      <c r="BN23" s="15" t="s">
        <v>6</v>
      </c>
      <c r="BO23" s="12">
        <v>0</v>
      </c>
      <c r="BP23" s="14">
        <v>0</v>
      </c>
      <c r="BQ23" s="12">
        <f t="shared" si="21"/>
        <v>-2</v>
      </c>
      <c r="BR23" s="14">
        <f t="shared" si="22"/>
        <v>-5714.2857142800003</v>
      </c>
      <c r="BS23" s="13">
        <f t="shared" si="23"/>
        <v>-1</v>
      </c>
    </row>
    <row r="24" spans="1:71" s="12" customFormat="1" ht="20" customHeight="1">
      <c r="A24" s="16"/>
      <c r="B24" s="15" t="s">
        <v>5</v>
      </c>
      <c r="C24" s="12">
        <v>5</v>
      </c>
      <c r="D24" s="14">
        <v>24450</v>
      </c>
      <c r="F24" s="14"/>
      <c r="G24" s="13"/>
      <c r="I24" s="16"/>
      <c r="J24" s="15" t="s">
        <v>5</v>
      </c>
      <c r="K24" s="12">
        <v>3</v>
      </c>
      <c r="L24" s="14">
        <v>13370</v>
      </c>
      <c r="M24" s="12">
        <f t="shared" si="33"/>
        <v>-2</v>
      </c>
      <c r="N24" s="14">
        <f t="shared" si="34"/>
        <v>-11080</v>
      </c>
      <c r="O24" s="13">
        <f t="shared" si="35"/>
        <v>-0.45316973415132922</v>
      </c>
      <c r="Q24" s="16"/>
      <c r="R24" s="15" t="s">
        <v>5</v>
      </c>
      <c r="S24" s="12">
        <v>3</v>
      </c>
      <c r="T24" s="14">
        <v>10370</v>
      </c>
      <c r="U24" s="12">
        <f t="shared" si="3"/>
        <v>0</v>
      </c>
      <c r="V24" s="14">
        <f t="shared" si="4"/>
        <v>-3000</v>
      </c>
      <c r="W24" s="13">
        <f t="shared" si="5"/>
        <v>-0.22438294689603591</v>
      </c>
      <c r="Y24" s="16"/>
      <c r="Z24" s="15" t="s">
        <v>5</v>
      </c>
      <c r="AA24" s="12">
        <v>6</v>
      </c>
      <c r="AB24" s="14">
        <v>38340</v>
      </c>
      <c r="AC24" s="12">
        <f t="shared" si="6"/>
        <v>3</v>
      </c>
      <c r="AD24" s="14">
        <f t="shared" si="7"/>
        <v>27970</v>
      </c>
      <c r="AE24" s="13">
        <f t="shared" si="8"/>
        <v>2.6972034715525552</v>
      </c>
      <c r="AG24" s="16"/>
      <c r="AH24" s="15" t="s">
        <v>5</v>
      </c>
      <c r="AI24" s="12">
        <v>5</v>
      </c>
      <c r="AJ24" s="14">
        <v>30350</v>
      </c>
      <c r="AK24" s="12">
        <f t="shared" si="9"/>
        <v>-1</v>
      </c>
      <c r="AL24" s="14">
        <f t="shared" si="10"/>
        <v>-7990</v>
      </c>
      <c r="AM24" s="13">
        <f t="shared" si="11"/>
        <v>-0.20839853938445488</v>
      </c>
      <c r="AO24" s="16"/>
      <c r="AP24" s="15" t="s">
        <v>5</v>
      </c>
      <c r="AQ24" s="12">
        <v>11</v>
      </c>
      <c r="AR24" s="14">
        <v>61390</v>
      </c>
      <c r="AS24" s="12">
        <f t="shared" si="12"/>
        <v>6</v>
      </c>
      <c r="AT24" s="14">
        <f t="shared" si="13"/>
        <v>31040</v>
      </c>
      <c r="AU24" s="13">
        <f t="shared" si="14"/>
        <v>1.0227347611202635</v>
      </c>
      <c r="AW24" s="16"/>
      <c r="AX24" s="15" t="s">
        <v>5</v>
      </c>
      <c r="AY24" s="12">
        <v>13</v>
      </c>
      <c r="AZ24" s="14">
        <v>74570</v>
      </c>
      <c r="BA24" s="12">
        <f t="shared" si="15"/>
        <v>2</v>
      </c>
      <c r="BB24" s="14">
        <f t="shared" si="16"/>
        <v>13180</v>
      </c>
      <c r="BC24" s="13">
        <f t="shared" si="17"/>
        <v>0.21469294673399578</v>
      </c>
      <c r="BE24" s="16"/>
      <c r="BF24" s="15" t="s">
        <v>5</v>
      </c>
      <c r="BG24" s="12">
        <v>12</v>
      </c>
      <c r="BH24" s="14">
        <v>55980</v>
      </c>
      <c r="BI24" s="12">
        <f t="shared" si="30"/>
        <v>-1</v>
      </c>
      <c r="BJ24" s="14">
        <f t="shared" si="31"/>
        <v>-18590</v>
      </c>
      <c r="BK24" s="13">
        <f t="shared" si="32"/>
        <v>-0.24929596352420544</v>
      </c>
      <c r="BM24" s="16"/>
      <c r="BN24" s="15" t="s">
        <v>5</v>
      </c>
      <c r="BO24" s="12">
        <v>7</v>
      </c>
      <c r="BP24" s="14">
        <v>32830</v>
      </c>
      <c r="BQ24" s="12">
        <f t="shared" si="21"/>
        <v>-5</v>
      </c>
      <c r="BR24" s="14">
        <f t="shared" si="22"/>
        <v>-23150</v>
      </c>
      <c r="BS24" s="13">
        <f t="shared" si="23"/>
        <v>-0.41354055019649877</v>
      </c>
    </row>
    <row r="25" spans="1:71" s="12" customFormat="1" ht="20" customHeight="1">
      <c r="A25" s="16"/>
      <c r="B25" s="15" t="s">
        <v>4</v>
      </c>
      <c r="C25" s="12">
        <v>11</v>
      </c>
      <c r="D25" s="14">
        <v>450766.66666660993</v>
      </c>
      <c r="F25" s="14"/>
      <c r="G25" s="13"/>
      <c r="I25" s="16"/>
      <c r="J25" s="15" t="s">
        <v>4</v>
      </c>
      <c r="K25" s="12">
        <v>7</v>
      </c>
      <c r="L25" s="14">
        <v>375433.33333329996</v>
      </c>
      <c r="M25" s="12">
        <f t="shared" si="33"/>
        <v>-4</v>
      </c>
      <c r="N25" s="14">
        <f t="shared" si="34"/>
        <v>-75333.333333309973</v>
      </c>
      <c r="O25" s="13">
        <f t="shared" si="35"/>
        <v>-0.16712267987869434</v>
      </c>
      <c r="Q25" s="16"/>
      <c r="R25" s="15" t="s">
        <v>4</v>
      </c>
      <c r="S25" s="12">
        <v>9</v>
      </c>
      <c r="T25" s="14">
        <v>266285.71428568003</v>
      </c>
      <c r="U25" s="12">
        <f t="shared" si="3"/>
        <v>2</v>
      </c>
      <c r="V25" s="14">
        <f t="shared" si="4"/>
        <v>-109147.61904761993</v>
      </c>
      <c r="W25" s="13">
        <f t="shared" si="5"/>
        <v>-0.29072436930026535</v>
      </c>
      <c r="Y25" s="16"/>
      <c r="Z25" s="15" t="s">
        <v>4</v>
      </c>
      <c r="AA25" s="12">
        <v>5</v>
      </c>
      <c r="AB25" s="14">
        <v>157619.04761904001</v>
      </c>
      <c r="AC25" s="12">
        <f t="shared" si="6"/>
        <v>-4</v>
      </c>
      <c r="AD25" s="14">
        <f t="shared" si="7"/>
        <v>-108666.66666664003</v>
      </c>
      <c r="AE25" s="13">
        <f t="shared" si="8"/>
        <v>-0.40808297567949464</v>
      </c>
      <c r="AG25" s="16"/>
      <c r="AH25" s="15" t="s">
        <v>4</v>
      </c>
      <c r="AI25" s="12">
        <v>7</v>
      </c>
      <c r="AJ25" s="14">
        <v>237766.66666665999</v>
      </c>
      <c r="AK25" s="12">
        <f t="shared" si="9"/>
        <v>2</v>
      </c>
      <c r="AL25" s="14">
        <f t="shared" si="10"/>
        <v>80147.619047619984</v>
      </c>
      <c r="AM25" s="13">
        <f t="shared" si="11"/>
        <v>0.50848942598190361</v>
      </c>
      <c r="AO25" s="16"/>
      <c r="AP25" s="15" t="s">
        <v>4</v>
      </c>
      <c r="AQ25" s="12">
        <v>7</v>
      </c>
      <c r="AR25" s="14">
        <v>283723.80952379003</v>
      </c>
      <c r="AS25" s="12">
        <f t="shared" si="12"/>
        <v>0</v>
      </c>
      <c r="AT25" s="14">
        <f t="shared" si="13"/>
        <v>45957.142857130035</v>
      </c>
      <c r="AU25" s="13">
        <f t="shared" si="14"/>
        <v>0.19328673569521096</v>
      </c>
      <c r="AW25" s="16"/>
      <c r="AX25" s="15" t="s">
        <v>4</v>
      </c>
      <c r="AY25" s="12">
        <v>9</v>
      </c>
      <c r="AZ25" s="14">
        <v>333187.61904759001</v>
      </c>
      <c r="BA25" s="12">
        <f t="shared" si="15"/>
        <v>2</v>
      </c>
      <c r="BB25" s="14">
        <f t="shared" si="16"/>
        <v>49463.809523799981</v>
      </c>
      <c r="BC25" s="13">
        <f t="shared" si="17"/>
        <v>0.17433788728137206</v>
      </c>
      <c r="BE25" s="16"/>
      <c r="BF25" s="15" t="s">
        <v>4</v>
      </c>
      <c r="BG25" s="12">
        <v>16</v>
      </c>
      <c r="BH25" s="14">
        <v>572699.04761901998</v>
      </c>
      <c r="BI25" s="12">
        <f t="shared" si="30"/>
        <v>7</v>
      </c>
      <c r="BJ25" s="14">
        <f t="shared" si="31"/>
        <v>239511.42857142998</v>
      </c>
      <c r="BK25" s="13">
        <f t="shared" si="32"/>
        <v>0.71884852521251685</v>
      </c>
      <c r="BM25" s="16"/>
      <c r="BN25" s="15" t="s">
        <v>4</v>
      </c>
      <c r="BO25" s="12">
        <v>5</v>
      </c>
      <c r="BP25" s="14">
        <v>158943.80952379998</v>
      </c>
      <c r="BQ25" s="12">
        <f t="shared" si="21"/>
        <v>-11</v>
      </c>
      <c r="BR25" s="14">
        <f t="shared" si="22"/>
        <v>-413755.23809522</v>
      </c>
      <c r="BS25" s="13">
        <f t="shared" si="23"/>
        <v>-0.72246538529336768</v>
      </c>
    </row>
    <row r="26" spans="1:71" s="12" customFormat="1" ht="20" customHeight="1">
      <c r="A26" s="16"/>
      <c r="B26" s="15" t="s">
        <v>3</v>
      </c>
      <c r="C26" s="12">
        <v>49</v>
      </c>
      <c r="D26" s="14">
        <v>913190.47619039007</v>
      </c>
      <c r="F26" s="14"/>
      <c r="G26" s="13"/>
      <c r="I26" s="16"/>
      <c r="J26" s="15" t="s">
        <v>3</v>
      </c>
      <c r="K26" s="12">
        <v>45</v>
      </c>
      <c r="L26" s="14">
        <v>840799.9999998901</v>
      </c>
      <c r="M26" s="12">
        <f t="shared" si="33"/>
        <v>-4</v>
      </c>
      <c r="N26" s="14">
        <f t="shared" si="34"/>
        <v>-72390.476190499961</v>
      </c>
      <c r="O26" s="13">
        <f t="shared" si="35"/>
        <v>-7.9272044636838013E-2</v>
      </c>
      <c r="Q26" s="16"/>
      <c r="R26" s="15" t="s">
        <v>3</v>
      </c>
      <c r="S26" s="12">
        <v>22</v>
      </c>
      <c r="T26" s="14">
        <v>429666.66666660999</v>
      </c>
      <c r="U26" s="12">
        <f t="shared" si="3"/>
        <v>-23</v>
      </c>
      <c r="V26" s="14">
        <f t="shared" si="4"/>
        <v>-411133.33333328011</v>
      </c>
      <c r="W26" s="13">
        <f t="shared" si="5"/>
        <v>-0.48897875039644845</v>
      </c>
      <c r="Y26" s="16"/>
      <c r="Z26" s="15" t="s">
        <v>3</v>
      </c>
      <c r="AA26" s="12">
        <v>43</v>
      </c>
      <c r="AB26" s="14">
        <v>730809.52380943007</v>
      </c>
      <c r="AC26" s="12">
        <f t="shared" si="6"/>
        <v>21</v>
      </c>
      <c r="AD26" s="14">
        <f t="shared" si="7"/>
        <v>301142.85714282008</v>
      </c>
      <c r="AE26" s="13">
        <f t="shared" si="8"/>
        <v>0.70087554028594212</v>
      </c>
      <c r="AG26" s="16"/>
      <c r="AH26" s="15" t="s">
        <v>3</v>
      </c>
      <c r="AI26" s="12">
        <v>32</v>
      </c>
      <c r="AJ26" s="14">
        <v>563952.38095228001</v>
      </c>
      <c r="AK26" s="12">
        <f t="shared" si="9"/>
        <v>-11</v>
      </c>
      <c r="AL26" s="14">
        <f t="shared" si="10"/>
        <v>-166857.14285715006</v>
      </c>
      <c r="AM26" s="13">
        <f t="shared" si="11"/>
        <v>-0.22831823809217441</v>
      </c>
      <c r="AO26" s="16"/>
      <c r="AP26" s="15" t="s">
        <v>3</v>
      </c>
      <c r="AQ26" s="12">
        <v>27</v>
      </c>
      <c r="AR26" s="14">
        <v>489904.76190468</v>
      </c>
      <c r="AS26" s="12">
        <f t="shared" si="12"/>
        <v>-5</v>
      </c>
      <c r="AT26" s="14">
        <f t="shared" si="13"/>
        <v>-74047.619047600019</v>
      </c>
      <c r="AU26" s="13">
        <f t="shared" si="14"/>
        <v>-0.13130119057670175</v>
      </c>
      <c r="AW26" s="16"/>
      <c r="AX26" s="15" t="s">
        <v>3</v>
      </c>
      <c r="AY26" s="12">
        <v>50</v>
      </c>
      <c r="AZ26" s="14">
        <v>793095.23809513007</v>
      </c>
      <c r="BA26" s="12">
        <f t="shared" si="15"/>
        <v>23</v>
      </c>
      <c r="BB26" s="14">
        <f t="shared" si="16"/>
        <v>303190.47619045008</v>
      </c>
      <c r="BC26" s="13">
        <f t="shared" si="17"/>
        <v>0.6188763608087593</v>
      </c>
      <c r="BE26" s="16"/>
      <c r="BF26" s="15" t="s">
        <v>3</v>
      </c>
      <c r="BG26" s="12">
        <v>41</v>
      </c>
      <c r="BH26" s="14">
        <v>594714.28571418999</v>
      </c>
      <c r="BI26" s="12">
        <f t="shared" si="30"/>
        <v>-9</v>
      </c>
      <c r="BJ26" s="14">
        <f t="shared" si="31"/>
        <v>-198380.95238094009</v>
      </c>
      <c r="BK26" s="13">
        <f t="shared" si="32"/>
        <v>-0.25013509456621491</v>
      </c>
      <c r="BM26" s="16"/>
      <c r="BN26" s="15" t="s">
        <v>3</v>
      </c>
      <c r="BO26" s="12">
        <v>49</v>
      </c>
      <c r="BP26" s="14">
        <v>852714.28571422002</v>
      </c>
      <c r="BQ26" s="12">
        <f t="shared" si="21"/>
        <v>8</v>
      </c>
      <c r="BR26" s="14">
        <f t="shared" si="22"/>
        <v>258000.00000003004</v>
      </c>
      <c r="BS26" s="13">
        <f t="shared" si="23"/>
        <v>0.43382176315169374</v>
      </c>
    </row>
    <row r="27" spans="1:71" s="12" customFormat="1" ht="20" customHeight="1">
      <c r="A27" s="16"/>
      <c r="B27" s="15" t="s">
        <v>2</v>
      </c>
      <c r="C27" s="12">
        <v>47</v>
      </c>
      <c r="D27" s="14">
        <v>2055523.8095237501</v>
      </c>
      <c r="F27" s="14"/>
      <c r="G27" s="13"/>
      <c r="I27" s="16"/>
      <c r="J27" s="15" t="s">
        <v>2</v>
      </c>
      <c r="K27" s="12">
        <v>42</v>
      </c>
      <c r="L27" s="14">
        <v>1390874.28571424</v>
      </c>
      <c r="M27" s="12">
        <f t="shared" si="33"/>
        <v>-5</v>
      </c>
      <c r="N27" s="14">
        <f t="shared" si="34"/>
        <v>-664649.52380951005</v>
      </c>
      <c r="O27" s="13">
        <f t="shared" si="35"/>
        <v>-0.32334800537460301</v>
      </c>
      <c r="Q27" s="16"/>
      <c r="R27" s="15" t="s">
        <v>2</v>
      </c>
      <c r="S27" s="12">
        <v>97</v>
      </c>
      <c r="T27" s="14">
        <v>3638380.9523809003</v>
      </c>
      <c r="U27" s="12">
        <f t="shared" si="3"/>
        <v>55</v>
      </c>
      <c r="V27" s="14">
        <f t="shared" si="4"/>
        <v>2247506.6666666605</v>
      </c>
      <c r="W27" s="13">
        <f t="shared" si="5"/>
        <v>1.6158949013228205</v>
      </c>
      <c r="Y27" s="16"/>
      <c r="Z27" s="15" t="s">
        <v>2</v>
      </c>
      <c r="AA27" s="12">
        <v>137</v>
      </c>
      <c r="AB27" s="14">
        <v>5705047.61904753</v>
      </c>
      <c r="AC27" s="12">
        <f t="shared" si="6"/>
        <v>40</v>
      </c>
      <c r="AD27" s="14">
        <f t="shared" si="7"/>
        <v>2066666.6666666297</v>
      </c>
      <c r="AE27" s="13">
        <f t="shared" si="8"/>
        <v>0.5680182184645165</v>
      </c>
      <c r="AG27" s="16"/>
      <c r="AH27" s="15" t="s">
        <v>2</v>
      </c>
      <c r="AI27" s="12">
        <v>146</v>
      </c>
      <c r="AJ27" s="14">
        <v>5341333.3333332594</v>
      </c>
      <c r="AK27" s="12">
        <f t="shared" si="9"/>
        <v>9</v>
      </c>
      <c r="AL27" s="14">
        <f t="shared" si="10"/>
        <v>-363714.28571427055</v>
      </c>
      <c r="AM27" s="13">
        <f t="shared" si="11"/>
        <v>-6.375306745905715E-2</v>
      </c>
      <c r="AO27" s="16"/>
      <c r="AP27" s="15" t="s">
        <v>2</v>
      </c>
      <c r="AQ27" s="12">
        <v>203</v>
      </c>
      <c r="AR27" s="14">
        <v>8093999.9999999497</v>
      </c>
      <c r="AS27" s="12">
        <f t="shared" si="12"/>
        <v>57</v>
      </c>
      <c r="AT27" s="14">
        <f t="shared" si="13"/>
        <v>2752666.6666666903</v>
      </c>
      <c r="AU27" s="13">
        <f t="shared" si="14"/>
        <v>0.5153519720419486</v>
      </c>
      <c r="AW27" s="16"/>
      <c r="AX27" s="15" t="s">
        <v>2</v>
      </c>
      <c r="AY27" s="12">
        <v>162</v>
      </c>
      <c r="AZ27" s="14">
        <v>6212190.4761904199</v>
      </c>
      <c r="BA27" s="12">
        <f t="shared" si="15"/>
        <v>-41</v>
      </c>
      <c r="BB27" s="14">
        <f t="shared" si="16"/>
        <v>-1881809.5238095298</v>
      </c>
      <c r="BC27" s="13">
        <f t="shared" si="17"/>
        <v>-0.2324943814936424</v>
      </c>
      <c r="BE27" s="16"/>
      <c r="BF27" s="15" t="s">
        <v>2</v>
      </c>
      <c r="BG27" s="12">
        <v>208</v>
      </c>
      <c r="BH27" s="14">
        <v>7777809.5238094311</v>
      </c>
      <c r="BI27" s="12">
        <f t="shared" si="30"/>
        <v>46</v>
      </c>
      <c r="BJ27" s="14">
        <f t="shared" si="31"/>
        <v>1565619.0476190113</v>
      </c>
      <c r="BK27" s="13">
        <f t="shared" si="32"/>
        <v>0.25202367081621035</v>
      </c>
      <c r="BM27" s="16"/>
      <c r="BN27" s="15" t="s">
        <v>2</v>
      </c>
      <c r="BO27" s="12">
        <v>119</v>
      </c>
      <c r="BP27" s="14">
        <v>4528872.3809522996</v>
      </c>
      <c r="BQ27" s="12">
        <f t="shared" si="21"/>
        <v>-89</v>
      </c>
      <c r="BR27" s="14">
        <f t="shared" si="22"/>
        <v>-3248937.1428571315</v>
      </c>
      <c r="BS27" s="13">
        <f t="shared" si="23"/>
        <v>-0.41771878482128999</v>
      </c>
    </row>
    <row r="28" spans="1:71" s="1" customFormat="1" ht="20" customHeight="1">
      <c r="A28" s="11" t="s">
        <v>13</v>
      </c>
      <c r="B28" s="11"/>
      <c r="C28" s="10">
        <v>689</v>
      </c>
      <c r="D28" s="9">
        <v>5177999.5238082204</v>
      </c>
      <c r="E28" s="29"/>
      <c r="F28" s="30"/>
      <c r="G28" s="31"/>
      <c r="I28" s="11" t="s">
        <v>13</v>
      </c>
      <c r="J28" s="11"/>
      <c r="K28" s="10">
        <v>691</v>
      </c>
      <c r="L28" s="9">
        <v>4236216.6666653296</v>
      </c>
      <c r="M28" s="10">
        <f t="shared" si="27"/>
        <v>2</v>
      </c>
      <c r="N28" s="9">
        <f t="shared" si="28"/>
        <v>-941782.8571428908</v>
      </c>
      <c r="O28" s="8">
        <f t="shared" si="29"/>
        <v>-0.18188160366037376</v>
      </c>
      <c r="Q28" s="11" t="s">
        <v>13</v>
      </c>
      <c r="R28" s="11"/>
      <c r="S28" s="10">
        <v>647</v>
      </c>
      <c r="T28" s="9">
        <v>5656343.3333323002</v>
      </c>
      <c r="U28" s="10">
        <f t="shared" si="3"/>
        <v>-44</v>
      </c>
      <c r="V28" s="9">
        <f t="shared" si="4"/>
        <v>1420126.6666669706</v>
      </c>
      <c r="W28" s="8">
        <f t="shared" si="5"/>
        <v>0.33523466300529614</v>
      </c>
      <c r="Y28" s="11" t="s">
        <v>13</v>
      </c>
      <c r="Z28" s="11"/>
      <c r="AA28" s="10">
        <v>743</v>
      </c>
      <c r="AB28" s="9">
        <v>7832318.0952367894</v>
      </c>
      <c r="AC28" s="10">
        <f t="shared" si="6"/>
        <v>96</v>
      </c>
      <c r="AD28" s="9">
        <f t="shared" si="7"/>
        <v>2175974.7619044892</v>
      </c>
      <c r="AE28" s="8">
        <f t="shared" si="8"/>
        <v>0.38469637249239702</v>
      </c>
      <c r="AG28" s="11" t="s">
        <v>13</v>
      </c>
      <c r="AH28" s="11"/>
      <c r="AI28" s="10">
        <v>680</v>
      </c>
      <c r="AJ28" s="9">
        <v>7316920.4761892892</v>
      </c>
      <c r="AK28" s="10">
        <f t="shared" si="9"/>
        <v>-63</v>
      </c>
      <c r="AL28" s="9">
        <f t="shared" si="10"/>
        <v>-515397.61904750019</v>
      </c>
      <c r="AM28" s="8">
        <f t="shared" si="11"/>
        <v>-6.5803969243912394E-2</v>
      </c>
      <c r="AO28" s="11" t="s">
        <v>13</v>
      </c>
      <c r="AP28" s="11"/>
      <c r="AQ28" s="10">
        <v>798</v>
      </c>
      <c r="AR28" s="9">
        <v>10219666.190475021</v>
      </c>
      <c r="AS28" s="10">
        <f t="shared" si="12"/>
        <v>118</v>
      </c>
      <c r="AT28" s="9">
        <f t="shared" si="13"/>
        <v>2902745.7142857313</v>
      </c>
      <c r="AU28" s="8">
        <f t="shared" si="14"/>
        <v>0.3967168597406302</v>
      </c>
      <c r="AW28" s="11" t="s">
        <v>13</v>
      </c>
      <c r="AX28" s="11"/>
      <c r="AY28" s="10">
        <v>896</v>
      </c>
      <c r="AZ28" s="9">
        <v>8963400.4761891197</v>
      </c>
      <c r="BA28" s="10">
        <f t="shared" si="15"/>
        <v>98</v>
      </c>
      <c r="BB28" s="9">
        <f t="shared" si="16"/>
        <v>-1256265.7142859008</v>
      </c>
      <c r="BC28" s="8">
        <f t="shared" si="17"/>
        <v>-0.12292629630670043</v>
      </c>
      <c r="BE28" s="11" t="s">
        <v>13</v>
      </c>
      <c r="BF28" s="11"/>
      <c r="BG28" s="10">
        <v>1022</v>
      </c>
      <c r="BH28" s="9">
        <v>11352464.76190329</v>
      </c>
      <c r="BI28" s="29">
        <f t="shared" si="30"/>
        <v>126</v>
      </c>
      <c r="BJ28" s="30">
        <f t="shared" si="31"/>
        <v>2389064.28571417</v>
      </c>
      <c r="BK28" s="31">
        <f t="shared" si="32"/>
        <v>0.26653548416815853</v>
      </c>
      <c r="BM28" s="11" t="s">
        <v>13</v>
      </c>
      <c r="BN28" s="11"/>
      <c r="BO28" s="10">
        <v>724</v>
      </c>
      <c r="BP28" s="9">
        <v>7263279.5238084495</v>
      </c>
      <c r="BQ28" s="29">
        <f t="shared" si="21"/>
        <v>-298</v>
      </c>
      <c r="BR28" s="30">
        <f t="shared" si="22"/>
        <v>-4089185.2380948402</v>
      </c>
      <c r="BS28" s="31">
        <f t="shared" si="23"/>
        <v>-0.36020241629089811</v>
      </c>
    </row>
    <row r="29" spans="1:71" s="1" customFormat="1" ht="20" customHeight="1">
      <c r="A29" s="16">
        <v>77</v>
      </c>
      <c r="B29" s="35" t="s">
        <v>32</v>
      </c>
      <c r="C29" s="1">
        <v>10774</v>
      </c>
      <c r="D29" s="38"/>
      <c r="E29" s="12"/>
      <c r="F29" s="14"/>
      <c r="G29" s="39"/>
      <c r="I29" s="16">
        <v>77</v>
      </c>
      <c r="J29" s="35" t="s">
        <v>32</v>
      </c>
      <c r="K29" s="1">
        <v>11459</v>
      </c>
      <c r="L29" s="38"/>
      <c r="M29" s="12">
        <f t="shared" si="27"/>
        <v>685</v>
      </c>
      <c r="N29" s="14">
        <f t="shared" si="28"/>
        <v>0</v>
      </c>
      <c r="O29" s="13" t="e">
        <f t="shared" si="29"/>
        <v>#DIV/0!</v>
      </c>
      <c r="Q29" s="16">
        <v>77</v>
      </c>
      <c r="R29" s="35" t="s">
        <v>32</v>
      </c>
      <c r="S29" s="1">
        <v>5780</v>
      </c>
      <c r="T29" s="38"/>
      <c r="U29" s="12">
        <f t="shared" si="3"/>
        <v>-5679</v>
      </c>
      <c r="V29" s="14">
        <f t="shared" si="4"/>
        <v>0</v>
      </c>
      <c r="W29" s="13" t="e">
        <f t="shared" si="5"/>
        <v>#DIV/0!</v>
      </c>
      <c r="Y29" s="16">
        <v>77</v>
      </c>
      <c r="Z29" s="35" t="s">
        <v>32</v>
      </c>
      <c r="AA29" s="1">
        <v>7326</v>
      </c>
      <c r="AB29" s="38"/>
      <c r="AC29" s="12">
        <f t="shared" si="6"/>
        <v>1546</v>
      </c>
      <c r="AD29" s="14">
        <f t="shared" si="7"/>
        <v>0</v>
      </c>
      <c r="AE29" s="13" t="e">
        <f t="shared" si="8"/>
        <v>#DIV/0!</v>
      </c>
      <c r="AG29" s="16">
        <v>77</v>
      </c>
      <c r="AH29" s="35" t="s">
        <v>32</v>
      </c>
      <c r="AI29" s="1">
        <v>4728</v>
      </c>
      <c r="AJ29" s="38"/>
      <c r="AK29" s="12">
        <f t="shared" si="9"/>
        <v>-2598</v>
      </c>
      <c r="AL29" s="14">
        <f t="shared" si="10"/>
        <v>0</v>
      </c>
      <c r="AM29" s="13" t="e">
        <f t="shared" si="11"/>
        <v>#DIV/0!</v>
      </c>
      <c r="AO29" s="16">
        <v>77</v>
      </c>
      <c r="AP29" s="35" t="s">
        <v>32</v>
      </c>
      <c r="AQ29" s="1">
        <v>5306</v>
      </c>
      <c r="AR29" s="38"/>
      <c r="AS29" s="12">
        <f t="shared" si="12"/>
        <v>578</v>
      </c>
      <c r="AT29" s="14">
        <f t="shared" si="13"/>
        <v>0</v>
      </c>
      <c r="AU29" s="13" t="e">
        <f t="shared" si="14"/>
        <v>#DIV/0!</v>
      </c>
      <c r="AW29" s="16">
        <v>77</v>
      </c>
      <c r="AX29" s="35" t="s">
        <v>32</v>
      </c>
      <c r="AY29" s="1">
        <v>5342</v>
      </c>
      <c r="AZ29" s="38"/>
      <c r="BA29" s="12">
        <f t="shared" si="15"/>
        <v>36</v>
      </c>
      <c r="BB29" s="14">
        <f t="shared" si="16"/>
        <v>0</v>
      </c>
      <c r="BC29" s="13" t="e">
        <f t="shared" si="17"/>
        <v>#DIV/0!</v>
      </c>
      <c r="BE29" s="16">
        <v>77</v>
      </c>
      <c r="BF29" s="35" t="s">
        <v>32</v>
      </c>
      <c r="BG29" s="17">
        <v>4911</v>
      </c>
      <c r="BH29" s="36"/>
      <c r="BI29" s="12">
        <f t="shared" si="30"/>
        <v>-431</v>
      </c>
      <c r="BJ29" s="14">
        <f t="shared" si="31"/>
        <v>0</v>
      </c>
      <c r="BK29" s="13" t="e">
        <f t="shared" si="32"/>
        <v>#DIV/0!</v>
      </c>
      <c r="BM29" s="16">
        <v>77</v>
      </c>
      <c r="BN29" s="35" t="s">
        <v>32</v>
      </c>
      <c r="BO29" s="17">
        <v>4669</v>
      </c>
      <c r="BP29" s="36"/>
      <c r="BQ29" s="12">
        <f t="shared" si="21"/>
        <v>-242</v>
      </c>
      <c r="BR29" s="14">
        <f t="shared" si="22"/>
        <v>0</v>
      </c>
      <c r="BS29" s="13" t="e">
        <f t="shared" si="23"/>
        <v>#DIV/0!</v>
      </c>
    </row>
    <row r="30" spans="1:71" s="1" customFormat="1" ht="20" customHeight="1">
      <c r="A30" s="16"/>
      <c r="B30" s="35" t="s">
        <v>33</v>
      </c>
      <c r="C30" s="1">
        <v>13</v>
      </c>
      <c r="D30" s="38"/>
      <c r="E30" s="12"/>
      <c r="F30" s="14"/>
      <c r="G30" s="39"/>
      <c r="I30" s="16"/>
      <c r="J30" s="35" t="s">
        <v>33</v>
      </c>
      <c r="K30" s="1">
        <v>4</v>
      </c>
      <c r="L30" s="38"/>
      <c r="M30" s="12">
        <f t="shared" si="27"/>
        <v>-9</v>
      </c>
      <c r="N30" s="14">
        <f t="shared" si="28"/>
        <v>0</v>
      </c>
      <c r="O30" s="13" t="e">
        <f t="shared" si="29"/>
        <v>#DIV/0!</v>
      </c>
      <c r="Q30" s="16"/>
      <c r="R30" s="35" t="s">
        <v>33</v>
      </c>
      <c r="S30" s="1">
        <v>8</v>
      </c>
      <c r="T30" s="38"/>
      <c r="U30" s="12">
        <f t="shared" si="3"/>
        <v>4</v>
      </c>
      <c r="V30" s="14">
        <f t="shared" si="4"/>
        <v>0</v>
      </c>
      <c r="W30" s="13" t="e">
        <f t="shared" si="5"/>
        <v>#DIV/0!</v>
      </c>
      <c r="Y30" s="16"/>
      <c r="Z30" s="35" t="s">
        <v>33</v>
      </c>
      <c r="AA30" s="1">
        <v>9</v>
      </c>
      <c r="AB30" s="38"/>
      <c r="AC30" s="12">
        <f t="shared" si="6"/>
        <v>1</v>
      </c>
      <c r="AD30" s="14">
        <f t="shared" si="7"/>
        <v>0</v>
      </c>
      <c r="AE30" s="13" t="e">
        <f t="shared" si="8"/>
        <v>#DIV/0!</v>
      </c>
      <c r="AG30" s="16"/>
      <c r="AH30" s="35" t="s">
        <v>33</v>
      </c>
      <c r="AI30" s="1">
        <v>15</v>
      </c>
      <c r="AJ30" s="38"/>
      <c r="AK30" s="12">
        <f t="shared" si="9"/>
        <v>6</v>
      </c>
      <c r="AL30" s="14">
        <f t="shared" si="10"/>
        <v>0</v>
      </c>
      <c r="AM30" s="13" t="e">
        <f t="shared" si="11"/>
        <v>#DIV/0!</v>
      </c>
      <c r="AO30" s="16"/>
      <c r="AP30" s="35" t="s">
        <v>33</v>
      </c>
      <c r="AQ30" s="1">
        <v>23</v>
      </c>
      <c r="AR30" s="38"/>
      <c r="AS30" s="12">
        <f t="shared" si="12"/>
        <v>8</v>
      </c>
      <c r="AT30" s="14">
        <f t="shared" si="13"/>
        <v>0</v>
      </c>
      <c r="AU30" s="13" t="e">
        <f t="shared" si="14"/>
        <v>#DIV/0!</v>
      </c>
      <c r="AW30" s="16"/>
      <c r="AX30" s="35" t="s">
        <v>33</v>
      </c>
      <c r="AY30" s="1">
        <v>8</v>
      </c>
      <c r="AZ30" s="38"/>
      <c r="BA30" s="12">
        <f t="shared" si="15"/>
        <v>-15</v>
      </c>
      <c r="BB30" s="14">
        <f t="shared" si="16"/>
        <v>0</v>
      </c>
      <c r="BC30" s="13" t="e">
        <f t="shared" si="17"/>
        <v>#DIV/0!</v>
      </c>
      <c r="BE30" s="16"/>
      <c r="BF30" s="35" t="s">
        <v>33</v>
      </c>
      <c r="BG30" s="17">
        <v>15</v>
      </c>
      <c r="BH30" s="36"/>
      <c r="BI30" s="12">
        <f t="shared" si="30"/>
        <v>7</v>
      </c>
      <c r="BJ30" s="14">
        <f t="shared" si="31"/>
        <v>0</v>
      </c>
      <c r="BK30" s="13" t="e">
        <f t="shared" si="32"/>
        <v>#DIV/0!</v>
      </c>
      <c r="BM30" s="16"/>
      <c r="BN30" s="35" t="s">
        <v>33</v>
      </c>
      <c r="BO30" s="17">
        <v>13</v>
      </c>
      <c r="BP30" s="36"/>
      <c r="BQ30" s="12">
        <f t="shared" si="21"/>
        <v>-2</v>
      </c>
      <c r="BR30" s="14">
        <f t="shared" si="22"/>
        <v>0</v>
      </c>
      <c r="BS30" s="13" t="e">
        <f t="shared" si="23"/>
        <v>#DIV/0!</v>
      </c>
    </row>
    <row r="31" spans="1:71" s="12" customFormat="1" ht="20" customHeight="1">
      <c r="A31" s="16"/>
      <c r="B31" s="15" t="s">
        <v>10</v>
      </c>
      <c r="C31" s="12">
        <v>141</v>
      </c>
      <c r="D31" s="14">
        <v>117618.09523762003</v>
      </c>
      <c r="F31" s="14"/>
      <c r="G31" s="13"/>
      <c r="I31" s="16"/>
      <c r="J31" s="15" t="s">
        <v>10</v>
      </c>
      <c r="K31" s="12">
        <v>191</v>
      </c>
      <c r="L31" s="14">
        <v>177112.38095158999</v>
      </c>
      <c r="M31" s="12">
        <f t="shared" ref="M31:M39" si="36">K31-C31</f>
        <v>50</v>
      </c>
      <c r="N31" s="14">
        <f t="shared" ref="N31:N39" si="37">L31-D31</f>
        <v>59494.285713969963</v>
      </c>
      <c r="O31" s="13">
        <f t="shared" ref="O31:O39" si="38">(L31-D31)/D31</f>
        <v>0.5058259581042831</v>
      </c>
      <c r="Q31" s="16"/>
      <c r="R31" s="15" t="s">
        <v>10</v>
      </c>
      <c r="S31" s="12">
        <v>112</v>
      </c>
      <c r="T31" s="14">
        <v>119842.85714241999</v>
      </c>
      <c r="U31" s="12">
        <f t="shared" si="3"/>
        <v>-79</v>
      </c>
      <c r="V31" s="14">
        <f t="shared" si="4"/>
        <v>-57269.523809170001</v>
      </c>
      <c r="W31" s="13">
        <f t="shared" si="5"/>
        <v>-0.3233513292603945</v>
      </c>
      <c r="Y31" s="16"/>
      <c r="Z31" s="15" t="s">
        <v>10</v>
      </c>
      <c r="AA31" s="12">
        <v>127</v>
      </c>
      <c r="AB31" s="14">
        <v>118192.38095190999</v>
      </c>
      <c r="AC31" s="12">
        <f t="shared" si="6"/>
        <v>15</v>
      </c>
      <c r="AD31" s="14">
        <f t="shared" si="7"/>
        <v>-1650.4761905100022</v>
      </c>
      <c r="AE31" s="13">
        <f t="shared" si="8"/>
        <v>-1.3772003020159922E-2</v>
      </c>
      <c r="AG31" s="16"/>
      <c r="AH31" s="15" t="s">
        <v>10</v>
      </c>
      <c r="AI31" s="12">
        <v>103</v>
      </c>
      <c r="AJ31" s="14">
        <v>99167.619047209955</v>
      </c>
      <c r="AK31" s="12">
        <f t="shared" si="9"/>
        <v>-24</v>
      </c>
      <c r="AL31" s="14">
        <f t="shared" si="10"/>
        <v>-19024.761904700033</v>
      </c>
      <c r="AM31" s="13">
        <f t="shared" si="11"/>
        <v>-0.16096436801997255</v>
      </c>
      <c r="AO31" s="16"/>
      <c r="AP31" s="15" t="s">
        <v>10</v>
      </c>
      <c r="AQ31" s="12">
        <v>152</v>
      </c>
      <c r="AR31" s="14">
        <v>150241.90476137001</v>
      </c>
      <c r="AS31" s="12">
        <f t="shared" si="12"/>
        <v>49</v>
      </c>
      <c r="AT31" s="14">
        <f t="shared" si="13"/>
        <v>51074.285714160054</v>
      </c>
      <c r="AU31" s="13">
        <f t="shared" si="14"/>
        <v>0.51502986766119208</v>
      </c>
      <c r="AW31" s="16"/>
      <c r="AX31" s="15" t="s">
        <v>10</v>
      </c>
      <c r="AY31" s="12">
        <v>135</v>
      </c>
      <c r="AZ31" s="14">
        <v>130618.09523763995</v>
      </c>
      <c r="BA31" s="12">
        <f t="shared" si="15"/>
        <v>-17</v>
      </c>
      <c r="BB31" s="14">
        <f t="shared" si="16"/>
        <v>-19623.809523730059</v>
      </c>
      <c r="BC31" s="13">
        <f t="shared" si="17"/>
        <v>-0.13061475461788544</v>
      </c>
      <c r="BE31" s="16"/>
      <c r="BF31" s="15" t="s">
        <v>10</v>
      </c>
      <c r="BG31" s="12">
        <v>144</v>
      </c>
      <c r="BH31" s="14">
        <v>143581.90476134996</v>
      </c>
      <c r="BI31" s="12">
        <f t="shared" si="30"/>
        <v>9</v>
      </c>
      <c r="BJ31" s="14">
        <f t="shared" si="31"/>
        <v>12963.809523710006</v>
      </c>
      <c r="BK31" s="13">
        <f t="shared" si="32"/>
        <v>9.9249721105826166E-2</v>
      </c>
      <c r="BM31" s="16"/>
      <c r="BN31" s="15" t="s">
        <v>10</v>
      </c>
      <c r="BO31" s="12">
        <v>134</v>
      </c>
      <c r="BP31" s="14">
        <v>125492.38095184998</v>
      </c>
      <c r="BQ31" s="12">
        <f t="shared" si="21"/>
        <v>-10</v>
      </c>
      <c r="BR31" s="14">
        <f t="shared" si="22"/>
        <v>-18089.52380949998</v>
      </c>
      <c r="BS31" s="13">
        <f t="shared" si="23"/>
        <v>-0.1259874901337108</v>
      </c>
    </row>
    <row r="32" spans="1:71" s="12" customFormat="1" ht="20" customHeight="1">
      <c r="A32" s="16"/>
      <c r="B32" s="15" t="s">
        <v>9</v>
      </c>
      <c r="C32" s="12">
        <v>87</v>
      </c>
      <c r="D32" s="14">
        <v>82773.333333200018</v>
      </c>
      <c r="F32" s="14"/>
      <c r="G32" s="13"/>
      <c r="I32" s="16"/>
      <c r="J32" s="15" t="s">
        <v>9</v>
      </c>
      <c r="K32" s="12">
        <v>99</v>
      </c>
      <c r="L32" s="14">
        <v>89939.047618969998</v>
      </c>
      <c r="M32" s="12">
        <f t="shared" si="36"/>
        <v>12</v>
      </c>
      <c r="N32" s="14">
        <f t="shared" si="37"/>
        <v>7165.7142857699801</v>
      </c>
      <c r="O32" s="13">
        <f t="shared" si="38"/>
        <v>8.6570324006703295E-2</v>
      </c>
      <c r="Q32" s="16"/>
      <c r="R32" s="15" t="s">
        <v>9</v>
      </c>
      <c r="S32" s="12">
        <v>88</v>
      </c>
      <c r="T32" s="14">
        <v>78505.714285609996</v>
      </c>
      <c r="U32" s="12">
        <f t="shared" si="3"/>
        <v>-11</v>
      </c>
      <c r="V32" s="14">
        <f t="shared" si="4"/>
        <v>-11433.333333360002</v>
      </c>
      <c r="W32" s="13">
        <f t="shared" si="5"/>
        <v>-0.12712313100976708</v>
      </c>
      <c r="Y32" s="16"/>
      <c r="Z32" s="15" t="s">
        <v>9</v>
      </c>
      <c r="AA32" s="12">
        <v>92</v>
      </c>
      <c r="AB32" s="14">
        <v>71959.047618960001</v>
      </c>
      <c r="AC32" s="12">
        <f t="shared" si="6"/>
        <v>4</v>
      </c>
      <c r="AD32" s="14">
        <f t="shared" si="7"/>
        <v>-6546.666666649995</v>
      </c>
      <c r="AE32" s="13">
        <f t="shared" si="8"/>
        <v>-8.3390957285385675E-2</v>
      </c>
      <c r="AG32" s="16"/>
      <c r="AH32" s="15" t="s">
        <v>9</v>
      </c>
      <c r="AI32" s="12">
        <v>70</v>
      </c>
      <c r="AJ32" s="14">
        <v>64498.09523803</v>
      </c>
      <c r="AK32" s="12">
        <f t="shared" si="9"/>
        <v>-22</v>
      </c>
      <c r="AL32" s="14">
        <f t="shared" si="10"/>
        <v>-7460.9523809300008</v>
      </c>
      <c r="AM32" s="13">
        <f t="shared" si="11"/>
        <v>-0.1036833119364988</v>
      </c>
      <c r="AO32" s="16"/>
      <c r="AP32" s="15" t="s">
        <v>9</v>
      </c>
      <c r="AQ32" s="12">
        <v>124</v>
      </c>
      <c r="AR32" s="14">
        <v>112967.61904748999</v>
      </c>
      <c r="AS32" s="12">
        <f t="shared" si="12"/>
        <v>54</v>
      </c>
      <c r="AT32" s="14">
        <f t="shared" si="13"/>
        <v>48469.523809459992</v>
      </c>
      <c r="AU32" s="13">
        <f t="shared" si="14"/>
        <v>0.75148767774588354</v>
      </c>
      <c r="AW32" s="16"/>
      <c r="AX32" s="15" t="s">
        <v>9</v>
      </c>
      <c r="AY32" s="12">
        <v>101</v>
      </c>
      <c r="AZ32" s="14">
        <v>97016.190476060015</v>
      </c>
      <c r="BA32" s="12">
        <f t="shared" si="15"/>
        <v>-23</v>
      </c>
      <c r="BB32" s="14">
        <f t="shared" si="16"/>
        <v>-15951.428571429977</v>
      </c>
      <c r="BC32" s="13">
        <f t="shared" si="17"/>
        <v>-0.14120354758228745</v>
      </c>
      <c r="BE32" s="16"/>
      <c r="BF32" s="15" t="s">
        <v>9</v>
      </c>
      <c r="BG32" s="12">
        <v>120</v>
      </c>
      <c r="BH32" s="14">
        <v>128144.76190464999</v>
      </c>
      <c r="BI32" s="12">
        <f t="shared" si="30"/>
        <v>19</v>
      </c>
      <c r="BJ32" s="14">
        <f t="shared" si="31"/>
        <v>31128.571428589974</v>
      </c>
      <c r="BK32" s="13">
        <f t="shared" si="32"/>
        <v>0.32085955216177392</v>
      </c>
      <c r="BM32" s="16"/>
      <c r="BN32" s="15" t="s">
        <v>9</v>
      </c>
      <c r="BO32" s="12">
        <v>90</v>
      </c>
      <c r="BP32" s="14">
        <v>83506.666666560006</v>
      </c>
      <c r="BQ32" s="12">
        <f t="shared" si="21"/>
        <v>-30</v>
      </c>
      <c r="BR32" s="14">
        <f t="shared" si="22"/>
        <v>-44638.095238089983</v>
      </c>
      <c r="BS32" s="13">
        <f t="shared" si="23"/>
        <v>-0.34834116178158198</v>
      </c>
    </row>
    <row r="33" spans="1:71" s="12" customFormat="1" ht="20" customHeight="1">
      <c r="A33" s="16"/>
      <c r="B33" s="15" t="s">
        <v>8</v>
      </c>
      <c r="C33" s="12">
        <v>18</v>
      </c>
      <c r="D33" s="14">
        <v>101542.85714285</v>
      </c>
      <c r="F33" s="14"/>
      <c r="G33" s="13"/>
      <c r="I33" s="16"/>
      <c r="J33" s="15" t="s">
        <v>8</v>
      </c>
      <c r="K33" s="12">
        <v>33</v>
      </c>
      <c r="L33" s="14">
        <v>211971.42857141001</v>
      </c>
      <c r="M33" s="12">
        <f t="shared" si="36"/>
        <v>15</v>
      </c>
      <c r="N33" s="14">
        <f t="shared" si="37"/>
        <v>110428.57142856001</v>
      </c>
      <c r="O33" s="13">
        <f t="shared" si="38"/>
        <v>1.0875070343274824</v>
      </c>
      <c r="Q33" s="16"/>
      <c r="R33" s="15" t="s">
        <v>8</v>
      </c>
      <c r="S33" s="12">
        <v>9</v>
      </c>
      <c r="T33" s="14">
        <v>85914.285714269994</v>
      </c>
      <c r="U33" s="12">
        <f t="shared" si="3"/>
        <v>-24</v>
      </c>
      <c r="V33" s="14">
        <f t="shared" si="4"/>
        <v>-126057.14285714002</v>
      </c>
      <c r="W33" s="13">
        <f t="shared" si="5"/>
        <v>-0.59468931122796698</v>
      </c>
      <c r="Y33" s="16"/>
      <c r="Z33" s="15" t="s">
        <v>8</v>
      </c>
      <c r="AA33" s="12">
        <v>11</v>
      </c>
      <c r="AB33" s="14">
        <v>68466.666666659992</v>
      </c>
      <c r="AC33" s="12">
        <f t="shared" si="6"/>
        <v>2</v>
      </c>
      <c r="AD33" s="14">
        <f t="shared" si="7"/>
        <v>-17447.619047610002</v>
      </c>
      <c r="AE33" s="13">
        <f t="shared" si="8"/>
        <v>-0.20308169825954833</v>
      </c>
      <c r="AG33" s="16"/>
      <c r="AH33" s="15" t="s">
        <v>8</v>
      </c>
      <c r="AI33" s="12">
        <v>17</v>
      </c>
      <c r="AJ33" s="14">
        <v>111266.66666665</v>
      </c>
      <c r="AK33" s="12">
        <f t="shared" si="9"/>
        <v>6</v>
      </c>
      <c r="AL33" s="14">
        <f t="shared" si="10"/>
        <v>42799.999999990003</v>
      </c>
      <c r="AM33" s="13">
        <f t="shared" si="11"/>
        <v>0.62512171372922354</v>
      </c>
      <c r="AO33" s="16"/>
      <c r="AP33" s="15" t="s">
        <v>8</v>
      </c>
      <c r="AQ33" s="12">
        <v>10</v>
      </c>
      <c r="AR33" s="14">
        <v>65619.047619040008</v>
      </c>
      <c r="AS33" s="12">
        <f t="shared" si="12"/>
        <v>-7</v>
      </c>
      <c r="AT33" s="14">
        <f t="shared" si="13"/>
        <v>-45647.619047609987</v>
      </c>
      <c r="AU33" s="13">
        <f t="shared" si="14"/>
        <v>-0.4102542155268139</v>
      </c>
      <c r="AW33" s="16"/>
      <c r="AX33" s="15" t="s">
        <v>8</v>
      </c>
      <c r="AY33" s="12">
        <v>12</v>
      </c>
      <c r="AZ33" s="14">
        <v>58457.142857129998</v>
      </c>
      <c r="BA33" s="12">
        <f t="shared" si="15"/>
        <v>2</v>
      </c>
      <c r="BB33" s="14">
        <f t="shared" si="16"/>
        <v>-7161.9047619100093</v>
      </c>
      <c r="BC33" s="13">
        <f t="shared" si="17"/>
        <v>-0.1091436865022697</v>
      </c>
      <c r="BE33" s="16"/>
      <c r="BF33" s="15" t="s">
        <v>8</v>
      </c>
      <c r="BG33" s="12">
        <v>31</v>
      </c>
      <c r="BH33" s="14">
        <v>209704.76190474999</v>
      </c>
      <c r="BI33" s="12">
        <f t="shared" si="30"/>
        <v>19</v>
      </c>
      <c r="BJ33" s="14">
        <f t="shared" si="31"/>
        <v>151247.61904761998</v>
      </c>
      <c r="BK33" s="13">
        <f t="shared" si="32"/>
        <v>2.587324861518995</v>
      </c>
      <c r="BM33" s="16"/>
      <c r="BN33" s="15" t="s">
        <v>8</v>
      </c>
      <c r="BO33" s="12">
        <v>53</v>
      </c>
      <c r="BP33" s="14">
        <v>352352.38095237</v>
      </c>
      <c r="BQ33" s="12">
        <f t="shared" si="21"/>
        <v>22</v>
      </c>
      <c r="BR33" s="14">
        <f t="shared" si="22"/>
        <v>142647.61904762001</v>
      </c>
      <c r="BS33" s="13">
        <f t="shared" si="23"/>
        <v>0.68023070984154377</v>
      </c>
    </row>
    <row r="34" spans="1:71" s="12" customFormat="1" ht="20" customHeight="1">
      <c r="A34" s="16"/>
      <c r="B34" s="15" t="s">
        <v>7</v>
      </c>
      <c r="C34" s="12">
        <v>22</v>
      </c>
      <c r="D34" s="14">
        <v>319809.52380945999</v>
      </c>
      <c r="F34" s="14"/>
      <c r="G34" s="13"/>
      <c r="I34" s="16"/>
      <c r="J34" s="15" t="s">
        <v>7</v>
      </c>
      <c r="K34" s="12">
        <v>33</v>
      </c>
      <c r="L34" s="14">
        <v>513999.99999994005</v>
      </c>
      <c r="M34" s="12">
        <f t="shared" si="36"/>
        <v>11</v>
      </c>
      <c r="N34" s="14">
        <f t="shared" si="37"/>
        <v>194190.47619048005</v>
      </c>
      <c r="O34" s="13">
        <f t="shared" si="38"/>
        <v>0.6072066706374174</v>
      </c>
      <c r="Q34" s="16"/>
      <c r="R34" s="15" t="s">
        <v>7</v>
      </c>
      <c r="S34" s="12">
        <v>10</v>
      </c>
      <c r="T34" s="14">
        <v>132857.1428571</v>
      </c>
      <c r="U34" s="12">
        <f t="shared" si="3"/>
        <v>-23</v>
      </c>
      <c r="V34" s="14">
        <f t="shared" si="4"/>
        <v>-381142.85714284005</v>
      </c>
      <c r="W34" s="13">
        <f t="shared" si="5"/>
        <v>-0.74152306837137061</v>
      </c>
      <c r="Y34" s="16"/>
      <c r="Z34" s="15" t="s">
        <v>7</v>
      </c>
      <c r="AA34" s="12">
        <v>16</v>
      </c>
      <c r="AB34" s="14">
        <v>234666.66666663002</v>
      </c>
      <c r="AC34" s="12">
        <f t="shared" si="6"/>
        <v>6</v>
      </c>
      <c r="AD34" s="14">
        <f t="shared" si="7"/>
        <v>101809.52380953002</v>
      </c>
      <c r="AE34" s="13">
        <f t="shared" si="8"/>
        <v>0.76630824372789252</v>
      </c>
      <c r="AG34" s="16"/>
      <c r="AH34" s="15" t="s">
        <v>7</v>
      </c>
      <c r="AI34" s="12">
        <v>22</v>
      </c>
      <c r="AJ34" s="14">
        <v>295047.61904757004</v>
      </c>
      <c r="AK34" s="12">
        <f t="shared" si="9"/>
        <v>6</v>
      </c>
      <c r="AL34" s="14">
        <f t="shared" si="10"/>
        <v>60380.952380940027</v>
      </c>
      <c r="AM34" s="13">
        <f t="shared" si="11"/>
        <v>0.25730519480518232</v>
      </c>
      <c r="AO34" s="16"/>
      <c r="AP34" s="15" t="s">
        <v>7</v>
      </c>
      <c r="AQ34" s="12">
        <v>22</v>
      </c>
      <c r="AR34" s="14">
        <v>326476.19047613</v>
      </c>
      <c r="AS34" s="12">
        <f t="shared" si="12"/>
        <v>0</v>
      </c>
      <c r="AT34" s="14">
        <f t="shared" si="13"/>
        <v>31428.571428559953</v>
      </c>
      <c r="AU34" s="13">
        <f t="shared" si="14"/>
        <v>0.10652033570043071</v>
      </c>
      <c r="AW34" s="16"/>
      <c r="AX34" s="15" t="s">
        <v>7</v>
      </c>
      <c r="AY34" s="12">
        <v>28</v>
      </c>
      <c r="AZ34" s="14">
        <v>378285.71428567002</v>
      </c>
      <c r="BA34" s="12">
        <f t="shared" si="15"/>
        <v>6</v>
      </c>
      <c r="BB34" s="14">
        <f t="shared" si="16"/>
        <v>51809.523809540027</v>
      </c>
      <c r="BC34" s="13">
        <f t="shared" si="17"/>
        <v>0.1586931155193323</v>
      </c>
      <c r="BE34" s="16"/>
      <c r="BF34" s="15" t="s">
        <v>7</v>
      </c>
      <c r="BG34" s="12">
        <v>23</v>
      </c>
      <c r="BH34" s="14">
        <v>256857.14285710003</v>
      </c>
      <c r="BI34" s="12">
        <f t="shared" si="30"/>
        <v>-5</v>
      </c>
      <c r="BJ34" s="14">
        <f t="shared" si="31"/>
        <v>-121428.57142856999</v>
      </c>
      <c r="BK34" s="13">
        <f t="shared" si="32"/>
        <v>-0.32099697885199752</v>
      </c>
      <c r="BM34" s="16"/>
      <c r="BN34" s="15" t="s">
        <v>7</v>
      </c>
      <c r="BO34" s="12">
        <v>14</v>
      </c>
      <c r="BP34" s="14">
        <v>157714.28571424002</v>
      </c>
      <c r="BQ34" s="12">
        <f t="shared" si="21"/>
        <v>-9</v>
      </c>
      <c r="BR34" s="14">
        <f t="shared" si="22"/>
        <v>-99142.857142860012</v>
      </c>
      <c r="BS34" s="13">
        <f t="shared" si="23"/>
        <v>-0.38598442714134362</v>
      </c>
    </row>
    <row r="35" spans="1:71" s="12" customFormat="1" ht="20" customHeight="1">
      <c r="A35" s="16"/>
      <c r="B35" s="15" t="s">
        <v>6</v>
      </c>
      <c r="C35" s="12">
        <v>6</v>
      </c>
      <c r="D35" s="14">
        <v>17551.428571409997</v>
      </c>
      <c r="F35" s="14"/>
      <c r="G35" s="13"/>
      <c r="I35" s="16"/>
      <c r="J35" s="15" t="s">
        <v>6</v>
      </c>
      <c r="K35" s="12">
        <v>0</v>
      </c>
      <c r="L35" s="14">
        <v>0</v>
      </c>
      <c r="M35" s="12">
        <f t="shared" si="36"/>
        <v>-6</v>
      </c>
      <c r="N35" s="14">
        <f t="shared" si="37"/>
        <v>-17551.428571409997</v>
      </c>
      <c r="O35" s="13">
        <f t="shared" si="38"/>
        <v>-1</v>
      </c>
      <c r="Q35" s="16"/>
      <c r="R35" s="15" t="s">
        <v>6</v>
      </c>
      <c r="S35" s="12">
        <v>0</v>
      </c>
      <c r="T35" s="14">
        <v>0</v>
      </c>
      <c r="U35" s="12">
        <f t="shared" si="3"/>
        <v>0</v>
      </c>
      <c r="V35" s="14">
        <f t="shared" si="4"/>
        <v>0</v>
      </c>
      <c r="W35" s="13" t="e">
        <f t="shared" si="5"/>
        <v>#DIV/0!</v>
      </c>
      <c r="Y35" s="16"/>
      <c r="Z35" s="15" t="s">
        <v>6</v>
      </c>
      <c r="AA35" s="12">
        <v>0</v>
      </c>
      <c r="AB35" s="14">
        <v>0</v>
      </c>
      <c r="AC35" s="12">
        <f t="shared" si="6"/>
        <v>0</v>
      </c>
      <c r="AD35" s="14">
        <f t="shared" si="7"/>
        <v>0</v>
      </c>
      <c r="AE35" s="13" t="e">
        <f t="shared" si="8"/>
        <v>#DIV/0!</v>
      </c>
      <c r="AG35" s="16"/>
      <c r="AH35" s="15" t="s">
        <v>6</v>
      </c>
      <c r="AJ35" s="14"/>
      <c r="AK35" s="12">
        <f t="shared" si="9"/>
        <v>0</v>
      </c>
      <c r="AL35" s="14">
        <f t="shared" si="10"/>
        <v>0</v>
      </c>
      <c r="AM35" s="13" t="e">
        <f t="shared" si="11"/>
        <v>#DIV/0!</v>
      </c>
      <c r="AO35" s="16"/>
      <c r="AP35" s="15" t="s">
        <v>6</v>
      </c>
      <c r="AQ35" s="12">
        <v>3</v>
      </c>
      <c r="AR35" s="14">
        <v>12283.809523799999</v>
      </c>
      <c r="AS35" s="12">
        <f t="shared" si="12"/>
        <v>3</v>
      </c>
      <c r="AT35" s="14">
        <f t="shared" si="13"/>
        <v>12283.809523799999</v>
      </c>
      <c r="AU35" s="13" t="e">
        <f t="shared" si="14"/>
        <v>#DIV/0!</v>
      </c>
      <c r="AW35" s="16"/>
      <c r="AX35" s="15" t="s">
        <v>6</v>
      </c>
      <c r="AY35" s="12">
        <v>1</v>
      </c>
      <c r="AZ35" s="14">
        <v>2857.1428571400002</v>
      </c>
      <c r="BA35" s="12">
        <f t="shared" si="15"/>
        <v>-2</v>
      </c>
      <c r="BB35" s="14">
        <f t="shared" si="16"/>
        <v>-9426.6666666599995</v>
      </c>
      <c r="BC35" s="13">
        <f t="shared" si="17"/>
        <v>-0.7674057993487885</v>
      </c>
      <c r="BE35" s="16"/>
      <c r="BF35" s="15" t="s">
        <v>6</v>
      </c>
      <c r="BG35" s="12">
        <v>1</v>
      </c>
      <c r="BH35" s="14">
        <v>4713.3333333299997</v>
      </c>
      <c r="BI35" s="12">
        <f t="shared" si="30"/>
        <v>0</v>
      </c>
      <c r="BJ35" s="14">
        <f t="shared" si="31"/>
        <v>1856.1904761899996</v>
      </c>
      <c r="BK35" s="13">
        <f t="shared" si="32"/>
        <v>0.64966666666714945</v>
      </c>
      <c r="BM35" s="16"/>
      <c r="BN35" s="15" t="s">
        <v>6</v>
      </c>
      <c r="BO35" s="12">
        <v>0</v>
      </c>
      <c r="BP35" s="14">
        <v>0</v>
      </c>
      <c r="BQ35" s="12">
        <f t="shared" si="21"/>
        <v>-1</v>
      </c>
      <c r="BR35" s="14">
        <f t="shared" si="22"/>
        <v>-4713.3333333299997</v>
      </c>
      <c r="BS35" s="13">
        <f t="shared" si="23"/>
        <v>-1</v>
      </c>
    </row>
    <row r="36" spans="1:71" s="12" customFormat="1" ht="20" customHeight="1">
      <c r="A36" s="16"/>
      <c r="B36" s="15" t="s">
        <v>5</v>
      </c>
      <c r="C36" s="12">
        <v>4</v>
      </c>
      <c r="D36" s="14">
        <v>9060</v>
      </c>
      <c r="F36" s="14"/>
      <c r="G36" s="13"/>
      <c r="I36" s="16"/>
      <c r="J36" s="15" t="s">
        <v>5</v>
      </c>
      <c r="K36" s="12">
        <v>6</v>
      </c>
      <c r="L36" s="14">
        <v>33040</v>
      </c>
      <c r="M36" s="12">
        <f t="shared" si="36"/>
        <v>2</v>
      </c>
      <c r="N36" s="14">
        <f t="shared" si="37"/>
        <v>23980</v>
      </c>
      <c r="O36" s="13">
        <f t="shared" si="38"/>
        <v>2.6467991169977925</v>
      </c>
      <c r="Q36" s="16"/>
      <c r="R36" s="15" t="s">
        <v>5</v>
      </c>
      <c r="S36" s="12">
        <v>0</v>
      </c>
      <c r="T36" s="14">
        <v>0</v>
      </c>
      <c r="U36" s="12">
        <f t="shared" si="3"/>
        <v>-6</v>
      </c>
      <c r="V36" s="14">
        <f t="shared" si="4"/>
        <v>-33040</v>
      </c>
      <c r="W36" s="13">
        <f t="shared" si="5"/>
        <v>-1</v>
      </c>
      <c r="Y36" s="16"/>
      <c r="Z36" s="15" t="s">
        <v>5</v>
      </c>
      <c r="AA36" s="12">
        <v>4</v>
      </c>
      <c r="AB36" s="14">
        <v>21760</v>
      </c>
      <c r="AC36" s="12">
        <f t="shared" si="6"/>
        <v>4</v>
      </c>
      <c r="AD36" s="14">
        <f t="shared" si="7"/>
        <v>21760</v>
      </c>
      <c r="AE36" s="13" t="e">
        <f t="shared" si="8"/>
        <v>#DIV/0!</v>
      </c>
      <c r="AG36" s="16"/>
      <c r="AH36" s="15" t="s">
        <v>5</v>
      </c>
      <c r="AI36" s="12">
        <v>3</v>
      </c>
      <c r="AJ36" s="14">
        <v>7770</v>
      </c>
      <c r="AK36" s="12">
        <f t="shared" si="9"/>
        <v>-1</v>
      </c>
      <c r="AL36" s="14">
        <f t="shared" si="10"/>
        <v>-13990</v>
      </c>
      <c r="AM36" s="13">
        <f t="shared" si="11"/>
        <v>-0.64292279411764708</v>
      </c>
      <c r="AO36" s="16"/>
      <c r="AP36" s="15" t="s">
        <v>5</v>
      </c>
      <c r="AQ36" s="12">
        <v>3</v>
      </c>
      <c r="AR36" s="14">
        <v>9070</v>
      </c>
      <c r="AS36" s="12">
        <f t="shared" si="12"/>
        <v>0</v>
      </c>
      <c r="AT36" s="14">
        <f t="shared" si="13"/>
        <v>1300</v>
      </c>
      <c r="AU36" s="13">
        <f t="shared" si="14"/>
        <v>0.16731016731016732</v>
      </c>
      <c r="AW36" s="16"/>
      <c r="AX36" s="15" t="s">
        <v>5</v>
      </c>
      <c r="AY36" s="12">
        <v>1</v>
      </c>
      <c r="AZ36" s="14">
        <v>6390</v>
      </c>
      <c r="BA36" s="12">
        <f t="shared" si="15"/>
        <v>-2</v>
      </c>
      <c r="BB36" s="14">
        <f t="shared" si="16"/>
        <v>-2680</v>
      </c>
      <c r="BC36" s="13">
        <f t="shared" si="17"/>
        <v>-0.29547960308710031</v>
      </c>
      <c r="BE36" s="16"/>
      <c r="BF36" s="15" t="s">
        <v>5</v>
      </c>
      <c r="BG36" s="12">
        <v>5</v>
      </c>
      <c r="BH36" s="14">
        <v>19750</v>
      </c>
      <c r="BI36" s="12">
        <f t="shared" si="30"/>
        <v>4</v>
      </c>
      <c r="BJ36" s="14">
        <f t="shared" si="31"/>
        <v>13360</v>
      </c>
      <c r="BK36" s="13">
        <f t="shared" si="32"/>
        <v>2.0907668231611893</v>
      </c>
      <c r="BM36" s="16"/>
      <c r="BN36" s="15" t="s">
        <v>5</v>
      </c>
      <c r="BO36" s="12">
        <v>3</v>
      </c>
      <c r="BP36" s="14">
        <v>13970</v>
      </c>
      <c r="BQ36" s="12">
        <f t="shared" si="21"/>
        <v>-2</v>
      </c>
      <c r="BR36" s="14">
        <f t="shared" si="22"/>
        <v>-5780</v>
      </c>
      <c r="BS36" s="13">
        <f t="shared" si="23"/>
        <v>-0.29265822784810125</v>
      </c>
    </row>
    <row r="37" spans="1:71" s="12" customFormat="1" ht="20" customHeight="1">
      <c r="A37" s="16"/>
      <c r="B37" s="15" t="s">
        <v>4</v>
      </c>
      <c r="C37" s="12">
        <v>3</v>
      </c>
      <c r="D37" s="14">
        <v>159714.28571427002</v>
      </c>
      <c r="F37" s="14"/>
      <c r="G37" s="13"/>
      <c r="I37" s="16"/>
      <c r="J37" s="15" t="s">
        <v>4</v>
      </c>
      <c r="K37" s="12">
        <v>4</v>
      </c>
      <c r="L37" s="14">
        <v>168163.80952380001</v>
      </c>
      <c r="M37" s="12">
        <f t="shared" si="36"/>
        <v>1</v>
      </c>
      <c r="N37" s="14">
        <f t="shared" si="37"/>
        <v>8449.5238095299865</v>
      </c>
      <c r="O37" s="13">
        <f t="shared" si="38"/>
        <v>5.2903995229620498E-2</v>
      </c>
      <c r="Q37" s="16"/>
      <c r="R37" s="15" t="s">
        <v>4</v>
      </c>
      <c r="S37" s="12">
        <v>2</v>
      </c>
      <c r="T37" s="14">
        <v>73142.85714285</v>
      </c>
      <c r="U37" s="12">
        <f t="shared" si="3"/>
        <v>-2</v>
      </c>
      <c r="V37" s="14">
        <f t="shared" si="4"/>
        <v>-95020.95238095001</v>
      </c>
      <c r="W37" s="13">
        <f t="shared" si="5"/>
        <v>-0.56504995129467384</v>
      </c>
      <c r="Y37" s="16"/>
      <c r="Z37" s="15" t="s">
        <v>4</v>
      </c>
      <c r="AA37" s="12">
        <v>3</v>
      </c>
      <c r="AB37" s="14">
        <v>81619.047619040008</v>
      </c>
      <c r="AC37" s="12">
        <f t="shared" si="6"/>
        <v>1</v>
      </c>
      <c r="AD37" s="14">
        <f t="shared" si="7"/>
        <v>8476.1904761900078</v>
      </c>
      <c r="AE37" s="13">
        <f t="shared" si="8"/>
        <v>0.11588541666667158</v>
      </c>
      <c r="AG37" s="16"/>
      <c r="AH37" s="15" t="s">
        <v>4</v>
      </c>
      <c r="AJ37" s="14"/>
      <c r="AK37" s="12">
        <f t="shared" si="9"/>
        <v>-3</v>
      </c>
      <c r="AL37" s="14">
        <f t="shared" si="10"/>
        <v>-81619.047619040008</v>
      </c>
      <c r="AM37" s="13">
        <f t="shared" si="11"/>
        <v>-1</v>
      </c>
      <c r="AO37" s="16"/>
      <c r="AP37" s="15" t="s">
        <v>4</v>
      </c>
      <c r="AQ37" s="12">
        <v>3</v>
      </c>
      <c r="AR37" s="14">
        <v>91619.047619040008</v>
      </c>
      <c r="AS37" s="12">
        <f t="shared" si="12"/>
        <v>3</v>
      </c>
      <c r="AT37" s="14">
        <f t="shared" si="13"/>
        <v>91619.047619040008</v>
      </c>
      <c r="AU37" s="13" t="e">
        <f t="shared" si="14"/>
        <v>#DIV/0!</v>
      </c>
      <c r="AW37" s="16"/>
      <c r="AX37" s="15" t="s">
        <v>4</v>
      </c>
      <c r="AY37" s="12">
        <v>1</v>
      </c>
      <c r="AZ37" s="14">
        <v>28000</v>
      </c>
      <c r="BA37" s="12">
        <f t="shared" si="15"/>
        <v>-2</v>
      </c>
      <c r="BB37" s="14">
        <f t="shared" si="16"/>
        <v>-63619.047619040008</v>
      </c>
      <c r="BC37" s="13">
        <f t="shared" si="17"/>
        <v>-0.694386694386669</v>
      </c>
      <c r="BE37" s="16"/>
      <c r="BF37" s="15" t="s">
        <v>4</v>
      </c>
      <c r="BG37" s="12">
        <v>1</v>
      </c>
      <c r="BH37" s="14">
        <v>31333.33333333</v>
      </c>
      <c r="BI37" s="12">
        <f t="shared" si="30"/>
        <v>0</v>
      </c>
      <c r="BJ37" s="14">
        <f t="shared" si="31"/>
        <v>3333.3333333299997</v>
      </c>
      <c r="BK37" s="13">
        <f t="shared" si="32"/>
        <v>0.1190476190475</v>
      </c>
      <c r="BM37" s="16"/>
      <c r="BN37" s="15" t="s">
        <v>4</v>
      </c>
      <c r="BO37" s="12">
        <v>3</v>
      </c>
      <c r="BP37" s="14">
        <v>81811.428571419994</v>
      </c>
      <c r="BQ37" s="12">
        <f t="shared" si="21"/>
        <v>2</v>
      </c>
      <c r="BR37" s="14">
        <f t="shared" si="22"/>
        <v>50478.095238089998</v>
      </c>
      <c r="BS37" s="13">
        <f t="shared" si="23"/>
        <v>1.6110030395136821</v>
      </c>
    </row>
    <row r="38" spans="1:71" s="12" customFormat="1" ht="20" customHeight="1">
      <c r="A38" s="16"/>
      <c r="B38" s="15" t="s">
        <v>3</v>
      </c>
      <c r="C38" s="12">
        <v>11</v>
      </c>
      <c r="D38" s="14">
        <v>178523.80952377</v>
      </c>
      <c r="F38" s="14"/>
      <c r="G38" s="13"/>
      <c r="I38" s="16"/>
      <c r="J38" s="15" t="s">
        <v>3</v>
      </c>
      <c r="K38" s="12">
        <v>11</v>
      </c>
      <c r="L38" s="14">
        <v>224190.47619045002</v>
      </c>
      <c r="M38" s="12">
        <f t="shared" si="36"/>
        <v>0</v>
      </c>
      <c r="N38" s="14">
        <f t="shared" si="37"/>
        <v>45666.666666680016</v>
      </c>
      <c r="O38" s="13">
        <f t="shared" si="38"/>
        <v>0.25580154707935254</v>
      </c>
      <c r="Q38" s="16"/>
      <c r="R38" s="15" t="s">
        <v>3</v>
      </c>
      <c r="S38" s="12">
        <v>9</v>
      </c>
      <c r="T38" s="14">
        <v>139904.76190474001</v>
      </c>
      <c r="U38" s="12">
        <f t="shared" si="3"/>
        <v>-2</v>
      </c>
      <c r="V38" s="14">
        <f t="shared" si="4"/>
        <v>-84285.714285710012</v>
      </c>
      <c r="W38" s="13">
        <f t="shared" si="5"/>
        <v>-0.37595581988107835</v>
      </c>
      <c r="Y38" s="16"/>
      <c r="Z38" s="15" t="s">
        <v>3</v>
      </c>
      <c r="AA38" s="12">
        <v>8</v>
      </c>
      <c r="AB38" s="14">
        <v>135904.76190474001</v>
      </c>
      <c r="AC38" s="12">
        <f t="shared" si="6"/>
        <v>-1</v>
      </c>
      <c r="AD38" s="14">
        <f t="shared" si="7"/>
        <v>-4000</v>
      </c>
      <c r="AE38" s="13">
        <f t="shared" si="8"/>
        <v>-2.8590878148404747E-2</v>
      </c>
      <c r="AG38" s="16"/>
      <c r="AH38" s="15" t="s">
        <v>3</v>
      </c>
      <c r="AI38" s="12">
        <v>12</v>
      </c>
      <c r="AJ38" s="14">
        <v>180838.09523807</v>
      </c>
      <c r="AK38" s="12">
        <f t="shared" si="9"/>
        <v>4</v>
      </c>
      <c r="AL38" s="14">
        <f t="shared" si="10"/>
        <v>44933.333333329996</v>
      </c>
      <c r="AM38" s="13">
        <f t="shared" si="11"/>
        <v>0.33062368605468884</v>
      </c>
      <c r="AO38" s="16"/>
      <c r="AP38" s="15" t="s">
        <v>3</v>
      </c>
      <c r="AQ38" s="12">
        <v>13</v>
      </c>
      <c r="AR38" s="14">
        <v>161904.76190473</v>
      </c>
      <c r="AS38" s="12">
        <f t="shared" si="12"/>
        <v>1</v>
      </c>
      <c r="AT38" s="14">
        <f t="shared" si="13"/>
        <v>-18933.333333340008</v>
      </c>
      <c r="AU38" s="13">
        <f t="shared" si="14"/>
        <v>-0.104697703812986</v>
      </c>
      <c r="AW38" s="16"/>
      <c r="AX38" s="15" t="s">
        <v>3</v>
      </c>
      <c r="AY38" s="12">
        <v>20</v>
      </c>
      <c r="AZ38" s="14">
        <v>281714.28571422002</v>
      </c>
      <c r="BA38" s="12">
        <f t="shared" si="15"/>
        <v>7</v>
      </c>
      <c r="BB38" s="14">
        <f t="shared" si="16"/>
        <v>119809.52380949003</v>
      </c>
      <c r="BC38" s="13">
        <f t="shared" si="17"/>
        <v>0.73999999999993715</v>
      </c>
      <c r="BE38" s="16"/>
      <c r="BF38" s="15" t="s">
        <v>3</v>
      </c>
      <c r="BG38" s="12">
        <v>18</v>
      </c>
      <c r="BH38" s="14">
        <v>280428.57142852998</v>
      </c>
      <c r="BI38" s="12">
        <f t="shared" si="30"/>
        <v>-2</v>
      </c>
      <c r="BJ38" s="14">
        <f t="shared" si="31"/>
        <v>-1285.7142856900464</v>
      </c>
      <c r="BK38" s="13">
        <f t="shared" si="32"/>
        <v>-4.5638945232415939E-3</v>
      </c>
      <c r="BM38" s="16"/>
      <c r="BN38" s="15" t="s">
        <v>3</v>
      </c>
      <c r="BO38" s="12">
        <v>12</v>
      </c>
      <c r="BP38" s="14">
        <v>228761.90476186998</v>
      </c>
      <c r="BQ38" s="12">
        <f t="shared" si="21"/>
        <v>-6</v>
      </c>
      <c r="BR38" s="14">
        <f t="shared" si="22"/>
        <v>-51666.666666659992</v>
      </c>
      <c r="BS38" s="13">
        <f t="shared" si="23"/>
        <v>-0.18424180675836649</v>
      </c>
    </row>
    <row r="39" spans="1:71" s="12" customFormat="1" ht="20" customHeight="1">
      <c r="A39" s="16"/>
      <c r="B39" s="15" t="s">
        <v>2</v>
      </c>
      <c r="C39" s="12">
        <v>57</v>
      </c>
      <c r="D39" s="14">
        <v>2395523.8095237501</v>
      </c>
      <c r="F39" s="14"/>
      <c r="G39" s="13"/>
      <c r="I39" s="16"/>
      <c r="J39" s="15" t="s">
        <v>2</v>
      </c>
      <c r="K39" s="12">
        <v>18</v>
      </c>
      <c r="L39" s="14">
        <v>734112.38095234998</v>
      </c>
      <c r="M39" s="12">
        <f t="shared" si="36"/>
        <v>-39</v>
      </c>
      <c r="N39" s="14">
        <f t="shared" si="37"/>
        <v>-1661411.4285714002</v>
      </c>
      <c r="O39" s="13">
        <f t="shared" si="38"/>
        <v>-0.69354828449887229</v>
      </c>
      <c r="Q39" s="16"/>
      <c r="R39" s="15" t="s">
        <v>2</v>
      </c>
      <c r="S39" s="12">
        <v>27</v>
      </c>
      <c r="T39" s="14">
        <v>1029809.5238095</v>
      </c>
      <c r="U39" s="12">
        <f t="shared" si="3"/>
        <v>9</v>
      </c>
      <c r="V39" s="14">
        <f t="shared" si="4"/>
        <v>295697.14285715006</v>
      </c>
      <c r="W39" s="13">
        <f t="shared" si="5"/>
        <v>0.40279547182346631</v>
      </c>
      <c r="Y39" s="16"/>
      <c r="Z39" s="15" t="s">
        <v>2</v>
      </c>
      <c r="AA39" s="12">
        <v>46</v>
      </c>
      <c r="AB39" s="14">
        <v>1784190.4761904301</v>
      </c>
      <c r="AC39" s="12">
        <f t="shared" si="6"/>
        <v>19</v>
      </c>
      <c r="AD39" s="14">
        <f t="shared" si="7"/>
        <v>754380.95238093007</v>
      </c>
      <c r="AE39" s="13">
        <f t="shared" si="8"/>
        <v>0.73254415980763421</v>
      </c>
      <c r="AG39" s="16"/>
      <c r="AH39" s="15" t="s">
        <v>2</v>
      </c>
      <c r="AI39" s="12">
        <v>70</v>
      </c>
      <c r="AJ39" s="14">
        <v>2693361.9047618397</v>
      </c>
      <c r="AK39" s="12">
        <f t="shared" si="9"/>
        <v>24</v>
      </c>
      <c r="AL39" s="14">
        <f t="shared" si="10"/>
        <v>909171.42857140955</v>
      </c>
      <c r="AM39" s="13">
        <f t="shared" si="11"/>
        <v>0.50957083377815982</v>
      </c>
      <c r="AO39" s="16"/>
      <c r="AP39" s="15" t="s">
        <v>2</v>
      </c>
      <c r="AQ39" s="12">
        <v>83</v>
      </c>
      <c r="AR39" s="14">
        <v>3168285.7142856903</v>
      </c>
      <c r="AS39" s="12">
        <f t="shared" si="12"/>
        <v>13</v>
      </c>
      <c r="AT39" s="14">
        <f t="shared" si="13"/>
        <v>474923.80952385068</v>
      </c>
      <c r="AU39" s="13">
        <f t="shared" si="14"/>
        <v>0.17633122703792226</v>
      </c>
      <c r="AW39" s="16"/>
      <c r="AX39" s="15" t="s">
        <v>2</v>
      </c>
      <c r="AY39" s="12">
        <v>50</v>
      </c>
      <c r="AZ39" s="14">
        <v>1803809.52380948</v>
      </c>
      <c r="BA39" s="12">
        <f t="shared" si="15"/>
        <v>-33</v>
      </c>
      <c r="BB39" s="14">
        <f t="shared" si="16"/>
        <v>-1364476.1904762103</v>
      </c>
      <c r="BC39" s="13">
        <f t="shared" si="17"/>
        <v>-0.43066702738450469</v>
      </c>
      <c r="BE39" s="16"/>
      <c r="BF39" s="15" t="s">
        <v>2</v>
      </c>
      <c r="BG39" s="12">
        <v>76</v>
      </c>
      <c r="BH39" s="14">
        <v>2722285.7142856703</v>
      </c>
      <c r="BI39" s="12">
        <f t="shared" si="30"/>
        <v>26</v>
      </c>
      <c r="BJ39" s="14">
        <f t="shared" si="31"/>
        <v>918476.1904761903</v>
      </c>
      <c r="BK39" s="13">
        <f t="shared" si="32"/>
        <v>0.50918690601901961</v>
      </c>
      <c r="BM39" s="16"/>
      <c r="BN39" s="15" t="s">
        <v>2</v>
      </c>
      <c r="BO39" s="12">
        <v>32</v>
      </c>
      <c r="BP39" s="14">
        <v>1245523.8095237799</v>
      </c>
      <c r="BQ39" s="12">
        <f t="shared" si="21"/>
        <v>-44</v>
      </c>
      <c r="BR39" s="14">
        <f t="shared" si="22"/>
        <v>-1476761.9047618904</v>
      </c>
      <c r="BS39" s="13">
        <f t="shared" si="23"/>
        <v>-0.54247131262244963</v>
      </c>
    </row>
    <row r="40" spans="1:71" s="1" customFormat="1" ht="20" customHeight="1">
      <c r="A40" s="11" t="s">
        <v>12</v>
      </c>
      <c r="B40" s="11"/>
      <c r="C40" s="10">
        <v>349</v>
      </c>
      <c r="D40" s="9">
        <v>3382117.1428563301</v>
      </c>
      <c r="E40" s="29"/>
      <c r="F40" s="30"/>
      <c r="G40" s="31"/>
      <c r="I40" s="11" t="s">
        <v>12</v>
      </c>
      <c r="J40" s="11"/>
      <c r="K40" s="10">
        <v>395</v>
      </c>
      <c r="L40" s="9">
        <v>2152529.52380851</v>
      </c>
      <c r="M40" s="10">
        <f t="shared" si="27"/>
        <v>46</v>
      </c>
      <c r="N40" s="9">
        <f t="shared" si="28"/>
        <v>-1229587.6190478201</v>
      </c>
      <c r="O40" s="8">
        <f t="shared" si="29"/>
        <v>-0.36355559760694311</v>
      </c>
      <c r="Q40" s="11" t="s">
        <v>12</v>
      </c>
      <c r="R40" s="11"/>
      <c r="S40" s="10">
        <v>257</v>
      </c>
      <c r="T40" s="9">
        <v>1659977.1428564901</v>
      </c>
      <c r="U40" s="10">
        <f t="shared" si="3"/>
        <v>-138</v>
      </c>
      <c r="V40" s="9">
        <f t="shared" si="4"/>
        <v>-492552.38095201994</v>
      </c>
      <c r="W40" s="8">
        <f t="shared" si="5"/>
        <v>-0.22882491297054916</v>
      </c>
      <c r="Y40" s="11" t="s">
        <v>12</v>
      </c>
      <c r="Z40" s="11"/>
      <c r="AA40" s="10">
        <v>307</v>
      </c>
      <c r="AB40" s="9">
        <v>2516759.04761837</v>
      </c>
      <c r="AC40" s="10">
        <f t="shared" si="6"/>
        <v>50</v>
      </c>
      <c r="AD40" s="9">
        <f t="shared" si="7"/>
        <v>856781.90476187994</v>
      </c>
      <c r="AE40" s="8">
        <f t="shared" si="8"/>
        <v>0.51614078449750755</v>
      </c>
      <c r="AG40" s="11" t="s">
        <v>12</v>
      </c>
      <c r="AH40" s="11"/>
      <c r="AI40" s="10">
        <v>297</v>
      </c>
      <c r="AJ40" s="9">
        <v>3451949.9999993695</v>
      </c>
      <c r="AK40" s="10">
        <f t="shared" si="9"/>
        <v>-10</v>
      </c>
      <c r="AL40" s="9">
        <f t="shared" si="10"/>
        <v>935190.95238099946</v>
      </c>
      <c r="AM40" s="8">
        <f t="shared" si="11"/>
        <v>0.3715854138941026</v>
      </c>
      <c r="AO40" s="11" t="s">
        <v>12</v>
      </c>
      <c r="AP40" s="11"/>
      <c r="AQ40" s="10">
        <v>413</v>
      </c>
      <c r="AR40" s="9">
        <v>4098468.0952372905</v>
      </c>
      <c r="AS40" s="10">
        <f t="shared" si="12"/>
        <v>116</v>
      </c>
      <c r="AT40" s="9">
        <f t="shared" si="13"/>
        <v>646518.09523792099</v>
      </c>
      <c r="AU40" s="8">
        <f t="shared" si="14"/>
        <v>0.18729068938948684</v>
      </c>
      <c r="AW40" s="11" t="s">
        <v>12</v>
      </c>
      <c r="AX40" s="11"/>
      <c r="AY40" s="10">
        <v>349</v>
      </c>
      <c r="AZ40" s="9">
        <v>2787148.0952373398</v>
      </c>
      <c r="BA40" s="10">
        <f t="shared" si="15"/>
        <v>-64</v>
      </c>
      <c r="BB40" s="9">
        <f t="shared" si="16"/>
        <v>-1311319.9999999506</v>
      </c>
      <c r="BC40" s="8">
        <f t="shared" si="17"/>
        <v>-0.31995369233782672</v>
      </c>
      <c r="BE40" s="11" t="s">
        <v>12</v>
      </c>
      <c r="BF40" s="11"/>
      <c r="BG40" s="10">
        <v>419</v>
      </c>
      <c r="BH40" s="9">
        <v>3796799.5238087103</v>
      </c>
      <c r="BI40" s="29">
        <f t="shared" si="30"/>
        <v>70</v>
      </c>
      <c r="BJ40" s="30">
        <f t="shared" si="31"/>
        <v>1009651.4285713704</v>
      </c>
      <c r="BK40" s="31">
        <f t="shared" si="32"/>
        <v>0.36225252267601282</v>
      </c>
      <c r="BM40" s="11" t="s">
        <v>12</v>
      </c>
      <c r="BN40" s="11"/>
      <c r="BO40" s="10">
        <v>341</v>
      </c>
      <c r="BP40" s="9">
        <v>2289132.8571420899</v>
      </c>
      <c r="BQ40" s="29">
        <f t="shared" si="21"/>
        <v>-78</v>
      </c>
      <c r="BR40" s="30">
        <f t="shared" si="22"/>
        <v>-1507666.6666666204</v>
      </c>
      <c r="BS40" s="31">
        <f t="shared" si="23"/>
        <v>-0.39708882631607162</v>
      </c>
    </row>
    <row r="41" spans="1:71" s="1" customFormat="1" ht="20" customHeight="1">
      <c r="A41" s="16">
        <v>81</v>
      </c>
      <c r="B41" s="35" t="s">
        <v>32</v>
      </c>
      <c r="C41" s="1">
        <v>4237</v>
      </c>
      <c r="D41" s="38"/>
      <c r="E41" s="12"/>
      <c r="F41" s="14"/>
      <c r="G41" s="39"/>
      <c r="I41" s="16">
        <v>81</v>
      </c>
      <c r="J41" s="35" t="s">
        <v>32</v>
      </c>
      <c r="K41" s="1">
        <v>3976</v>
      </c>
      <c r="L41" s="38"/>
      <c r="M41" s="12">
        <f t="shared" si="27"/>
        <v>-261</v>
      </c>
      <c r="N41" s="14">
        <f t="shared" si="28"/>
        <v>0</v>
      </c>
      <c r="O41" s="13" t="e">
        <f t="shared" si="29"/>
        <v>#DIV/0!</v>
      </c>
      <c r="Q41" s="16">
        <v>81</v>
      </c>
      <c r="R41" s="35" t="s">
        <v>32</v>
      </c>
      <c r="S41" s="1">
        <v>2338</v>
      </c>
      <c r="T41" s="38"/>
      <c r="U41" s="12">
        <f t="shared" si="3"/>
        <v>-1638</v>
      </c>
      <c r="V41" s="14">
        <f t="shared" si="4"/>
        <v>0</v>
      </c>
      <c r="W41" s="13" t="e">
        <f t="shared" si="5"/>
        <v>#DIV/0!</v>
      </c>
      <c r="Y41" s="16">
        <v>81</v>
      </c>
      <c r="Z41" s="35" t="s">
        <v>32</v>
      </c>
      <c r="AA41" s="1">
        <v>2431</v>
      </c>
      <c r="AB41" s="38"/>
      <c r="AC41" s="12">
        <f t="shared" si="6"/>
        <v>93</v>
      </c>
      <c r="AD41" s="14">
        <f t="shared" si="7"/>
        <v>0</v>
      </c>
      <c r="AE41" s="13" t="e">
        <f t="shared" si="8"/>
        <v>#DIV/0!</v>
      </c>
      <c r="AG41" s="16">
        <v>81</v>
      </c>
      <c r="AH41" s="35" t="s">
        <v>32</v>
      </c>
      <c r="AI41" s="1">
        <v>1928</v>
      </c>
      <c r="AJ41" s="38"/>
      <c r="AK41" s="12">
        <f t="shared" si="9"/>
        <v>-503</v>
      </c>
      <c r="AL41" s="14">
        <f t="shared" si="10"/>
        <v>0</v>
      </c>
      <c r="AM41" s="13" t="e">
        <f t="shared" si="11"/>
        <v>#DIV/0!</v>
      </c>
      <c r="AO41" s="16">
        <v>81</v>
      </c>
      <c r="AP41" s="35" t="s">
        <v>32</v>
      </c>
      <c r="AQ41" s="1">
        <v>1726</v>
      </c>
      <c r="AR41" s="38"/>
      <c r="AS41" s="12">
        <f t="shared" si="12"/>
        <v>-202</v>
      </c>
      <c r="AT41" s="14">
        <f t="shared" si="13"/>
        <v>0</v>
      </c>
      <c r="AU41" s="13" t="e">
        <f t="shared" si="14"/>
        <v>#DIV/0!</v>
      </c>
      <c r="AW41" s="16">
        <v>81</v>
      </c>
      <c r="AX41" s="35" t="s">
        <v>32</v>
      </c>
      <c r="AY41" s="1">
        <v>1947</v>
      </c>
      <c r="AZ41" s="38"/>
      <c r="BA41" s="12">
        <f t="shared" si="15"/>
        <v>221</v>
      </c>
      <c r="BB41" s="14">
        <f t="shared" si="16"/>
        <v>0</v>
      </c>
      <c r="BC41" s="13" t="e">
        <f t="shared" si="17"/>
        <v>#DIV/0!</v>
      </c>
      <c r="BE41" s="16">
        <v>81</v>
      </c>
      <c r="BF41" s="35" t="s">
        <v>32</v>
      </c>
      <c r="BG41" s="17">
        <v>1737</v>
      </c>
      <c r="BH41" s="36"/>
      <c r="BI41" s="12">
        <f t="shared" si="30"/>
        <v>-210</v>
      </c>
      <c r="BJ41" s="14">
        <f t="shared" si="31"/>
        <v>0</v>
      </c>
      <c r="BK41" s="13" t="e">
        <f t="shared" si="32"/>
        <v>#DIV/0!</v>
      </c>
      <c r="BM41" s="16">
        <v>81</v>
      </c>
      <c r="BN41" s="35" t="s">
        <v>32</v>
      </c>
      <c r="BO41" s="17">
        <v>1673</v>
      </c>
      <c r="BP41" s="36"/>
      <c r="BQ41" s="12">
        <f t="shared" si="21"/>
        <v>-64</v>
      </c>
      <c r="BR41" s="14">
        <f t="shared" si="22"/>
        <v>0</v>
      </c>
      <c r="BS41" s="13" t="e">
        <f t="shared" si="23"/>
        <v>#DIV/0!</v>
      </c>
    </row>
    <row r="42" spans="1:71" s="1" customFormat="1" ht="20" customHeight="1">
      <c r="A42" s="16"/>
      <c r="B42" s="35" t="s">
        <v>33</v>
      </c>
      <c r="C42" s="1">
        <v>16</v>
      </c>
      <c r="D42" s="38"/>
      <c r="E42" s="12"/>
      <c r="F42" s="14"/>
      <c r="G42" s="39"/>
      <c r="I42" s="16"/>
      <c r="J42" s="35" t="s">
        <v>33</v>
      </c>
      <c r="K42" s="1">
        <v>7</v>
      </c>
      <c r="L42" s="38"/>
      <c r="M42" s="12">
        <f t="shared" si="27"/>
        <v>-9</v>
      </c>
      <c r="N42" s="14">
        <f t="shared" si="28"/>
        <v>0</v>
      </c>
      <c r="O42" s="13" t="e">
        <f t="shared" si="29"/>
        <v>#DIV/0!</v>
      </c>
      <c r="Q42" s="16"/>
      <c r="R42" s="35" t="s">
        <v>33</v>
      </c>
      <c r="S42" s="1">
        <v>7</v>
      </c>
      <c r="T42" s="38"/>
      <c r="U42" s="12">
        <f t="shared" si="3"/>
        <v>0</v>
      </c>
      <c r="V42" s="14">
        <f t="shared" si="4"/>
        <v>0</v>
      </c>
      <c r="W42" s="13" t="e">
        <f t="shared" si="5"/>
        <v>#DIV/0!</v>
      </c>
      <c r="Y42" s="16"/>
      <c r="Z42" s="35" t="s">
        <v>33</v>
      </c>
      <c r="AA42" s="1">
        <v>11</v>
      </c>
      <c r="AB42" s="38"/>
      <c r="AC42" s="12">
        <f t="shared" si="6"/>
        <v>4</v>
      </c>
      <c r="AD42" s="14">
        <f t="shared" si="7"/>
        <v>0</v>
      </c>
      <c r="AE42" s="13" t="e">
        <f t="shared" si="8"/>
        <v>#DIV/0!</v>
      </c>
      <c r="AG42" s="16"/>
      <c r="AH42" s="35" t="s">
        <v>33</v>
      </c>
      <c r="AI42" s="1">
        <v>17</v>
      </c>
      <c r="AJ42" s="38"/>
      <c r="AK42" s="12">
        <f t="shared" si="9"/>
        <v>6</v>
      </c>
      <c r="AL42" s="14">
        <f t="shared" si="10"/>
        <v>0</v>
      </c>
      <c r="AM42" s="13" t="e">
        <f t="shared" si="11"/>
        <v>#DIV/0!</v>
      </c>
      <c r="AO42" s="16"/>
      <c r="AP42" s="35" t="s">
        <v>33</v>
      </c>
      <c r="AQ42" s="1">
        <v>8</v>
      </c>
      <c r="AR42" s="38"/>
      <c r="AS42" s="12">
        <f t="shared" si="12"/>
        <v>-9</v>
      </c>
      <c r="AT42" s="14">
        <f t="shared" si="13"/>
        <v>0</v>
      </c>
      <c r="AU42" s="13" t="e">
        <f t="shared" si="14"/>
        <v>#DIV/0!</v>
      </c>
      <c r="AW42" s="16"/>
      <c r="AX42" s="35" t="s">
        <v>33</v>
      </c>
      <c r="AY42" s="1">
        <v>10</v>
      </c>
      <c r="AZ42" s="38"/>
      <c r="BA42" s="12">
        <f t="shared" si="15"/>
        <v>2</v>
      </c>
      <c r="BB42" s="14">
        <f t="shared" si="16"/>
        <v>0</v>
      </c>
      <c r="BC42" s="13" t="e">
        <f t="shared" si="17"/>
        <v>#DIV/0!</v>
      </c>
      <c r="BE42" s="16"/>
      <c r="BF42" s="35" t="s">
        <v>33</v>
      </c>
      <c r="BG42" s="17">
        <v>13</v>
      </c>
      <c r="BH42" s="36"/>
      <c r="BI42" s="12">
        <f t="shared" si="30"/>
        <v>3</v>
      </c>
      <c r="BJ42" s="14">
        <f t="shared" si="31"/>
        <v>0</v>
      </c>
      <c r="BK42" s="13" t="e">
        <f t="shared" si="32"/>
        <v>#DIV/0!</v>
      </c>
      <c r="BM42" s="16"/>
      <c r="BN42" s="35" t="s">
        <v>33</v>
      </c>
      <c r="BO42" s="17">
        <v>2</v>
      </c>
      <c r="BP42" s="36"/>
      <c r="BQ42" s="12">
        <f t="shared" si="21"/>
        <v>-11</v>
      </c>
      <c r="BR42" s="14">
        <f t="shared" si="22"/>
        <v>0</v>
      </c>
      <c r="BS42" s="13" t="e">
        <f t="shared" si="23"/>
        <v>#DIV/0!</v>
      </c>
    </row>
    <row r="43" spans="1:71" s="12" customFormat="1" ht="20" customHeight="1">
      <c r="A43" s="16"/>
      <c r="B43" s="15" t="s">
        <v>10</v>
      </c>
      <c r="C43" s="12">
        <v>114</v>
      </c>
      <c r="D43" s="14">
        <v>103416.19047571998</v>
      </c>
      <c r="F43" s="14"/>
      <c r="G43" s="13"/>
      <c r="I43" s="16"/>
      <c r="J43" s="15" t="s">
        <v>10</v>
      </c>
      <c r="K43" s="12">
        <v>146</v>
      </c>
      <c r="L43" s="14">
        <v>140190.47618992999</v>
      </c>
      <c r="M43" s="12">
        <f t="shared" ref="M43:M51" si="39">K43-C43</f>
        <v>32</v>
      </c>
      <c r="N43" s="14">
        <f t="shared" ref="N43:N51" si="40">L43-D43</f>
        <v>36774.285714210011</v>
      </c>
      <c r="O43" s="13">
        <f t="shared" ref="O43:O51" si="41">(L43-D43)/D43</f>
        <v>0.35559505281567944</v>
      </c>
      <c r="Q43" s="16"/>
      <c r="R43" s="15" t="s">
        <v>10</v>
      </c>
      <c r="S43" s="12">
        <v>94</v>
      </c>
      <c r="T43" s="14">
        <v>87259.999999710024</v>
      </c>
      <c r="U43" s="12">
        <f t="shared" si="3"/>
        <v>-52</v>
      </c>
      <c r="V43" s="14">
        <f t="shared" si="4"/>
        <v>-52930.476190219968</v>
      </c>
      <c r="W43" s="13">
        <f t="shared" si="5"/>
        <v>-0.37756114130399115</v>
      </c>
      <c r="Y43" s="16"/>
      <c r="Z43" s="15" t="s">
        <v>10</v>
      </c>
      <c r="AA43" s="12">
        <v>178</v>
      </c>
      <c r="AB43" s="14">
        <v>153067.61904700991</v>
      </c>
      <c r="AC43" s="12">
        <f t="shared" si="6"/>
        <v>84</v>
      </c>
      <c r="AD43" s="14">
        <f t="shared" si="7"/>
        <v>65807.619047299886</v>
      </c>
      <c r="AE43" s="13">
        <f t="shared" si="8"/>
        <v>0.75415561594680924</v>
      </c>
      <c r="AG43" s="16"/>
      <c r="AH43" s="15" t="s">
        <v>10</v>
      </c>
      <c r="AI43" s="12">
        <v>150</v>
      </c>
      <c r="AJ43" s="14">
        <v>123528.57142812997</v>
      </c>
      <c r="AK43" s="12">
        <f t="shared" si="9"/>
        <v>-28</v>
      </c>
      <c r="AL43" s="14">
        <f t="shared" si="10"/>
        <v>-29539.047618879937</v>
      </c>
      <c r="AM43" s="13">
        <f t="shared" si="11"/>
        <v>-0.19298038215259589</v>
      </c>
      <c r="AO43" s="16"/>
      <c r="AP43" s="15" t="s">
        <v>10</v>
      </c>
      <c r="AQ43" s="12">
        <v>180</v>
      </c>
      <c r="AR43" s="14">
        <v>163674.28571369997</v>
      </c>
      <c r="AS43" s="12">
        <f t="shared" si="12"/>
        <v>30</v>
      </c>
      <c r="AT43" s="14">
        <f t="shared" si="13"/>
        <v>40145.714285569993</v>
      </c>
      <c r="AU43" s="13">
        <f t="shared" si="14"/>
        <v>0.324991326471602</v>
      </c>
      <c r="AW43" s="16"/>
      <c r="AX43" s="15" t="s">
        <v>10</v>
      </c>
      <c r="AY43" s="12">
        <v>147</v>
      </c>
      <c r="AZ43" s="14">
        <v>125936.19047562999</v>
      </c>
      <c r="BA43" s="12">
        <f t="shared" si="15"/>
        <v>-33</v>
      </c>
      <c r="BB43" s="14">
        <f t="shared" si="16"/>
        <v>-37738.095238069975</v>
      </c>
      <c r="BC43" s="13">
        <f t="shared" si="17"/>
        <v>-0.23056825984309884</v>
      </c>
      <c r="BE43" s="16"/>
      <c r="BF43" s="15" t="s">
        <v>10</v>
      </c>
      <c r="BG43" s="12">
        <v>161</v>
      </c>
      <c r="BH43" s="14">
        <v>127592.38095183</v>
      </c>
      <c r="BI43" s="12">
        <f t="shared" si="30"/>
        <v>14</v>
      </c>
      <c r="BJ43" s="14">
        <f t="shared" si="31"/>
        <v>1656.1904762000049</v>
      </c>
      <c r="BK43" s="13">
        <f t="shared" si="32"/>
        <v>1.3151028865848499E-2</v>
      </c>
      <c r="BM43" s="16"/>
      <c r="BN43" s="15" t="s">
        <v>10</v>
      </c>
      <c r="BO43" s="12">
        <v>135</v>
      </c>
      <c r="BP43" s="14">
        <v>108962.85714237997</v>
      </c>
      <c r="BQ43" s="12">
        <f t="shared" si="21"/>
        <v>-26</v>
      </c>
      <c r="BR43" s="14">
        <f t="shared" si="22"/>
        <v>-18629.523809450024</v>
      </c>
      <c r="BS43" s="13">
        <f t="shared" si="23"/>
        <v>-0.14600812109998351</v>
      </c>
    </row>
    <row r="44" spans="1:71" s="12" customFormat="1" ht="20" customHeight="1">
      <c r="A44" s="16"/>
      <c r="B44" s="15" t="s">
        <v>9</v>
      </c>
      <c r="C44" s="12">
        <v>75</v>
      </c>
      <c r="D44" s="14">
        <v>70438.09523798</v>
      </c>
      <c r="F44" s="14"/>
      <c r="G44" s="13"/>
      <c r="I44" s="16"/>
      <c r="J44" s="15" t="s">
        <v>9</v>
      </c>
      <c r="K44" s="12">
        <v>101</v>
      </c>
      <c r="L44" s="14">
        <v>84724.761904650004</v>
      </c>
      <c r="M44" s="12">
        <f t="shared" si="39"/>
        <v>26</v>
      </c>
      <c r="N44" s="14">
        <f t="shared" si="40"/>
        <v>14286.666666670004</v>
      </c>
      <c r="O44" s="13">
        <f t="shared" si="41"/>
        <v>0.20282585181216936</v>
      </c>
      <c r="Q44" s="16"/>
      <c r="R44" s="15" t="s">
        <v>9</v>
      </c>
      <c r="S44" s="12">
        <v>90</v>
      </c>
      <c r="T44" s="14">
        <v>80380.95238088</v>
      </c>
      <c r="U44" s="12">
        <f t="shared" si="3"/>
        <v>-11</v>
      </c>
      <c r="V44" s="14">
        <f t="shared" si="4"/>
        <v>-4343.8095237700036</v>
      </c>
      <c r="W44" s="13">
        <f t="shared" si="5"/>
        <v>-5.1269657489962206E-2</v>
      </c>
      <c r="Y44" s="16"/>
      <c r="Z44" s="15" t="s">
        <v>9</v>
      </c>
      <c r="AA44" s="12">
        <v>98</v>
      </c>
      <c r="AB44" s="14">
        <v>83849.523809420003</v>
      </c>
      <c r="AC44" s="12">
        <f t="shared" si="6"/>
        <v>8</v>
      </c>
      <c r="AD44" s="14">
        <f t="shared" si="7"/>
        <v>3468.5714285400027</v>
      </c>
      <c r="AE44" s="13">
        <f t="shared" si="8"/>
        <v>4.3151658767420407E-2</v>
      </c>
      <c r="AG44" s="16"/>
      <c r="AH44" s="15" t="s">
        <v>9</v>
      </c>
      <c r="AI44" s="12">
        <v>74</v>
      </c>
      <c r="AJ44" s="14">
        <v>59010.476190410001</v>
      </c>
      <c r="AK44" s="12">
        <f t="shared" si="9"/>
        <v>-24</v>
      </c>
      <c r="AL44" s="14">
        <f t="shared" si="10"/>
        <v>-24839.047619010002</v>
      </c>
      <c r="AM44" s="13">
        <f t="shared" si="11"/>
        <v>-0.29623361577420765</v>
      </c>
      <c r="AO44" s="16"/>
      <c r="AP44" s="15" t="s">
        <v>9</v>
      </c>
      <c r="AQ44" s="12">
        <v>70</v>
      </c>
      <c r="AR44" s="14">
        <v>63999.999999920015</v>
      </c>
      <c r="AS44" s="12">
        <f t="shared" si="12"/>
        <v>-4</v>
      </c>
      <c r="AT44" s="14">
        <f t="shared" si="13"/>
        <v>4989.523809510014</v>
      </c>
      <c r="AU44" s="13">
        <f t="shared" si="14"/>
        <v>8.4553186681806156E-2</v>
      </c>
      <c r="AW44" s="16"/>
      <c r="AX44" s="15" t="s">
        <v>9</v>
      </c>
      <c r="AY44" s="12">
        <v>95</v>
      </c>
      <c r="AZ44" s="14">
        <v>86306.666666549994</v>
      </c>
      <c r="BA44" s="12">
        <f t="shared" si="15"/>
        <v>25</v>
      </c>
      <c r="BB44" s="14">
        <f t="shared" si="16"/>
        <v>22306.666666629979</v>
      </c>
      <c r="BC44" s="13">
        <f t="shared" si="17"/>
        <v>0.34854166666652903</v>
      </c>
      <c r="BE44" s="16"/>
      <c r="BF44" s="15" t="s">
        <v>9</v>
      </c>
      <c r="BG44" s="12">
        <v>75</v>
      </c>
      <c r="BH44" s="14">
        <v>58333.333333240007</v>
      </c>
      <c r="BI44" s="12">
        <f t="shared" si="30"/>
        <v>-20</v>
      </c>
      <c r="BJ44" s="14">
        <f t="shared" si="31"/>
        <v>-27973.333333309987</v>
      </c>
      <c r="BK44" s="13">
        <f t="shared" si="32"/>
        <v>-0.32411555692894872</v>
      </c>
      <c r="BM44" s="16"/>
      <c r="BN44" s="15" t="s">
        <v>9</v>
      </c>
      <c r="BO44" s="12">
        <v>86</v>
      </c>
      <c r="BP44" s="14">
        <v>72449.523809409991</v>
      </c>
      <c r="BQ44" s="12">
        <f t="shared" si="21"/>
        <v>11</v>
      </c>
      <c r="BR44" s="14">
        <f t="shared" si="22"/>
        <v>14116.190476169984</v>
      </c>
      <c r="BS44" s="13">
        <f t="shared" si="23"/>
        <v>0.24199183673472974</v>
      </c>
    </row>
    <row r="45" spans="1:71" s="12" customFormat="1" ht="20" customHeight="1">
      <c r="A45" s="16"/>
      <c r="B45" s="15" t="s">
        <v>8</v>
      </c>
      <c r="C45" s="12">
        <v>16</v>
      </c>
      <c r="D45" s="14">
        <v>94133.333333319999</v>
      </c>
      <c r="F45" s="14"/>
      <c r="G45" s="13"/>
      <c r="I45" s="16"/>
      <c r="J45" s="15" t="s">
        <v>8</v>
      </c>
      <c r="K45" s="12">
        <v>17</v>
      </c>
      <c r="L45" s="14">
        <v>91266.666666649995</v>
      </c>
      <c r="M45" s="12">
        <f t="shared" si="39"/>
        <v>1</v>
      </c>
      <c r="N45" s="14">
        <f t="shared" si="40"/>
        <v>-2866.6666666700039</v>
      </c>
      <c r="O45" s="13">
        <f t="shared" si="41"/>
        <v>-3.0453257790408039E-2</v>
      </c>
      <c r="Q45" s="16"/>
      <c r="R45" s="15" t="s">
        <v>8</v>
      </c>
      <c r="S45" s="12">
        <v>5</v>
      </c>
      <c r="T45" s="14">
        <v>37095.238095230001</v>
      </c>
      <c r="U45" s="12">
        <f t="shared" si="3"/>
        <v>-12</v>
      </c>
      <c r="V45" s="14">
        <f t="shared" si="4"/>
        <v>-54171.428571419994</v>
      </c>
      <c r="W45" s="13">
        <f t="shared" si="5"/>
        <v>-0.59355108003758095</v>
      </c>
      <c r="Y45" s="16"/>
      <c r="Z45" s="15" t="s">
        <v>8</v>
      </c>
      <c r="AA45" s="12">
        <v>9</v>
      </c>
      <c r="AB45" s="14">
        <v>59914.285714279999</v>
      </c>
      <c r="AC45" s="12">
        <f t="shared" si="6"/>
        <v>4</v>
      </c>
      <c r="AD45" s="14">
        <f t="shared" si="7"/>
        <v>22819.047619049998</v>
      </c>
      <c r="AE45" s="13">
        <f t="shared" si="8"/>
        <v>0.61514762516066046</v>
      </c>
      <c r="AG45" s="16"/>
      <c r="AH45" s="15" t="s">
        <v>8</v>
      </c>
      <c r="AI45" s="12">
        <v>8</v>
      </c>
      <c r="AJ45" s="14">
        <v>39923.809523799995</v>
      </c>
      <c r="AK45" s="12">
        <f t="shared" si="9"/>
        <v>-1</v>
      </c>
      <c r="AL45" s="14">
        <f t="shared" si="10"/>
        <v>-19990.476190480003</v>
      </c>
      <c r="AM45" s="13">
        <f t="shared" si="11"/>
        <v>-0.33365124781443339</v>
      </c>
      <c r="AO45" s="16"/>
      <c r="AP45" s="15" t="s">
        <v>8</v>
      </c>
      <c r="AQ45" s="12">
        <v>7</v>
      </c>
      <c r="AR45" s="14">
        <v>39933.333333330003</v>
      </c>
      <c r="AS45" s="12">
        <f t="shared" si="12"/>
        <v>-1</v>
      </c>
      <c r="AT45" s="14">
        <f t="shared" si="13"/>
        <v>9.5238095300082932</v>
      </c>
      <c r="AU45" s="13">
        <f t="shared" si="14"/>
        <v>2.3854961847593261E-4</v>
      </c>
      <c r="AW45" s="16"/>
      <c r="AX45" s="15" t="s">
        <v>8</v>
      </c>
      <c r="AY45" s="12">
        <v>13</v>
      </c>
      <c r="AZ45" s="14">
        <v>65590.476190469999</v>
      </c>
      <c r="BA45" s="12">
        <f t="shared" si="15"/>
        <v>6</v>
      </c>
      <c r="BB45" s="14">
        <f t="shared" si="16"/>
        <v>25657.142857139996</v>
      </c>
      <c r="BC45" s="13">
        <f t="shared" si="17"/>
        <v>0.64249940376816694</v>
      </c>
      <c r="BE45" s="16"/>
      <c r="BF45" s="15" t="s">
        <v>8</v>
      </c>
      <c r="BG45" s="12">
        <v>32</v>
      </c>
      <c r="BH45" s="14">
        <v>204697.14285713001</v>
      </c>
      <c r="BI45" s="12">
        <f t="shared" si="30"/>
        <v>19</v>
      </c>
      <c r="BJ45" s="14">
        <f t="shared" si="31"/>
        <v>139106.66666665999</v>
      </c>
      <c r="BK45" s="13">
        <f t="shared" si="32"/>
        <v>2.120836358356422</v>
      </c>
      <c r="BM45" s="16"/>
      <c r="BN45" s="15" t="s">
        <v>8</v>
      </c>
      <c r="BO45" s="12">
        <v>35</v>
      </c>
      <c r="BP45" s="14">
        <v>226809.52380950999</v>
      </c>
      <c r="BQ45" s="12">
        <f t="shared" si="21"/>
        <v>3</v>
      </c>
      <c r="BR45" s="14">
        <f t="shared" si="22"/>
        <v>22112.380952379986</v>
      </c>
      <c r="BS45" s="13">
        <f t="shared" si="23"/>
        <v>0.10802486367781644</v>
      </c>
    </row>
    <row r="46" spans="1:71" s="12" customFormat="1" ht="20" customHeight="1">
      <c r="A46" s="16"/>
      <c r="B46" s="15" t="s">
        <v>7</v>
      </c>
      <c r="C46" s="12">
        <v>13</v>
      </c>
      <c r="D46" s="14">
        <v>167333.33333330002</v>
      </c>
      <c r="F46" s="14"/>
      <c r="G46" s="13"/>
      <c r="I46" s="16"/>
      <c r="J46" s="15" t="s">
        <v>7</v>
      </c>
      <c r="K46" s="12">
        <v>25</v>
      </c>
      <c r="L46" s="14">
        <v>300476.19047614001</v>
      </c>
      <c r="M46" s="12">
        <f t="shared" si="39"/>
        <v>12</v>
      </c>
      <c r="N46" s="14">
        <f t="shared" si="40"/>
        <v>133142.85714283999</v>
      </c>
      <c r="O46" s="13">
        <f t="shared" si="41"/>
        <v>0.79567444507689145</v>
      </c>
      <c r="Q46" s="16"/>
      <c r="R46" s="15" t="s">
        <v>7</v>
      </c>
      <c r="S46" s="12">
        <v>14</v>
      </c>
      <c r="T46" s="14">
        <v>178666.66666660999</v>
      </c>
      <c r="U46" s="12">
        <f t="shared" si="3"/>
        <v>-11</v>
      </c>
      <c r="V46" s="14">
        <f t="shared" si="4"/>
        <v>-121809.52380953002</v>
      </c>
      <c r="W46" s="13">
        <f t="shared" si="5"/>
        <v>-0.40538827258329002</v>
      </c>
      <c r="Y46" s="16"/>
      <c r="Z46" s="15" t="s">
        <v>7</v>
      </c>
      <c r="AA46" s="12">
        <v>7</v>
      </c>
      <c r="AB46" s="14">
        <v>81238.095238080001</v>
      </c>
      <c r="AC46" s="12">
        <f t="shared" si="6"/>
        <v>-7</v>
      </c>
      <c r="AD46" s="14">
        <f t="shared" si="7"/>
        <v>-97428.571428529991</v>
      </c>
      <c r="AE46" s="13">
        <f t="shared" si="8"/>
        <v>-0.5453091684434378</v>
      </c>
      <c r="AG46" s="16"/>
      <c r="AH46" s="15" t="s">
        <v>7</v>
      </c>
      <c r="AI46" s="12">
        <v>11</v>
      </c>
      <c r="AJ46" s="14">
        <v>125619.04761899999</v>
      </c>
      <c r="AK46" s="12">
        <f t="shared" si="9"/>
        <v>4</v>
      </c>
      <c r="AL46" s="14">
        <f t="shared" si="10"/>
        <v>44380.952380919989</v>
      </c>
      <c r="AM46" s="13">
        <f t="shared" si="11"/>
        <v>0.54630715123065332</v>
      </c>
      <c r="AO46" s="16"/>
      <c r="AP46" s="15" t="s">
        <v>7</v>
      </c>
      <c r="AQ46" s="12">
        <v>19</v>
      </c>
      <c r="AR46" s="14">
        <v>241047.61904756003</v>
      </c>
      <c r="AS46" s="12">
        <f t="shared" si="12"/>
        <v>8</v>
      </c>
      <c r="AT46" s="14">
        <f t="shared" si="13"/>
        <v>115428.57142856004</v>
      </c>
      <c r="AU46" s="13">
        <f t="shared" si="14"/>
        <v>0.91887793783194838</v>
      </c>
      <c r="AW46" s="16"/>
      <c r="AX46" s="15" t="s">
        <v>7</v>
      </c>
      <c r="AY46" s="12">
        <v>10</v>
      </c>
      <c r="AZ46" s="14">
        <v>111428.57142854</v>
      </c>
      <c r="BA46" s="12">
        <f t="shared" si="15"/>
        <v>-9</v>
      </c>
      <c r="BB46" s="14">
        <f t="shared" si="16"/>
        <v>-129619.04761902003</v>
      </c>
      <c r="BC46" s="13">
        <f t="shared" si="17"/>
        <v>-0.53773212169104845</v>
      </c>
      <c r="BE46" s="16"/>
      <c r="BF46" s="15" t="s">
        <v>7</v>
      </c>
      <c r="BG46" s="12">
        <v>6</v>
      </c>
      <c r="BH46" s="14">
        <v>74666.666666659992</v>
      </c>
      <c r="BI46" s="12">
        <f t="shared" si="30"/>
        <v>-4</v>
      </c>
      <c r="BJ46" s="14">
        <f t="shared" si="31"/>
        <v>-36761.90476188001</v>
      </c>
      <c r="BK46" s="13">
        <f t="shared" si="32"/>
        <v>-0.32991452991440084</v>
      </c>
      <c r="BM46" s="16"/>
      <c r="BN46" s="15" t="s">
        <v>7</v>
      </c>
      <c r="BO46" s="12">
        <v>24</v>
      </c>
      <c r="BP46" s="14">
        <v>303428.57142852002</v>
      </c>
      <c r="BQ46" s="12">
        <f t="shared" si="21"/>
        <v>18</v>
      </c>
      <c r="BR46" s="14">
        <f t="shared" si="22"/>
        <v>228761.90476186003</v>
      </c>
      <c r="BS46" s="13">
        <f t="shared" si="23"/>
        <v>3.0637755102037563</v>
      </c>
    </row>
    <row r="47" spans="1:71" s="12" customFormat="1" ht="20" customHeight="1">
      <c r="A47" s="16"/>
      <c r="B47" s="15" t="s">
        <v>6</v>
      </c>
      <c r="C47" s="12">
        <v>1</v>
      </c>
      <c r="D47" s="14">
        <v>2857.1428571400002</v>
      </c>
      <c r="F47" s="14"/>
      <c r="G47" s="13"/>
      <c r="I47" s="16"/>
      <c r="J47" s="15" t="s">
        <v>6</v>
      </c>
      <c r="K47" s="12">
        <v>0</v>
      </c>
      <c r="L47" s="14">
        <v>0</v>
      </c>
      <c r="M47" s="12">
        <f t="shared" si="39"/>
        <v>-1</v>
      </c>
      <c r="N47" s="14">
        <f t="shared" si="40"/>
        <v>-2857.1428571400002</v>
      </c>
      <c r="O47" s="13">
        <f t="shared" si="41"/>
        <v>-1</v>
      </c>
      <c r="Q47" s="16"/>
      <c r="R47" s="15" t="s">
        <v>6</v>
      </c>
      <c r="S47" s="12">
        <v>3</v>
      </c>
      <c r="T47" s="14">
        <v>14571.42857142</v>
      </c>
      <c r="U47" s="12">
        <f t="shared" si="3"/>
        <v>3</v>
      </c>
      <c r="V47" s="14">
        <f t="shared" si="4"/>
        <v>14571.42857142</v>
      </c>
      <c r="W47" s="13" t="e">
        <f t="shared" si="5"/>
        <v>#DIV/0!</v>
      </c>
      <c r="Y47" s="16"/>
      <c r="Z47" s="15" t="s">
        <v>6</v>
      </c>
      <c r="AA47" s="12">
        <v>2</v>
      </c>
      <c r="AB47" s="14">
        <v>5714.2857142800003</v>
      </c>
      <c r="AC47" s="12">
        <f t="shared" si="6"/>
        <v>-1</v>
      </c>
      <c r="AD47" s="14">
        <f t="shared" si="7"/>
        <v>-8857.1428571399993</v>
      </c>
      <c r="AE47" s="13">
        <f t="shared" si="8"/>
        <v>-0.60784313725506345</v>
      </c>
      <c r="AG47" s="16"/>
      <c r="AH47" s="15" t="s">
        <v>6</v>
      </c>
      <c r="AJ47" s="14"/>
      <c r="AK47" s="12">
        <f t="shared" si="9"/>
        <v>-2</v>
      </c>
      <c r="AL47" s="14">
        <f t="shared" si="10"/>
        <v>-5714.2857142800003</v>
      </c>
      <c r="AM47" s="13">
        <f t="shared" si="11"/>
        <v>-1</v>
      </c>
      <c r="AO47" s="16"/>
      <c r="AP47" s="15" t="s">
        <v>6</v>
      </c>
      <c r="AR47" s="14"/>
      <c r="AS47" s="12">
        <f t="shared" si="12"/>
        <v>0</v>
      </c>
      <c r="AT47" s="14">
        <f t="shared" si="13"/>
        <v>0</v>
      </c>
      <c r="AU47" s="13" t="e">
        <f t="shared" si="14"/>
        <v>#DIV/0!</v>
      </c>
      <c r="AW47" s="16"/>
      <c r="AX47" s="15" t="s">
        <v>6</v>
      </c>
      <c r="AY47" s="12">
        <v>1</v>
      </c>
      <c r="AZ47" s="14">
        <v>2857.1428571400002</v>
      </c>
      <c r="BA47" s="12">
        <f t="shared" si="15"/>
        <v>1</v>
      </c>
      <c r="BB47" s="14">
        <f t="shared" si="16"/>
        <v>2857.1428571400002</v>
      </c>
      <c r="BC47" s="13" t="e">
        <f t="shared" si="17"/>
        <v>#DIV/0!</v>
      </c>
      <c r="BE47" s="16"/>
      <c r="BF47" s="15" t="s">
        <v>6</v>
      </c>
      <c r="BG47" s="12">
        <v>0</v>
      </c>
      <c r="BH47" s="14">
        <v>0</v>
      </c>
      <c r="BI47" s="12">
        <f t="shared" si="30"/>
        <v>-1</v>
      </c>
      <c r="BJ47" s="14">
        <f t="shared" si="31"/>
        <v>-2857.1428571400002</v>
      </c>
      <c r="BK47" s="13">
        <f t="shared" si="32"/>
        <v>-1</v>
      </c>
      <c r="BM47" s="16"/>
      <c r="BN47" s="15" t="s">
        <v>6</v>
      </c>
      <c r="BO47" s="12">
        <v>0</v>
      </c>
      <c r="BP47" s="14">
        <v>0</v>
      </c>
      <c r="BQ47" s="12">
        <f t="shared" si="21"/>
        <v>0</v>
      </c>
      <c r="BR47" s="14">
        <f t="shared" si="22"/>
        <v>0</v>
      </c>
      <c r="BS47" s="13" t="e">
        <f t="shared" si="23"/>
        <v>#DIV/0!</v>
      </c>
    </row>
    <row r="48" spans="1:71" s="12" customFormat="1" ht="20" customHeight="1">
      <c r="A48" s="16"/>
      <c r="B48" s="15" t="s">
        <v>5</v>
      </c>
      <c r="C48" s="12">
        <v>1</v>
      </c>
      <c r="D48" s="14">
        <v>8990</v>
      </c>
      <c r="F48" s="14"/>
      <c r="G48" s="13"/>
      <c r="I48" s="16"/>
      <c r="J48" s="15" t="s">
        <v>5</v>
      </c>
      <c r="K48" s="12">
        <v>1</v>
      </c>
      <c r="L48" s="14">
        <v>2190</v>
      </c>
      <c r="M48" s="12">
        <f t="shared" si="39"/>
        <v>0</v>
      </c>
      <c r="N48" s="14">
        <f t="shared" si="40"/>
        <v>-6800</v>
      </c>
      <c r="O48" s="13">
        <f t="shared" si="41"/>
        <v>-0.75639599555061177</v>
      </c>
      <c r="Q48" s="16"/>
      <c r="R48" s="15" t="s">
        <v>5</v>
      </c>
      <c r="S48" s="12">
        <v>0</v>
      </c>
      <c r="T48" s="14">
        <v>0</v>
      </c>
      <c r="U48" s="12">
        <f t="shared" si="3"/>
        <v>-1</v>
      </c>
      <c r="V48" s="14">
        <f t="shared" si="4"/>
        <v>-2190</v>
      </c>
      <c r="W48" s="13">
        <f t="shared" si="5"/>
        <v>-1</v>
      </c>
      <c r="Y48" s="16"/>
      <c r="Z48" s="15" t="s">
        <v>5</v>
      </c>
      <c r="AA48" s="12">
        <v>2</v>
      </c>
      <c r="AB48" s="14">
        <v>13880</v>
      </c>
      <c r="AC48" s="12">
        <f t="shared" si="6"/>
        <v>2</v>
      </c>
      <c r="AD48" s="14">
        <f t="shared" si="7"/>
        <v>13880</v>
      </c>
      <c r="AE48" s="13" t="e">
        <f t="shared" si="8"/>
        <v>#DIV/0!</v>
      </c>
      <c r="AG48" s="16"/>
      <c r="AH48" s="15" t="s">
        <v>5</v>
      </c>
      <c r="AI48" s="12">
        <v>1</v>
      </c>
      <c r="AJ48" s="14">
        <v>6390</v>
      </c>
      <c r="AK48" s="12">
        <f t="shared" si="9"/>
        <v>-1</v>
      </c>
      <c r="AL48" s="14">
        <f t="shared" si="10"/>
        <v>-7490</v>
      </c>
      <c r="AM48" s="13">
        <f t="shared" si="11"/>
        <v>-0.53962536023054752</v>
      </c>
      <c r="AO48" s="16"/>
      <c r="AP48" s="15" t="s">
        <v>5</v>
      </c>
      <c r="AQ48" s="12">
        <v>1</v>
      </c>
      <c r="AR48" s="14">
        <v>4890</v>
      </c>
      <c r="AS48" s="12">
        <f t="shared" si="12"/>
        <v>0</v>
      </c>
      <c r="AT48" s="14">
        <f t="shared" si="13"/>
        <v>-1500</v>
      </c>
      <c r="AU48" s="13">
        <f t="shared" si="14"/>
        <v>-0.23474178403755869</v>
      </c>
      <c r="AW48" s="16"/>
      <c r="AX48" s="15" t="s">
        <v>5</v>
      </c>
      <c r="AY48" s="12">
        <v>7</v>
      </c>
      <c r="AZ48" s="14">
        <v>40430</v>
      </c>
      <c r="BA48" s="12">
        <f t="shared" si="15"/>
        <v>6</v>
      </c>
      <c r="BB48" s="14">
        <f t="shared" si="16"/>
        <v>35540</v>
      </c>
      <c r="BC48" s="13">
        <f t="shared" si="17"/>
        <v>7.2678936605316977</v>
      </c>
      <c r="BE48" s="16"/>
      <c r="BF48" s="15" t="s">
        <v>5</v>
      </c>
      <c r="BG48" s="12">
        <v>1</v>
      </c>
      <c r="BH48" s="14">
        <v>4890</v>
      </c>
      <c r="BI48" s="12">
        <f t="shared" si="30"/>
        <v>-6</v>
      </c>
      <c r="BJ48" s="14">
        <f t="shared" si="31"/>
        <v>-35540</v>
      </c>
      <c r="BK48" s="13">
        <f t="shared" si="32"/>
        <v>-0.8790502102399208</v>
      </c>
      <c r="BM48" s="16"/>
      <c r="BN48" s="15" t="s">
        <v>5</v>
      </c>
      <c r="BO48" s="12">
        <v>3</v>
      </c>
      <c r="BP48" s="14">
        <v>17470</v>
      </c>
      <c r="BQ48" s="12">
        <f t="shared" si="21"/>
        <v>2</v>
      </c>
      <c r="BR48" s="14">
        <f t="shared" si="22"/>
        <v>12580</v>
      </c>
      <c r="BS48" s="13">
        <f t="shared" si="23"/>
        <v>2.572597137014315</v>
      </c>
    </row>
    <row r="49" spans="1:71" s="12" customFormat="1" ht="20" customHeight="1">
      <c r="A49" s="16"/>
      <c r="B49" s="15" t="s">
        <v>4</v>
      </c>
      <c r="C49" s="12">
        <v>3</v>
      </c>
      <c r="D49" s="14">
        <v>129480.95238092999</v>
      </c>
      <c r="F49" s="14"/>
      <c r="G49" s="13"/>
      <c r="I49" s="16"/>
      <c r="J49" s="15" t="s">
        <v>4</v>
      </c>
      <c r="K49" s="12">
        <v>1</v>
      </c>
      <c r="L49" s="14">
        <v>53290.476190469999</v>
      </c>
      <c r="M49" s="12">
        <f t="shared" si="39"/>
        <v>-2</v>
      </c>
      <c r="N49" s="14">
        <f t="shared" si="40"/>
        <v>-76190.476190459987</v>
      </c>
      <c r="O49" s="13">
        <f t="shared" si="41"/>
        <v>-0.58842999521898287</v>
      </c>
      <c r="Q49" s="16"/>
      <c r="R49" s="15" t="s">
        <v>4</v>
      </c>
      <c r="S49" s="12">
        <v>1</v>
      </c>
      <c r="T49" s="14">
        <v>38000</v>
      </c>
      <c r="U49" s="12">
        <f t="shared" si="3"/>
        <v>0</v>
      </c>
      <c r="V49" s="14">
        <f t="shared" si="4"/>
        <v>-15290.476190469999</v>
      </c>
      <c r="W49" s="13">
        <f t="shared" si="5"/>
        <v>-0.28692699490653856</v>
      </c>
      <c r="Y49" s="16"/>
      <c r="Z49" s="15" t="s">
        <v>4</v>
      </c>
      <c r="AA49" s="12">
        <v>3</v>
      </c>
      <c r="AB49" s="14">
        <v>98314.285714269994</v>
      </c>
      <c r="AC49" s="12">
        <f t="shared" si="6"/>
        <v>2</v>
      </c>
      <c r="AD49" s="14">
        <f t="shared" si="7"/>
        <v>60314.285714269994</v>
      </c>
      <c r="AE49" s="13">
        <f t="shared" si="8"/>
        <v>1.5872180451123683</v>
      </c>
      <c r="AG49" s="16"/>
      <c r="AH49" s="15" t="s">
        <v>4</v>
      </c>
      <c r="AI49" s="12">
        <v>4</v>
      </c>
      <c r="AJ49" s="14">
        <v>135333.33333331998</v>
      </c>
      <c r="AK49" s="12">
        <f t="shared" si="9"/>
        <v>1</v>
      </c>
      <c r="AL49" s="14">
        <f t="shared" si="10"/>
        <v>37019.04761904999</v>
      </c>
      <c r="AM49" s="13">
        <f t="shared" si="11"/>
        <v>0.37653782815081571</v>
      </c>
      <c r="AO49" s="16"/>
      <c r="AP49" s="15" t="s">
        <v>4</v>
      </c>
      <c r="AQ49" s="12">
        <v>1</v>
      </c>
      <c r="AR49" s="14">
        <v>44666.666666659999</v>
      </c>
      <c r="AS49" s="12">
        <f t="shared" si="12"/>
        <v>-3</v>
      </c>
      <c r="AT49" s="14">
        <f t="shared" si="13"/>
        <v>-90666.666666659992</v>
      </c>
      <c r="AU49" s="13">
        <f t="shared" si="14"/>
        <v>-0.66995073891627288</v>
      </c>
      <c r="AW49" s="16"/>
      <c r="AX49" s="15" t="s">
        <v>4</v>
      </c>
      <c r="AY49" s="12">
        <v>2</v>
      </c>
      <c r="AZ49" s="14">
        <v>63806.666666659999</v>
      </c>
      <c r="BA49" s="12">
        <f t="shared" si="15"/>
        <v>1</v>
      </c>
      <c r="BB49" s="14">
        <f t="shared" si="16"/>
        <v>19140</v>
      </c>
      <c r="BC49" s="13">
        <f t="shared" si="17"/>
        <v>0.42850746268663115</v>
      </c>
      <c r="BE49" s="16"/>
      <c r="BF49" s="15" t="s">
        <v>4</v>
      </c>
      <c r="BG49" s="12">
        <v>3</v>
      </c>
      <c r="BH49" s="14">
        <v>117333.33333333</v>
      </c>
      <c r="BI49" s="12">
        <f t="shared" si="30"/>
        <v>1</v>
      </c>
      <c r="BJ49" s="14">
        <f t="shared" si="31"/>
        <v>53526.666666669997</v>
      </c>
      <c r="BK49" s="13">
        <f t="shared" si="32"/>
        <v>0.83888830843186069</v>
      </c>
      <c r="BM49" s="16"/>
      <c r="BN49" s="15" t="s">
        <v>4</v>
      </c>
      <c r="BO49" s="12">
        <v>3</v>
      </c>
      <c r="BP49" s="14">
        <v>71619.047619040008</v>
      </c>
      <c r="BQ49" s="12">
        <f t="shared" si="21"/>
        <v>0</v>
      </c>
      <c r="BR49" s="14">
        <f t="shared" si="22"/>
        <v>-45714.285714289988</v>
      </c>
      <c r="BS49" s="13">
        <f t="shared" si="23"/>
        <v>-0.38961038961043709</v>
      </c>
    </row>
    <row r="50" spans="1:71" s="12" customFormat="1" ht="20" customHeight="1">
      <c r="A50" s="16"/>
      <c r="B50" s="15" t="s">
        <v>3</v>
      </c>
      <c r="C50" s="12">
        <v>10</v>
      </c>
      <c r="D50" s="14">
        <v>184666.66666664</v>
      </c>
      <c r="F50" s="14"/>
      <c r="G50" s="13"/>
      <c r="I50" s="16"/>
      <c r="J50" s="15" t="s">
        <v>3</v>
      </c>
      <c r="K50" s="12">
        <v>23</v>
      </c>
      <c r="L50" s="14">
        <v>390285.71428562998</v>
      </c>
      <c r="M50" s="12">
        <f t="shared" si="39"/>
        <v>13</v>
      </c>
      <c r="N50" s="14">
        <f t="shared" si="40"/>
        <v>205619.04761898998</v>
      </c>
      <c r="O50" s="13">
        <f t="shared" si="41"/>
        <v>1.1134605466733918</v>
      </c>
      <c r="Q50" s="16"/>
      <c r="R50" s="15" t="s">
        <v>3</v>
      </c>
      <c r="S50" s="12">
        <v>7</v>
      </c>
      <c r="T50" s="14">
        <v>101238.09523808</v>
      </c>
      <c r="U50" s="12">
        <f t="shared" si="3"/>
        <v>-16</v>
      </c>
      <c r="V50" s="14">
        <f t="shared" si="4"/>
        <v>-289047.61904754996</v>
      </c>
      <c r="W50" s="13">
        <f t="shared" si="5"/>
        <v>-0.74060517325522945</v>
      </c>
      <c r="Y50" s="16"/>
      <c r="Z50" s="15" t="s">
        <v>3</v>
      </c>
      <c r="AA50" s="12">
        <v>6</v>
      </c>
      <c r="AB50" s="14">
        <v>122857.14285712001</v>
      </c>
      <c r="AC50" s="12">
        <f t="shared" si="6"/>
        <v>-1</v>
      </c>
      <c r="AD50" s="14">
        <f t="shared" si="7"/>
        <v>21619.047619040008</v>
      </c>
      <c r="AE50" s="13">
        <f t="shared" si="8"/>
        <v>0.21354656632168792</v>
      </c>
      <c r="AG50" s="16"/>
      <c r="AH50" s="15" t="s">
        <v>3</v>
      </c>
      <c r="AI50" s="12">
        <v>9</v>
      </c>
      <c r="AJ50" s="14">
        <v>144380.95238093002</v>
      </c>
      <c r="AK50" s="12">
        <f t="shared" si="9"/>
        <v>3</v>
      </c>
      <c r="AL50" s="14">
        <f t="shared" si="10"/>
        <v>21523.809523810007</v>
      </c>
      <c r="AM50" s="13">
        <f t="shared" si="11"/>
        <v>0.17519379844964891</v>
      </c>
      <c r="AO50" s="16"/>
      <c r="AP50" s="15" t="s">
        <v>3</v>
      </c>
      <c r="AQ50" s="12">
        <v>15</v>
      </c>
      <c r="AR50" s="14">
        <v>246476.19047615002</v>
      </c>
      <c r="AS50" s="12">
        <f t="shared" si="12"/>
        <v>6</v>
      </c>
      <c r="AT50" s="14">
        <f t="shared" si="13"/>
        <v>102095.23809522</v>
      </c>
      <c r="AU50" s="13">
        <f t="shared" si="14"/>
        <v>0.70712401055407392</v>
      </c>
      <c r="AW50" s="16"/>
      <c r="AX50" s="15" t="s">
        <v>3</v>
      </c>
      <c r="AY50" s="12">
        <v>11</v>
      </c>
      <c r="AZ50" s="14">
        <v>183714.28571425003</v>
      </c>
      <c r="BA50" s="12">
        <f t="shared" si="15"/>
        <v>-4</v>
      </c>
      <c r="BB50" s="14">
        <f t="shared" si="16"/>
        <v>-62761.90476189999</v>
      </c>
      <c r="BC50" s="13">
        <f t="shared" si="17"/>
        <v>-0.25463678516230992</v>
      </c>
      <c r="BE50" s="16"/>
      <c r="BF50" s="15" t="s">
        <v>3</v>
      </c>
      <c r="BG50" s="12">
        <v>9</v>
      </c>
      <c r="BH50" s="14">
        <v>143333.33333331</v>
      </c>
      <c r="BI50" s="12">
        <f t="shared" si="30"/>
        <v>-2</v>
      </c>
      <c r="BJ50" s="14">
        <f t="shared" si="31"/>
        <v>-40380.952380940027</v>
      </c>
      <c r="BK50" s="13">
        <f t="shared" si="32"/>
        <v>-0.21980300673921857</v>
      </c>
      <c r="BM50" s="16"/>
      <c r="BN50" s="15" t="s">
        <v>3</v>
      </c>
      <c r="BO50" s="12">
        <v>6</v>
      </c>
      <c r="BP50" s="14">
        <v>90285.7142857</v>
      </c>
      <c r="BQ50" s="12">
        <f t="shared" si="21"/>
        <v>-3</v>
      </c>
      <c r="BR50" s="14">
        <f t="shared" si="22"/>
        <v>-53047.619047610002</v>
      </c>
      <c r="BS50" s="13">
        <f t="shared" si="23"/>
        <v>-0.37009966777408354</v>
      </c>
    </row>
    <row r="51" spans="1:71" s="12" customFormat="1" ht="20" customHeight="1">
      <c r="A51" s="16"/>
      <c r="B51" s="15" t="s">
        <v>2</v>
      </c>
      <c r="C51" s="12">
        <v>34</v>
      </c>
      <c r="D51" s="14">
        <v>1497714.28571423</v>
      </c>
      <c r="F51" s="14"/>
      <c r="G51" s="13"/>
      <c r="I51" s="16"/>
      <c r="J51" s="15" t="s">
        <v>2</v>
      </c>
      <c r="K51" s="12">
        <v>28</v>
      </c>
      <c r="L51" s="14">
        <v>1090714.2857142501</v>
      </c>
      <c r="M51" s="12">
        <f t="shared" si="39"/>
        <v>-6</v>
      </c>
      <c r="N51" s="14">
        <f t="shared" si="40"/>
        <v>-406999.99999997998</v>
      </c>
      <c r="O51" s="13">
        <f t="shared" si="41"/>
        <v>-0.27174742464707802</v>
      </c>
      <c r="Q51" s="16"/>
      <c r="R51" s="15" t="s">
        <v>2</v>
      </c>
      <c r="S51" s="12">
        <v>60</v>
      </c>
      <c r="T51" s="14">
        <v>2371240.95238089</v>
      </c>
      <c r="U51" s="12">
        <f t="shared" si="3"/>
        <v>32</v>
      </c>
      <c r="V51" s="14">
        <f t="shared" si="4"/>
        <v>1280526.66666664</v>
      </c>
      <c r="W51" s="13">
        <f t="shared" si="5"/>
        <v>1.1740257585680121</v>
      </c>
      <c r="Y51" s="16"/>
      <c r="Z51" s="15" t="s">
        <v>2</v>
      </c>
      <c r="AA51" s="12">
        <v>105</v>
      </c>
      <c r="AB51" s="14">
        <v>3949999.9999999702</v>
      </c>
      <c r="AC51" s="12">
        <f t="shared" si="6"/>
        <v>45</v>
      </c>
      <c r="AD51" s="14">
        <f t="shared" si="7"/>
        <v>1578759.0476190802</v>
      </c>
      <c r="AE51" s="13">
        <f t="shared" si="8"/>
        <v>0.66579444237157626</v>
      </c>
      <c r="AG51" s="16"/>
      <c r="AH51" s="15" t="s">
        <v>2</v>
      </c>
      <c r="AI51" s="12">
        <v>79</v>
      </c>
      <c r="AJ51" s="14">
        <v>3042952.3809523098</v>
      </c>
      <c r="AK51" s="12">
        <f t="shared" si="9"/>
        <v>-26</v>
      </c>
      <c r="AL51" s="14">
        <f t="shared" si="10"/>
        <v>-907047.61904766038</v>
      </c>
      <c r="AM51" s="13">
        <f t="shared" si="11"/>
        <v>-0.22963230861966258</v>
      </c>
      <c r="AO51" s="16"/>
      <c r="AP51" s="15" t="s">
        <v>2</v>
      </c>
      <c r="AQ51" s="12">
        <v>69</v>
      </c>
      <c r="AR51" s="14">
        <v>2621047.61904757</v>
      </c>
      <c r="AS51" s="12">
        <f t="shared" si="12"/>
        <v>-10</v>
      </c>
      <c r="AT51" s="14">
        <f t="shared" si="13"/>
        <v>-421904.76190473977</v>
      </c>
      <c r="AU51" s="13">
        <f t="shared" si="14"/>
        <v>-0.13864980751775755</v>
      </c>
      <c r="AW51" s="16"/>
      <c r="AX51" s="15" t="s">
        <v>2</v>
      </c>
      <c r="AY51" s="12">
        <v>57</v>
      </c>
      <c r="AZ51" s="14">
        <v>2105047.61904757</v>
      </c>
      <c r="BA51" s="12">
        <f t="shared" si="15"/>
        <v>-12</v>
      </c>
      <c r="BB51" s="14">
        <f t="shared" si="16"/>
        <v>-516000</v>
      </c>
      <c r="BC51" s="13">
        <f t="shared" si="17"/>
        <v>-0.19686784637186516</v>
      </c>
      <c r="BE51" s="16"/>
      <c r="BF51" s="15" t="s">
        <v>2</v>
      </c>
      <c r="BG51" s="12">
        <v>62</v>
      </c>
      <c r="BH51" s="14">
        <v>2179809.5238094702</v>
      </c>
      <c r="BI51" s="12">
        <f t="shared" si="30"/>
        <v>5</v>
      </c>
      <c r="BJ51" s="14">
        <f t="shared" si="31"/>
        <v>74761.904761900194</v>
      </c>
      <c r="BK51" s="13">
        <f t="shared" si="32"/>
        <v>3.5515540876802712E-2</v>
      </c>
      <c r="BM51" s="16"/>
      <c r="BN51" s="15" t="s">
        <v>2</v>
      </c>
      <c r="BO51" s="12">
        <v>41</v>
      </c>
      <c r="BP51" s="14">
        <v>1440857.1428571099</v>
      </c>
      <c r="BQ51" s="12">
        <f t="shared" si="21"/>
        <v>-21</v>
      </c>
      <c r="BR51" s="14">
        <f t="shared" si="22"/>
        <v>-738952.38095236034</v>
      </c>
      <c r="BS51" s="13">
        <f t="shared" si="23"/>
        <v>-0.33899860188745079</v>
      </c>
    </row>
    <row r="52" spans="1:71" s="1" customFormat="1" ht="20" customHeight="1">
      <c r="A52" s="11" t="s">
        <v>11</v>
      </c>
      <c r="B52" s="11"/>
      <c r="C52" s="10">
        <v>267</v>
      </c>
      <c r="D52" s="9">
        <v>2259029.9999992601</v>
      </c>
      <c r="E52" s="29"/>
      <c r="F52" s="30"/>
      <c r="G52" s="31"/>
      <c r="I52" s="11" t="s">
        <v>11</v>
      </c>
      <c r="J52" s="11"/>
      <c r="K52" s="10">
        <v>342</v>
      </c>
      <c r="L52" s="9">
        <v>2153138.5714277201</v>
      </c>
      <c r="M52" s="10">
        <f t="shared" ref="M52:M65" si="42">K52-C52</f>
        <v>75</v>
      </c>
      <c r="N52" s="9">
        <f t="shared" ref="N52:N65" si="43">L52-D52</f>
        <v>-105891.42857153993</v>
      </c>
      <c r="O52" s="8">
        <f t="shared" ref="O52:O65" si="44">(L52-D52)/D52</f>
        <v>-4.6874733213624703E-2</v>
      </c>
      <c r="Q52" s="11" t="s">
        <v>11</v>
      </c>
      <c r="R52" s="11"/>
      <c r="S52" s="10">
        <v>274</v>
      </c>
      <c r="T52" s="9">
        <v>2908453.3333328199</v>
      </c>
      <c r="U52" s="10">
        <f t="shared" si="3"/>
        <v>-68</v>
      </c>
      <c r="V52" s="9">
        <f t="shared" si="4"/>
        <v>755314.76190509973</v>
      </c>
      <c r="W52" s="8">
        <f t="shared" si="5"/>
        <v>0.3507970977475266</v>
      </c>
      <c r="Y52" s="11" t="s">
        <v>11</v>
      </c>
      <c r="Z52" s="11"/>
      <c r="AA52" s="10">
        <v>410</v>
      </c>
      <c r="AB52" s="9">
        <v>4568835.2380944304</v>
      </c>
      <c r="AC52" s="10">
        <f t="shared" si="6"/>
        <v>136</v>
      </c>
      <c r="AD52" s="9">
        <f t="shared" si="7"/>
        <v>1660381.9047616106</v>
      </c>
      <c r="AE52" s="8">
        <f t="shared" si="8"/>
        <v>0.57088139793495185</v>
      </c>
      <c r="AG52" s="11" t="s">
        <v>11</v>
      </c>
      <c r="AH52" s="11"/>
      <c r="AI52" s="10">
        <v>336</v>
      </c>
      <c r="AJ52" s="9">
        <v>3677138.5714278999</v>
      </c>
      <c r="AK52" s="10">
        <f t="shared" si="9"/>
        <v>-74</v>
      </c>
      <c r="AL52" s="9">
        <f t="shared" si="10"/>
        <v>-891696.66666653054</v>
      </c>
      <c r="AM52" s="8">
        <f t="shared" si="11"/>
        <v>-0.19516936378700303</v>
      </c>
      <c r="AO52" s="11" t="s">
        <v>11</v>
      </c>
      <c r="AP52" s="11"/>
      <c r="AQ52" s="10">
        <v>362</v>
      </c>
      <c r="AR52" s="9">
        <v>3425735.7142848903</v>
      </c>
      <c r="AS52" s="10">
        <f t="shared" si="12"/>
        <v>26</v>
      </c>
      <c r="AT52" s="9">
        <f t="shared" si="13"/>
        <v>-251402.85714300955</v>
      </c>
      <c r="AU52" s="8">
        <f t="shared" si="14"/>
        <v>-6.8369155053459196E-2</v>
      </c>
      <c r="AW52" s="11" t="s">
        <v>11</v>
      </c>
      <c r="AX52" s="11"/>
      <c r="AY52" s="10">
        <v>343</v>
      </c>
      <c r="AZ52" s="9">
        <v>2785117.6190468101</v>
      </c>
      <c r="BA52" s="10">
        <f t="shared" si="15"/>
        <v>-19</v>
      </c>
      <c r="BB52" s="9">
        <f t="shared" si="16"/>
        <v>-640618.09523808025</v>
      </c>
      <c r="BC52" s="8">
        <f t="shared" si="17"/>
        <v>-0.18700161035972004</v>
      </c>
      <c r="BE52" s="11" t="s">
        <v>11</v>
      </c>
      <c r="BF52" s="11"/>
      <c r="BG52" s="10">
        <v>349</v>
      </c>
      <c r="BH52" s="9">
        <v>2910655.7142849704</v>
      </c>
      <c r="BI52" s="29">
        <f t="shared" si="30"/>
        <v>6</v>
      </c>
      <c r="BJ52" s="30">
        <f t="shared" si="31"/>
        <v>125538.09523816034</v>
      </c>
      <c r="BK52" s="31">
        <f t="shared" si="32"/>
        <v>4.5074611707467134E-2</v>
      </c>
      <c r="BM52" s="11" t="s">
        <v>11</v>
      </c>
      <c r="BN52" s="11"/>
      <c r="BO52" s="10">
        <v>333</v>
      </c>
      <c r="BP52" s="9">
        <v>2331882.38095167</v>
      </c>
      <c r="BQ52" s="29">
        <f t="shared" si="21"/>
        <v>-16</v>
      </c>
      <c r="BR52" s="30">
        <f t="shared" si="22"/>
        <v>-578773.33333330043</v>
      </c>
      <c r="BS52" s="31">
        <f t="shared" si="23"/>
        <v>-0.19884637351397688</v>
      </c>
    </row>
    <row r="53" spans="1:71" s="1" customFormat="1" ht="20" customHeight="1">
      <c r="A53" s="16">
        <v>84</v>
      </c>
      <c r="B53" s="35" t="s">
        <v>32</v>
      </c>
      <c r="D53" s="38"/>
      <c r="E53" s="12"/>
      <c r="F53" s="14"/>
      <c r="G53" s="39"/>
      <c r="I53" s="16">
        <v>84</v>
      </c>
      <c r="J53" s="35" t="s">
        <v>32</v>
      </c>
      <c r="L53" s="38"/>
      <c r="M53" s="12">
        <f t="shared" si="42"/>
        <v>0</v>
      </c>
      <c r="N53" s="14">
        <f t="shared" si="43"/>
        <v>0</v>
      </c>
      <c r="O53" s="13" t="e">
        <f t="shared" si="44"/>
        <v>#DIV/0!</v>
      </c>
      <c r="Q53" s="16">
        <v>84</v>
      </c>
      <c r="R53" s="35" t="s">
        <v>32</v>
      </c>
      <c r="T53" s="38"/>
      <c r="U53" s="12">
        <f t="shared" si="3"/>
        <v>0</v>
      </c>
      <c r="V53" s="14">
        <f t="shared" si="4"/>
        <v>0</v>
      </c>
      <c r="W53" s="13" t="e">
        <f t="shared" si="5"/>
        <v>#DIV/0!</v>
      </c>
      <c r="Y53" s="16">
        <v>84</v>
      </c>
      <c r="Z53" s="35" t="s">
        <v>32</v>
      </c>
      <c r="AB53" s="38"/>
      <c r="AC53" s="12">
        <f t="shared" si="6"/>
        <v>0</v>
      </c>
      <c r="AD53" s="14">
        <f t="shared" si="7"/>
        <v>0</v>
      </c>
      <c r="AE53" s="13" t="e">
        <f t="shared" si="8"/>
        <v>#DIV/0!</v>
      </c>
      <c r="AG53" s="16">
        <v>84</v>
      </c>
      <c r="AH53" s="35" t="s">
        <v>32</v>
      </c>
      <c r="AJ53" s="38"/>
      <c r="AK53" s="12">
        <f t="shared" si="9"/>
        <v>0</v>
      </c>
      <c r="AL53" s="14">
        <f t="shared" si="10"/>
        <v>0</v>
      </c>
      <c r="AM53" s="13" t="e">
        <f t="shared" si="11"/>
        <v>#DIV/0!</v>
      </c>
      <c r="AO53" s="16">
        <v>84</v>
      </c>
      <c r="AP53" s="35" t="s">
        <v>32</v>
      </c>
      <c r="AR53" s="38"/>
      <c r="AS53" s="12">
        <f t="shared" si="12"/>
        <v>0</v>
      </c>
      <c r="AT53" s="14">
        <f t="shared" si="13"/>
        <v>0</v>
      </c>
      <c r="AU53" s="13" t="e">
        <f t="shared" si="14"/>
        <v>#DIV/0!</v>
      </c>
      <c r="AW53" s="16">
        <v>84</v>
      </c>
      <c r="AX53" s="35" t="s">
        <v>32</v>
      </c>
      <c r="AZ53" s="38"/>
      <c r="BA53" s="12">
        <f t="shared" si="15"/>
        <v>0</v>
      </c>
      <c r="BB53" s="14">
        <f t="shared" si="16"/>
        <v>0</v>
      </c>
      <c r="BC53" s="13" t="e">
        <f t="shared" si="17"/>
        <v>#DIV/0!</v>
      </c>
      <c r="BE53" s="16">
        <v>84</v>
      </c>
      <c r="BF53" s="35" t="s">
        <v>32</v>
      </c>
      <c r="BG53" s="17"/>
      <c r="BH53" s="36"/>
      <c r="BI53" s="12">
        <f t="shared" si="30"/>
        <v>0</v>
      </c>
      <c r="BJ53" s="14">
        <f t="shared" si="31"/>
        <v>0</v>
      </c>
      <c r="BK53" s="13" t="e">
        <f t="shared" si="32"/>
        <v>#DIV/0!</v>
      </c>
      <c r="BM53" s="16">
        <v>84</v>
      </c>
      <c r="BN53" s="35" t="s">
        <v>32</v>
      </c>
      <c r="BO53" s="17"/>
      <c r="BP53" s="36"/>
      <c r="BQ53" s="12">
        <f t="shared" si="21"/>
        <v>0</v>
      </c>
      <c r="BR53" s="14">
        <f t="shared" si="22"/>
        <v>0</v>
      </c>
      <c r="BS53" s="13" t="e">
        <f t="shared" si="23"/>
        <v>#DIV/0!</v>
      </c>
    </row>
    <row r="54" spans="1:71" s="1" customFormat="1" ht="20" customHeight="1">
      <c r="A54" s="16"/>
      <c r="B54" s="35" t="s">
        <v>33</v>
      </c>
      <c r="C54" s="1">
        <v>5</v>
      </c>
      <c r="D54" s="38"/>
      <c r="E54" s="12"/>
      <c r="F54" s="14"/>
      <c r="G54" s="39"/>
      <c r="I54" s="16"/>
      <c r="J54" s="35" t="s">
        <v>33</v>
      </c>
      <c r="K54" s="1">
        <v>1</v>
      </c>
      <c r="L54" s="38"/>
      <c r="M54" s="12">
        <f t="shared" si="42"/>
        <v>-4</v>
      </c>
      <c r="N54" s="14">
        <f t="shared" si="43"/>
        <v>0</v>
      </c>
      <c r="O54" s="13" t="e">
        <f t="shared" si="44"/>
        <v>#DIV/0!</v>
      </c>
      <c r="Q54" s="16"/>
      <c r="R54" s="35" t="s">
        <v>33</v>
      </c>
      <c r="S54" s="1">
        <v>4</v>
      </c>
      <c r="T54" s="38"/>
      <c r="U54" s="12">
        <f t="shared" si="3"/>
        <v>3</v>
      </c>
      <c r="V54" s="14">
        <f t="shared" si="4"/>
        <v>0</v>
      </c>
      <c r="W54" s="13" t="e">
        <f t="shared" si="5"/>
        <v>#DIV/0!</v>
      </c>
      <c r="Y54" s="16"/>
      <c r="Z54" s="35" t="s">
        <v>33</v>
      </c>
      <c r="AA54" s="1">
        <v>5</v>
      </c>
      <c r="AB54" s="38"/>
      <c r="AC54" s="12">
        <f t="shared" si="6"/>
        <v>1</v>
      </c>
      <c r="AD54" s="14">
        <f t="shared" si="7"/>
        <v>0</v>
      </c>
      <c r="AE54" s="13" t="e">
        <f t="shared" si="8"/>
        <v>#DIV/0!</v>
      </c>
      <c r="AG54" s="16"/>
      <c r="AH54" s="35" t="s">
        <v>33</v>
      </c>
      <c r="AI54" s="1">
        <v>0</v>
      </c>
      <c r="AJ54" s="38"/>
      <c r="AK54" s="12">
        <f t="shared" si="9"/>
        <v>-5</v>
      </c>
      <c r="AL54" s="14">
        <f t="shared" si="10"/>
        <v>0</v>
      </c>
      <c r="AM54" s="13" t="e">
        <f t="shared" si="11"/>
        <v>#DIV/0!</v>
      </c>
      <c r="AO54" s="16"/>
      <c r="AP54" s="35" t="s">
        <v>33</v>
      </c>
      <c r="AQ54" s="1">
        <v>8</v>
      </c>
      <c r="AR54" s="38"/>
      <c r="AS54" s="12">
        <f t="shared" si="12"/>
        <v>8</v>
      </c>
      <c r="AT54" s="14">
        <f t="shared" si="13"/>
        <v>0</v>
      </c>
      <c r="AU54" s="13" t="e">
        <f t="shared" si="14"/>
        <v>#DIV/0!</v>
      </c>
      <c r="AW54" s="16"/>
      <c r="AX54" s="35" t="s">
        <v>33</v>
      </c>
      <c r="AY54" s="1">
        <v>7</v>
      </c>
      <c r="AZ54" s="38"/>
      <c r="BA54" s="12">
        <f t="shared" si="15"/>
        <v>-1</v>
      </c>
      <c r="BB54" s="14">
        <f t="shared" si="16"/>
        <v>0</v>
      </c>
      <c r="BC54" s="13" t="e">
        <f t="shared" si="17"/>
        <v>#DIV/0!</v>
      </c>
      <c r="BE54" s="16"/>
      <c r="BF54" s="35" t="s">
        <v>33</v>
      </c>
      <c r="BG54" s="17">
        <v>5</v>
      </c>
      <c r="BH54" s="36"/>
      <c r="BI54" s="12">
        <f t="shared" si="30"/>
        <v>-2</v>
      </c>
      <c r="BJ54" s="14">
        <f t="shared" si="31"/>
        <v>0</v>
      </c>
      <c r="BK54" s="13" t="e">
        <f t="shared" si="32"/>
        <v>#DIV/0!</v>
      </c>
      <c r="BM54" s="16"/>
      <c r="BN54" s="35" t="s">
        <v>33</v>
      </c>
      <c r="BO54" s="17">
        <v>3</v>
      </c>
      <c r="BP54" s="36"/>
      <c r="BQ54" s="12">
        <f t="shared" si="21"/>
        <v>-2</v>
      </c>
      <c r="BR54" s="14">
        <f t="shared" si="22"/>
        <v>0</v>
      </c>
      <c r="BS54" s="13" t="e">
        <f t="shared" si="23"/>
        <v>#DIV/0!</v>
      </c>
    </row>
    <row r="55" spans="1:71" s="12" customFormat="1" ht="20" customHeight="1">
      <c r="A55" s="16"/>
      <c r="B55" s="15" t="s">
        <v>10</v>
      </c>
      <c r="C55" s="12">
        <v>195</v>
      </c>
      <c r="D55" s="14">
        <v>201085.71428501996</v>
      </c>
      <c r="F55" s="14"/>
      <c r="G55" s="13"/>
      <c r="I55" s="16"/>
      <c r="J55" s="15" t="s">
        <v>10</v>
      </c>
      <c r="K55" s="12">
        <v>177</v>
      </c>
      <c r="L55" s="14">
        <v>176664.76190412001</v>
      </c>
      <c r="M55" s="12">
        <f t="shared" si="42"/>
        <v>-18</v>
      </c>
      <c r="N55" s="14">
        <f t="shared" si="43"/>
        <v>-24420.952380899951</v>
      </c>
      <c r="O55" s="13">
        <f t="shared" si="44"/>
        <v>-0.12144548640728184</v>
      </c>
      <c r="Q55" s="16"/>
      <c r="R55" s="15" t="s">
        <v>10</v>
      </c>
      <c r="S55" s="12">
        <v>159</v>
      </c>
      <c r="T55" s="14">
        <v>146878.09523749998</v>
      </c>
      <c r="U55" s="12">
        <f t="shared" si="3"/>
        <v>-18</v>
      </c>
      <c r="V55" s="14">
        <f t="shared" si="4"/>
        <v>-29786.666666620033</v>
      </c>
      <c r="W55" s="13">
        <f t="shared" si="5"/>
        <v>-0.16860559143529674</v>
      </c>
      <c r="Y55" s="16"/>
      <c r="Z55" s="15" t="s">
        <v>10</v>
      </c>
      <c r="AA55" s="12">
        <v>178</v>
      </c>
      <c r="AB55" s="14">
        <v>165220.95238037998</v>
      </c>
      <c r="AC55" s="12">
        <f t="shared" si="6"/>
        <v>19</v>
      </c>
      <c r="AD55" s="14">
        <f t="shared" si="7"/>
        <v>18342.857142880006</v>
      </c>
      <c r="AE55" s="13">
        <f t="shared" si="8"/>
        <v>0.12488490617487819</v>
      </c>
      <c r="AG55" s="16"/>
      <c r="AH55" s="15" t="s">
        <v>10</v>
      </c>
      <c r="AI55" s="12">
        <v>173</v>
      </c>
      <c r="AJ55" s="14">
        <v>137703.80952326997</v>
      </c>
      <c r="AK55" s="12">
        <f t="shared" si="9"/>
        <v>-5</v>
      </c>
      <c r="AL55" s="14">
        <f t="shared" si="10"/>
        <v>-27517.142857110011</v>
      </c>
      <c r="AM55" s="13">
        <f t="shared" si="11"/>
        <v>-0.1665475380734924</v>
      </c>
      <c r="AO55" s="16"/>
      <c r="AP55" s="15" t="s">
        <v>10</v>
      </c>
      <c r="AQ55" s="12">
        <v>181</v>
      </c>
      <c r="AR55" s="14">
        <v>146166.66666607998</v>
      </c>
      <c r="AS55" s="12">
        <f t="shared" si="12"/>
        <v>8</v>
      </c>
      <c r="AT55" s="14">
        <f t="shared" si="13"/>
        <v>8462.8571428100113</v>
      </c>
      <c r="AU55" s="13">
        <f t="shared" si="14"/>
        <v>6.1456957306470959E-2</v>
      </c>
      <c r="AW55" s="16"/>
      <c r="AX55" s="15" t="s">
        <v>10</v>
      </c>
      <c r="AY55" s="12">
        <v>182</v>
      </c>
      <c r="AZ55" s="14">
        <v>165979.04761844996</v>
      </c>
      <c r="BA55" s="12">
        <f t="shared" si="15"/>
        <v>1</v>
      </c>
      <c r="BB55" s="14">
        <f t="shared" si="16"/>
        <v>19812.380952369975</v>
      </c>
      <c r="BC55" s="13">
        <f t="shared" si="17"/>
        <v>0.13554650594606271</v>
      </c>
      <c r="BE55" s="16"/>
      <c r="BF55" s="15" t="s">
        <v>10</v>
      </c>
      <c r="BG55" s="12">
        <v>192</v>
      </c>
      <c r="BH55" s="14">
        <v>165906.66666602998</v>
      </c>
      <c r="BI55" s="12">
        <f t="shared" si="30"/>
        <v>10</v>
      </c>
      <c r="BJ55" s="14">
        <f t="shared" si="31"/>
        <v>-72.380952419975074</v>
      </c>
      <c r="BK55" s="13">
        <f t="shared" si="32"/>
        <v>-4.3608487612462553E-4</v>
      </c>
      <c r="BM55" s="16"/>
      <c r="BN55" s="15" t="s">
        <v>10</v>
      </c>
      <c r="BO55" s="12">
        <v>189</v>
      </c>
      <c r="BP55" s="14">
        <v>148811.42857085995</v>
      </c>
      <c r="BQ55" s="12">
        <f t="shared" si="21"/>
        <v>-3</v>
      </c>
      <c r="BR55" s="14">
        <f t="shared" si="22"/>
        <v>-17095.238095170032</v>
      </c>
      <c r="BS55" s="13">
        <f t="shared" si="23"/>
        <v>-0.10304129688521038</v>
      </c>
    </row>
    <row r="56" spans="1:71" s="12" customFormat="1" ht="20" customHeight="1">
      <c r="A56" s="16"/>
      <c r="B56" s="15" t="s">
        <v>9</v>
      </c>
      <c r="C56" s="12">
        <v>137</v>
      </c>
      <c r="D56" s="14">
        <v>223028.57142847998</v>
      </c>
      <c r="F56" s="14"/>
      <c r="G56" s="13"/>
      <c r="I56" s="16"/>
      <c r="J56" s="15" t="s">
        <v>9</v>
      </c>
      <c r="K56" s="12">
        <v>113</v>
      </c>
      <c r="L56" s="14">
        <v>146590.47619036003</v>
      </c>
      <c r="M56" s="12">
        <f t="shared" si="42"/>
        <v>-24</v>
      </c>
      <c r="N56" s="14">
        <f t="shared" si="43"/>
        <v>-76438.095238119946</v>
      </c>
      <c r="O56" s="13">
        <f t="shared" si="44"/>
        <v>-0.34272781621000448</v>
      </c>
      <c r="Q56" s="16"/>
      <c r="R56" s="15" t="s">
        <v>9</v>
      </c>
      <c r="S56" s="12">
        <v>106</v>
      </c>
      <c r="T56" s="14">
        <v>106586.66666656001</v>
      </c>
      <c r="U56" s="12">
        <f t="shared" si="3"/>
        <v>-7</v>
      </c>
      <c r="V56" s="14">
        <f t="shared" si="4"/>
        <v>-40003.809523800024</v>
      </c>
      <c r="W56" s="13">
        <f t="shared" si="5"/>
        <v>-0.27289501039516184</v>
      </c>
      <c r="Y56" s="16"/>
      <c r="Z56" s="15" t="s">
        <v>9</v>
      </c>
      <c r="AA56" s="12">
        <v>116</v>
      </c>
      <c r="AB56" s="14">
        <v>93466.666666580015</v>
      </c>
      <c r="AC56" s="12">
        <f t="shared" si="6"/>
        <v>10</v>
      </c>
      <c r="AD56" s="14">
        <f t="shared" si="7"/>
        <v>-13119.999999979991</v>
      </c>
      <c r="AE56" s="13">
        <f t="shared" si="8"/>
        <v>-0.12309231923936502</v>
      </c>
      <c r="AG56" s="16"/>
      <c r="AH56" s="15" t="s">
        <v>9</v>
      </c>
      <c r="AI56" s="12">
        <v>97</v>
      </c>
      <c r="AJ56" s="14">
        <v>87552.380952290026</v>
      </c>
      <c r="AK56" s="12">
        <f t="shared" si="9"/>
        <v>-19</v>
      </c>
      <c r="AL56" s="14">
        <f t="shared" si="10"/>
        <v>-5914.2857142899884</v>
      </c>
      <c r="AM56" s="13">
        <f t="shared" si="11"/>
        <v>-6.3276951294174086E-2</v>
      </c>
      <c r="AO56" s="16"/>
      <c r="AP56" s="15" t="s">
        <v>9</v>
      </c>
      <c r="AQ56" s="12">
        <v>59</v>
      </c>
      <c r="AR56" s="14">
        <v>44429.523809440005</v>
      </c>
      <c r="AS56" s="12">
        <f t="shared" si="12"/>
        <v>-38</v>
      </c>
      <c r="AT56" s="14">
        <f t="shared" si="13"/>
        <v>-43122.857142850022</v>
      </c>
      <c r="AU56" s="13">
        <f t="shared" si="14"/>
        <v>-0.49253780050081092</v>
      </c>
      <c r="AW56" s="16"/>
      <c r="AX56" s="15" t="s">
        <v>9</v>
      </c>
      <c r="AY56" s="12">
        <v>73</v>
      </c>
      <c r="AZ56" s="14">
        <v>67780.952380880015</v>
      </c>
      <c r="BA56" s="12">
        <f t="shared" si="15"/>
        <v>14</v>
      </c>
      <c r="BB56" s="14">
        <f t="shared" si="16"/>
        <v>23351.42857144001</v>
      </c>
      <c r="BC56" s="13">
        <f t="shared" si="17"/>
        <v>0.5255835887774809</v>
      </c>
      <c r="BE56" s="16"/>
      <c r="BF56" s="15" t="s">
        <v>9</v>
      </c>
      <c r="BG56" s="12">
        <v>79</v>
      </c>
      <c r="BH56" s="14">
        <v>62961.904761820013</v>
      </c>
      <c r="BI56" s="12">
        <f t="shared" si="30"/>
        <v>6</v>
      </c>
      <c r="BJ56" s="14">
        <f t="shared" si="31"/>
        <v>-4819.047619060002</v>
      </c>
      <c r="BK56" s="13">
        <f t="shared" si="32"/>
        <v>-7.1097372488666641E-2</v>
      </c>
      <c r="BM56" s="16"/>
      <c r="BN56" s="15" t="s">
        <v>9</v>
      </c>
      <c r="BO56" s="12">
        <v>88</v>
      </c>
      <c r="BP56" s="14">
        <v>83067.619047529995</v>
      </c>
      <c r="BQ56" s="12">
        <f t="shared" si="21"/>
        <v>9</v>
      </c>
      <c r="BR56" s="14">
        <f t="shared" si="22"/>
        <v>20105.714285709983</v>
      </c>
      <c r="BS56" s="13">
        <f t="shared" si="23"/>
        <v>0.31933141733510662</v>
      </c>
    </row>
    <row r="57" spans="1:71" s="12" customFormat="1" ht="20" customHeight="1">
      <c r="A57" s="16"/>
      <c r="B57" s="15" t="s">
        <v>8</v>
      </c>
      <c r="C57" s="12">
        <v>15</v>
      </c>
      <c r="D57" s="14">
        <v>95286.66666665001</v>
      </c>
      <c r="F57" s="14"/>
      <c r="G57" s="13"/>
      <c r="I57" s="16"/>
      <c r="J57" s="15" t="s">
        <v>8</v>
      </c>
      <c r="K57" s="12">
        <v>20</v>
      </c>
      <c r="L57" s="14">
        <v>119809.52380950999</v>
      </c>
      <c r="M57" s="12">
        <f t="shared" si="42"/>
        <v>5</v>
      </c>
      <c r="N57" s="14">
        <f t="shared" si="43"/>
        <v>24522.857142859983</v>
      </c>
      <c r="O57" s="13">
        <f t="shared" si="44"/>
        <v>0.2573587470390849</v>
      </c>
      <c r="Q57" s="16"/>
      <c r="R57" s="15" t="s">
        <v>8</v>
      </c>
      <c r="S57" s="12">
        <v>20</v>
      </c>
      <c r="T57" s="14">
        <v>122666.66666665</v>
      </c>
      <c r="U57" s="12">
        <f t="shared" si="3"/>
        <v>0</v>
      </c>
      <c r="V57" s="14">
        <f t="shared" si="4"/>
        <v>2857.1428571400029</v>
      </c>
      <c r="W57" s="13">
        <f t="shared" si="5"/>
        <v>2.3847376788532187E-2</v>
      </c>
      <c r="Y57" s="16"/>
      <c r="Z57" s="15" t="s">
        <v>8</v>
      </c>
      <c r="AA57" s="12">
        <v>10</v>
      </c>
      <c r="AB57" s="14">
        <v>54186.666666650002</v>
      </c>
      <c r="AC57" s="12">
        <f t="shared" si="6"/>
        <v>-10</v>
      </c>
      <c r="AD57" s="14">
        <f t="shared" si="7"/>
        <v>-68480</v>
      </c>
      <c r="AE57" s="13">
        <f t="shared" si="8"/>
        <v>-0.55826086956529331</v>
      </c>
      <c r="AG57" s="16"/>
      <c r="AH57" s="15" t="s">
        <v>8</v>
      </c>
      <c r="AI57" s="12">
        <v>10</v>
      </c>
      <c r="AJ57" s="14">
        <v>51333.333333329996</v>
      </c>
      <c r="AK57" s="12">
        <f t="shared" si="9"/>
        <v>0</v>
      </c>
      <c r="AL57" s="14">
        <f t="shared" si="10"/>
        <v>-2853.3333333200062</v>
      </c>
      <c r="AM57" s="13">
        <f t="shared" si="11"/>
        <v>-5.2657480314730873E-2</v>
      </c>
      <c r="AO57" s="16"/>
      <c r="AP57" s="15" t="s">
        <v>8</v>
      </c>
      <c r="AQ57" s="12">
        <v>12</v>
      </c>
      <c r="AR57" s="14">
        <v>55599.999999989996</v>
      </c>
      <c r="AS57" s="12">
        <f t="shared" si="12"/>
        <v>2</v>
      </c>
      <c r="AT57" s="14">
        <f t="shared" si="13"/>
        <v>4266.6666666599995</v>
      </c>
      <c r="AU57" s="13">
        <f t="shared" si="14"/>
        <v>8.3116883116758633E-2</v>
      </c>
      <c r="AW57" s="16"/>
      <c r="AX57" s="15" t="s">
        <v>8</v>
      </c>
      <c r="AY57" s="12">
        <v>17</v>
      </c>
      <c r="AZ57" s="14">
        <v>114123.8095238</v>
      </c>
      <c r="BA57" s="12">
        <f t="shared" si="15"/>
        <v>5</v>
      </c>
      <c r="BB57" s="14">
        <f t="shared" si="16"/>
        <v>58523.80952381</v>
      </c>
      <c r="BC57" s="13">
        <f t="shared" si="17"/>
        <v>1.052586502226988</v>
      </c>
      <c r="BE57" s="16"/>
      <c r="BF57" s="15" t="s">
        <v>8</v>
      </c>
      <c r="BG57" s="12">
        <v>44</v>
      </c>
      <c r="BH57" s="14">
        <v>308152.38095237</v>
      </c>
      <c r="BI57" s="12">
        <f t="shared" si="30"/>
        <v>27</v>
      </c>
      <c r="BJ57" s="14">
        <f t="shared" si="31"/>
        <v>194028.57142857002</v>
      </c>
      <c r="BK57" s="13">
        <f t="shared" si="32"/>
        <v>1.7001585579572356</v>
      </c>
      <c r="BM57" s="16"/>
      <c r="BN57" s="15" t="s">
        <v>8</v>
      </c>
      <c r="BO57" s="12">
        <v>29</v>
      </c>
      <c r="BP57" s="14">
        <v>207939.04761903</v>
      </c>
      <c r="BQ57" s="12">
        <f t="shared" si="21"/>
        <v>-15</v>
      </c>
      <c r="BR57" s="14">
        <f t="shared" si="22"/>
        <v>-100213.33333334001</v>
      </c>
      <c r="BS57" s="13">
        <f t="shared" si="23"/>
        <v>-0.32520707133147098</v>
      </c>
    </row>
    <row r="58" spans="1:71" s="12" customFormat="1" ht="20" customHeight="1">
      <c r="A58" s="16"/>
      <c r="B58" s="15" t="s">
        <v>7</v>
      </c>
      <c r="C58" s="12">
        <v>36</v>
      </c>
      <c r="D58" s="14">
        <v>448952.38095230004</v>
      </c>
      <c r="F58" s="14"/>
      <c r="G58" s="13"/>
      <c r="I58" s="16"/>
      <c r="J58" s="15" t="s">
        <v>7</v>
      </c>
      <c r="K58" s="12">
        <v>19</v>
      </c>
      <c r="L58" s="14">
        <v>279142.8571428</v>
      </c>
      <c r="M58" s="12">
        <f t="shared" si="42"/>
        <v>-17</v>
      </c>
      <c r="N58" s="14">
        <f t="shared" si="43"/>
        <v>-169809.52380950004</v>
      </c>
      <c r="O58" s="13">
        <f t="shared" si="44"/>
        <v>-0.37823504454816964</v>
      </c>
      <c r="Q58" s="16"/>
      <c r="R58" s="15" t="s">
        <v>7</v>
      </c>
      <c r="S58" s="12">
        <v>26</v>
      </c>
      <c r="T58" s="14">
        <v>334190.47619040008</v>
      </c>
      <c r="U58" s="12">
        <f t="shared" si="3"/>
        <v>7</v>
      </c>
      <c r="V58" s="14">
        <f t="shared" si="4"/>
        <v>55047.619047600077</v>
      </c>
      <c r="W58" s="13">
        <f t="shared" si="5"/>
        <v>0.19720232002726684</v>
      </c>
      <c r="Y58" s="16"/>
      <c r="Z58" s="15" t="s">
        <v>7</v>
      </c>
      <c r="AA58" s="12">
        <v>14</v>
      </c>
      <c r="AB58" s="14">
        <v>167238.09523805999</v>
      </c>
      <c r="AC58" s="12">
        <f t="shared" si="6"/>
        <v>-12</v>
      </c>
      <c r="AD58" s="14">
        <f t="shared" si="7"/>
        <v>-166952.38095234009</v>
      </c>
      <c r="AE58" s="13">
        <f t="shared" si="8"/>
        <v>-0.49957252778568545</v>
      </c>
      <c r="AG58" s="16"/>
      <c r="AH58" s="15" t="s">
        <v>7</v>
      </c>
      <c r="AI58" s="12">
        <v>11</v>
      </c>
      <c r="AJ58" s="14">
        <v>133238.09523804998</v>
      </c>
      <c r="AK58" s="12">
        <f t="shared" si="9"/>
        <v>-3</v>
      </c>
      <c r="AL58" s="14">
        <f t="shared" si="10"/>
        <v>-34000.000000010012</v>
      </c>
      <c r="AM58" s="13">
        <f t="shared" si="11"/>
        <v>-0.20330296127572914</v>
      </c>
      <c r="AO58" s="16"/>
      <c r="AP58" s="15" t="s">
        <v>7</v>
      </c>
      <c r="AQ58" s="12">
        <v>19</v>
      </c>
      <c r="AR58" s="14">
        <v>264857.14285708999</v>
      </c>
      <c r="AS58" s="12">
        <f t="shared" si="12"/>
        <v>8</v>
      </c>
      <c r="AT58" s="14">
        <f t="shared" si="13"/>
        <v>131619.04761904001</v>
      </c>
      <c r="AU58" s="13">
        <f t="shared" si="14"/>
        <v>0.9878484631882698</v>
      </c>
      <c r="AW58" s="16"/>
      <c r="AX58" s="15" t="s">
        <v>7</v>
      </c>
      <c r="AY58" s="12">
        <v>14</v>
      </c>
      <c r="AZ58" s="14">
        <v>158666.66666660999</v>
      </c>
      <c r="BA58" s="12">
        <f t="shared" si="15"/>
        <v>-5</v>
      </c>
      <c r="BB58" s="14">
        <f t="shared" si="16"/>
        <v>-106190.47619048</v>
      </c>
      <c r="BC58" s="13">
        <f t="shared" si="17"/>
        <v>-0.40093491549811672</v>
      </c>
      <c r="BE58" s="16"/>
      <c r="BF58" s="15" t="s">
        <v>7</v>
      </c>
      <c r="BG58" s="12">
        <v>17</v>
      </c>
      <c r="BH58" s="14">
        <v>237428.57142852998</v>
      </c>
      <c r="BI58" s="12">
        <f t="shared" si="30"/>
        <v>3</v>
      </c>
      <c r="BJ58" s="14">
        <f t="shared" si="31"/>
        <v>78761.904761919985</v>
      </c>
      <c r="BK58" s="13">
        <f t="shared" si="32"/>
        <v>0.49639855942404276</v>
      </c>
      <c r="BM58" s="16"/>
      <c r="BN58" s="15" t="s">
        <v>7</v>
      </c>
      <c r="BO58" s="12">
        <v>18</v>
      </c>
      <c r="BP58" s="14">
        <v>239809.52380944998</v>
      </c>
      <c r="BQ58" s="12">
        <f t="shared" si="21"/>
        <v>1</v>
      </c>
      <c r="BR58" s="14">
        <f t="shared" si="22"/>
        <v>2380.9523809200036</v>
      </c>
      <c r="BS58" s="13">
        <f t="shared" si="23"/>
        <v>1.0028078620001766E-2</v>
      </c>
    </row>
    <row r="59" spans="1:71" s="12" customFormat="1" ht="20" customHeight="1">
      <c r="A59" s="16"/>
      <c r="B59" s="15" t="s">
        <v>6</v>
      </c>
      <c r="C59" s="12">
        <v>0</v>
      </c>
      <c r="D59" s="14">
        <v>0</v>
      </c>
      <c r="F59" s="14"/>
      <c r="G59" s="13"/>
      <c r="I59" s="16"/>
      <c r="J59" s="15" t="s">
        <v>6</v>
      </c>
      <c r="K59" s="12">
        <v>0</v>
      </c>
      <c r="L59" s="14">
        <v>0</v>
      </c>
      <c r="M59" s="12">
        <f t="shared" si="42"/>
        <v>0</v>
      </c>
      <c r="N59" s="14">
        <f t="shared" si="43"/>
        <v>0</v>
      </c>
      <c r="O59" s="13" t="e">
        <f t="shared" si="44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3"/>
        <v>1</v>
      </c>
      <c r="V59" s="14">
        <f t="shared" si="4"/>
        <v>2857.1428571400002</v>
      </c>
      <c r="W59" s="13" t="e">
        <f t="shared" si="5"/>
        <v>#DIV/0!</v>
      </c>
      <c r="Y59" s="16"/>
      <c r="Z59" s="15" t="s">
        <v>6</v>
      </c>
      <c r="AA59" s="12">
        <v>1</v>
      </c>
      <c r="AB59" s="14">
        <v>8857.1428571399993</v>
      </c>
      <c r="AC59" s="12">
        <f t="shared" si="6"/>
        <v>0</v>
      </c>
      <c r="AD59" s="14">
        <f t="shared" si="7"/>
        <v>5999.9999999999991</v>
      </c>
      <c r="AE59" s="13">
        <f t="shared" si="8"/>
        <v>2.1000000000020997</v>
      </c>
      <c r="AG59" s="16"/>
      <c r="AH59" s="15" t="s">
        <v>6</v>
      </c>
      <c r="AJ59" s="14"/>
      <c r="AK59" s="12">
        <f t="shared" si="9"/>
        <v>-1</v>
      </c>
      <c r="AL59" s="14">
        <f t="shared" si="10"/>
        <v>-8857.1428571399993</v>
      </c>
      <c r="AM59" s="13">
        <f t="shared" si="11"/>
        <v>-1</v>
      </c>
      <c r="AO59" s="16"/>
      <c r="AP59" s="15" t="s">
        <v>6</v>
      </c>
      <c r="AR59" s="14"/>
      <c r="AS59" s="12">
        <f t="shared" si="12"/>
        <v>0</v>
      </c>
      <c r="AT59" s="14">
        <f t="shared" si="13"/>
        <v>0</v>
      </c>
      <c r="AU59" s="13" t="e">
        <f t="shared" si="14"/>
        <v>#DIV/0!</v>
      </c>
      <c r="AW59" s="16"/>
      <c r="AX59" s="15" t="s">
        <v>6</v>
      </c>
      <c r="AZ59" s="14"/>
      <c r="BA59" s="12">
        <f t="shared" si="15"/>
        <v>0</v>
      </c>
      <c r="BB59" s="14">
        <f t="shared" si="16"/>
        <v>0</v>
      </c>
      <c r="BC59" s="13" t="e">
        <f t="shared" si="17"/>
        <v>#DIV/0!</v>
      </c>
      <c r="BE59" s="16"/>
      <c r="BF59" s="15" t="s">
        <v>6</v>
      </c>
      <c r="BG59" s="12">
        <v>1</v>
      </c>
      <c r="BH59" s="14">
        <v>2857.1428571400002</v>
      </c>
      <c r="BI59" s="12">
        <f t="shared" si="30"/>
        <v>1</v>
      </c>
      <c r="BJ59" s="14">
        <f t="shared" si="31"/>
        <v>2857.1428571400002</v>
      </c>
      <c r="BK59" s="13" t="e">
        <f t="shared" si="32"/>
        <v>#DIV/0!</v>
      </c>
      <c r="BM59" s="16"/>
      <c r="BN59" s="15" t="s">
        <v>6</v>
      </c>
      <c r="BO59" s="12">
        <v>0</v>
      </c>
      <c r="BP59" s="14">
        <v>0</v>
      </c>
      <c r="BQ59" s="12">
        <f t="shared" si="21"/>
        <v>-1</v>
      </c>
      <c r="BR59" s="14">
        <f t="shared" si="22"/>
        <v>-2857.1428571400002</v>
      </c>
      <c r="BS59" s="13">
        <f t="shared" si="23"/>
        <v>-1</v>
      </c>
    </row>
    <row r="60" spans="1:71" s="12" customFormat="1" ht="20" customHeight="1">
      <c r="A60" s="16"/>
      <c r="B60" s="15" t="s">
        <v>5</v>
      </c>
      <c r="C60" s="12">
        <v>5</v>
      </c>
      <c r="D60" s="14">
        <v>14750</v>
      </c>
      <c r="F60" s="14"/>
      <c r="G60" s="13"/>
      <c r="I60" s="16"/>
      <c r="J60" s="15" t="s">
        <v>5</v>
      </c>
      <c r="K60" s="12">
        <v>4</v>
      </c>
      <c r="L60" s="14">
        <v>144623.80952380001</v>
      </c>
      <c r="M60" s="12">
        <f t="shared" si="42"/>
        <v>-1</v>
      </c>
      <c r="N60" s="14">
        <f t="shared" si="43"/>
        <v>129873.80952380001</v>
      </c>
      <c r="O60" s="13">
        <f t="shared" si="44"/>
        <v>8.8050040355118657</v>
      </c>
      <c r="Q60" s="16"/>
      <c r="R60" s="15" t="s">
        <v>5</v>
      </c>
      <c r="S60" s="12">
        <v>5</v>
      </c>
      <c r="T60" s="14">
        <v>29250</v>
      </c>
      <c r="U60" s="12">
        <f t="shared" si="3"/>
        <v>1</v>
      </c>
      <c r="V60" s="14">
        <f t="shared" si="4"/>
        <v>-115373.80952380001</v>
      </c>
      <c r="W60" s="13">
        <f t="shared" si="5"/>
        <v>-0.79775114418358284</v>
      </c>
      <c r="Y60" s="16"/>
      <c r="Z60" s="15" t="s">
        <v>5</v>
      </c>
      <c r="AA60" s="12">
        <v>1</v>
      </c>
      <c r="AB60" s="14">
        <v>4890</v>
      </c>
      <c r="AC60" s="12">
        <f t="shared" si="6"/>
        <v>-4</v>
      </c>
      <c r="AD60" s="14">
        <f t="shared" si="7"/>
        <v>-24360</v>
      </c>
      <c r="AE60" s="13">
        <f t="shared" si="8"/>
        <v>-0.83282051282051284</v>
      </c>
      <c r="AG60" s="16"/>
      <c r="AH60" s="15" t="s">
        <v>5</v>
      </c>
      <c r="AI60" s="12">
        <v>2</v>
      </c>
      <c r="AJ60" s="14">
        <v>12580</v>
      </c>
      <c r="AK60" s="12">
        <f t="shared" si="9"/>
        <v>1</v>
      </c>
      <c r="AL60" s="14">
        <f t="shared" si="10"/>
        <v>7690</v>
      </c>
      <c r="AM60" s="13">
        <f t="shared" si="11"/>
        <v>1.572597137014315</v>
      </c>
      <c r="AO60" s="16"/>
      <c r="AP60" s="15" t="s">
        <v>5</v>
      </c>
      <c r="AQ60" s="12">
        <v>1</v>
      </c>
      <c r="AR60" s="14">
        <v>990</v>
      </c>
      <c r="AS60" s="12">
        <f t="shared" si="12"/>
        <v>-1</v>
      </c>
      <c r="AT60" s="14">
        <f t="shared" si="13"/>
        <v>-11590</v>
      </c>
      <c r="AU60" s="13">
        <f t="shared" si="14"/>
        <v>-0.92130365659777425</v>
      </c>
      <c r="AW60" s="16"/>
      <c r="AX60" s="15" t="s">
        <v>5</v>
      </c>
      <c r="AZ60" s="14"/>
      <c r="BA60" s="12">
        <f t="shared" si="15"/>
        <v>-1</v>
      </c>
      <c r="BB60" s="14">
        <f t="shared" si="16"/>
        <v>-990</v>
      </c>
      <c r="BC60" s="13">
        <f t="shared" si="17"/>
        <v>-1</v>
      </c>
      <c r="BE60" s="16"/>
      <c r="BF60" s="15" t="s">
        <v>5</v>
      </c>
      <c r="BG60" s="12">
        <v>2</v>
      </c>
      <c r="BH60" s="14">
        <v>7080</v>
      </c>
      <c r="BI60" s="12">
        <f t="shared" si="30"/>
        <v>2</v>
      </c>
      <c r="BJ60" s="14">
        <f t="shared" si="31"/>
        <v>7080</v>
      </c>
      <c r="BK60" s="13" t="e">
        <f t="shared" si="32"/>
        <v>#DIV/0!</v>
      </c>
      <c r="BM60" s="16"/>
      <c r="BN60" s="15" t="s">
        <v>5</v>
      </c>
      <c r="BO60" s="12">
        <v>2</v>
      </c>
      <c r="BP60" s="14">
        <v>11180</v>
      </c>
      <c r="BQ60" s="12">
        <f t="shared" si="21"/>
        <v>0</v>
      </c>
      <c r="BR60" s="14">
        <f t="shared" si="22"/>
        <v>4100</v>
      </c>
      <c r="BS60" s="13">
        <f t="shared" si="23"/>
        <v>0.57909604519774016</v>
      </c>
    </row>
    <row r="61" spans="1:71" s="12" customFormat="1" ht="20" customHeight="1">
      <c r="A61" s="16"/>
      <c r="B61" s="15" t="s">
        <v>4</v>
      </c>
      <c r="C61" s="12">
        <v>7</v>
      </c>
      <c r="D61" s="14">
        <v>295576.19047616998</v>
      </c>
      <c r="F61" s="14"/>
      <c r="G61" s="13"/>
      <c r="I61" s="16"/>
      <c r="J61" s="15" t="s">
        <v>4</v>
      </c>
      <c r="K61" s="12">
        <v>4</v>
      </c>
      <c r="L61" s="14">
        <v>144623.80952380001</v>
      </c>
      <c r="M61" s="12">
        <f t="shared" si="42"/>
        <v>-3</v>
      </c>
      <c r="N61" s="14">
        <f t="shared" si="43"/>
        <v>-150952.38095236997</v>
      </c>
      <c r="O61" s="13">
        <f t="shared" si="44"/>
        <v>-0.51070548243140745</v>
      </c>
      <c r="Q61" s="16"/>
      <c r="R61" s="15" t="s">
        <v>4</v>
      </c>
      <c r="S61" s="12">
        <v>4</v>
      </c>
      <c r="T61" s="14">
        <v>136790.47619046</v>
      </c>
      <c r="U61" s="12">
        <f t="shared" si="3"/>
        <v>0</v>
      </c>
      <c r="V61" s="14">
        <f t="shared" si="4"/>
        <v>-7833.3333333400078</v>
      </c>
      <c r="W61" s="13">
        <f t="shared" si="5"/>
        <v>-5.4163511244328798E-2</v>
      </c>
      <c r="Y61" s="16"/>
      <c r="Z61" s="15" t="s">
        <v>4</v>
      </c>
      <c r="AA61" s="12">
        <v>1</v>
      </c>
      <c r="AB61" s="14">
        <v>38000</v>
      </c>
      <c r="AC61" s="12">
        <f t="shared" si="6"/>
        <v>-3</v>
      </c>
      <c r="AD61" s="14">
        <f t="shared" si="7"/>
        <v>-98790.476190460002</v>
      </c>
      <c r="AE61" s="13">
        <f t="shared" si="8"/>
        <v>-0.72220288240614972</v>
      </c>
      <c r="AG61" s="16"/>
      <c r="AH61" s="15" t="s">
        <v>4</v>
      </c>
      <c r="AI61" s="12">
        <v>3</v>
      </c>
      <c r="AJ61" s="14">
        <v>103533.33333333</v>
      </c>
      <c r="AK61" s="12">
        <f t="shared" si="9"/>
        <v>2</v>
      </c>
      <c r="AL61" s="14">
        <f t="shared" si="10"/>
        <v>65533.333333329996</v>
      </c>
      <c r="AM61" s="13">
        <f t="shared" si="11"/>
        <v>1.724561403508684</v>
      </c>
      <c r="AO61" s="16"/>
      <c r="AP61" s="15" t="s">
        <v>4</v>
      </c>
      <c r="AQ61" s="12">
        <v>2</v>
      </c>
      <c r="AR61" s="14">
        <v>75999.999999990003</v>
      </c>
      <c r="AS61" s="12">
        <f t="shared" si="12"/>
        <v>-1</v>
      </c>
      <c r="AT61" s="14">
        <f t="shared" si="13"/>
        <v>-27533.333333339993</v>
      </c>
      <c r="AU61" s="13">
        <f t="shared" si="14"/>
        <v>-0.26593689632975737</v>
      </c>
      <c r="AW61" s="16"/>
      <c r="AX61" s="15" t="s">
        <v>4</v>
      </c>
      <c r="AY61" s="12">
        <v>1</v>
      </c>
      <c r="AZ61" s="14">
        <v>38000</v>
      </c>
      <c r="BA61" s="12">
        <f t="shared" si="15"/>
        <v>-1</v>
      </c>
      <c r="BB61" s="14">
        <f t="shared" si="16"/>
        <v>-37999.999999990003</v>
      </c>
      <c r="BC61" s="13">
        <f t="shared" si="17"/>
        <v>-0.49999999999993422</v>
      </c>
      <c r="BE61" s="16"/>
      <c r="BF61" s="15" t="s">
        <v>4</v>
      </c>
      <c r="BG61" s="12">
        <v>2</v>
      </c>
      <c r="BH61" s="14">
        <v>82666.666666659992</v>
      </c>
      <c r="BI61" s="12">
        <f t="shared" si="30"/>
        <v>1</v>
      </c>
      <c r="BJ61" s="14">
        <f t="shared" si="31"/>
        <v>44666.666666659992</v>
      </c>
      <c r="BK61" s="13">
        <f t="shared" si="32"/>
        <v>1.1754385964910525</v>
      </c>
      <c r="BM61" s="16"/>
      <c r="BN61" s="15" t="s">
        <v>4</v>
      </c>
      <c r="BO61" s="12">
        <v>6</v>
      </c>
      <c r="BP61" s="14">
        <v>226099.99999998999</v>
      </c>
      <c r="BQ61" s="12">
        <f t="shared" si="21"/>
        <v>4</v>
      </c>
      <c r="BR61" s="14">
        <f t="shared" si="22"/>
        <v>143433.33333333</v>
      </c>
      <c r="BS61" s="13">
        <f t="shared" si="23"/>
        <v>1.73508064516139</v>
      </c>
    </row>
    <row r="62" spans="1:71" s="12" customFormat="1" ht="20" customHeight="1">
      <c r="A62" s="16"/>
      <c r="B62" s="15" t="s">
        <v>3</v>
      </c>
      <c r="C62" s="12">
        <v>35</v>
      </c>
      <c r="D62" s="14">
        <v>608809.52380945999</v>
      </c>
      <c r="F62" s="14"/>
      <c r="G62" s="13"/>
      <c r="I62" s="16"/>
      <c r="J62" s="15" t="s">
        <v>3</v>
      </c>
      <c r="K62" s="12">
        <v>29</v>
      </c>
      <c r="L62" s="14">
        <v>530333.33333328005</v>
      </c>
      <c r="M62" s="12">
        <f t="shared" si="42"/>
        <v>-6</v>
      </c>
      <c r="N62" s="14">
        <f t="shared" si="43"/>
        <v>-78476.190476179938</v>
      </c>
      <c r="O62" s="13">
        <f t="shared" si="44"/>
        <v>-0.12890105592490822</v>
      </c>
      <c r="Q62" s="16"/>
      <c r="R62" s="15" t="s">
        <v>3</v>
      </c>
      <c r="S62" s="12">
        <v>21</v>
      </c>
      <c r="T62" s="14">
        <v>411095.23809518007</v>
      </c>
      <c r="U62" s="12">
        <f t="shared" si="3"/>
        <v>-8</v>
      </c>
      <c r="V62" s="14">
        <f t="shared" si="4"/>
        <v>-119238.09523809998</v>
      </c>
      <c r="W62" s="13">
        <f t="shared" si="5"/>
        <v>-0.22483613181290754</v>
      </c>
      <c r="Y62" s="16"/>
      <c r="Z62" s="15" t="s">
        <v>3</v>
      </c>
      <c r="AA62" s="12">
        <v>15</v>
      </c>
      <c r="AB62" s="14">
        <v>292761.90476186003</v>
      </c>
      <c r="AC62" s="12">
        <f t="shared" si="6"/>
        <v>-6</v>
      </c>
      <c r="AD62" s="14">
        <f t="shared" si="7"/>
        <v>-118333.33333332004</v>
      </c>
      <c r="AE62" s="13">
        <f t="shared" si="8"/>
        <v>-0.28784895169698499</v>
      </c>
      <c r="AG62" s="16"/>
      <c r="AH62" s="15" t="s">
        <v>3</v>
      </c>
      <c r="AI62" s="12">
        <v>10</v>
      </c>
      <c r="AJ62" s="14">
        <v>164761.90476187001</v>
      </c>
      <c r="AK62" s="12">
        <f t="shared" si="9"/>
        <v>-5</v>
      </c>
      <c r="AL62" s="14">
        <f t="shared" si="10"/>
        <v>-127999.99999999002</v>
      </c>
      <c r="AM62" s="13">
        <f t="shared" si="11"/>
        <v>-0.4372153545868902</v>
      </c>
      <c r="AO62" s="16"/>
      <c r="AP62" s="15" t="s">
        <v>3</v>
      </c>
      <c r="AQ62" s="12">
        <v>7</v>
      </c>
      <c r="AR62" s="14">
        <v>91238.095238070004</v>
      </c>
      <c r="AS62" s="12">
        <f t="shared" si="12"/>
        <v>-3</v>
      </c>
      <c r="AT62" s="14">
        <f t="shared" si="13"/>
        <v>-73523.80952380001</v>
      </c>
      <c r="AU62" s="13">
        <f t="shared" si="14"/>
        <v>-0.44624277456651035</v>
      </c>
      <c r="AW62" s="16"/>
      <c r="AX62" s="15" t="s">
        <v>3</v>
      </c>
      <c r="AY62" s="12">
        <v>12</v>
      </c>
      <c r="AZ62" s="14">
        <v>201238.09523807</v>
      </c>
      <c r="BA62" s="12">
        <f t="shared" si="15"/>
        <v>5</v>
      </c>
      <c r="BB62" s="14">
        <f t="shared" si="16"/>
        <v>110000</v>
      </c>
      <c r="BC62" s="13">
        <f t="shared" si="17"/>
        <v>1.2056367432153647</v>
      </c>
      <c r="BE62" s="16"/>
      <c r="BF62" s="15" t="s">
        <v>3</v>
      </c>
      <c r="BG62" s="12">
        <v>12</v>
      </c>
      <c r="BH62" s="14">
        <v>157904.76190473</v>
      </c>
      <c r="BI62" s="12">
        <f t="shared" si="30"/>
        <v>0</v>
      </c>
      <c r="BJ62" s="14">
        <f t="shared" si="31"/>
        <v>-43333.333333340008</v>
      </c>
      <c r="BK62" s="13">
        <f t="shared" si="32"/>
        <v>-0.2153336488405713</v>
      </c>
      <c r="BM62" s="16"/>
      <c r="BN62" s="15" t="s">
        <v>3</v>
      </c>
      <c r="BO62" s="12">
        <v>18</v>
      </c>
      <c r="BP62" s="14">
        <v>301952.38095232996</v>
      </c>
      <c r="BQ62" s="12">
        <f t="shared" si="21"/>
        <v>6</v>
      </c>
      <c r="BR62" s="14">
        <f t="shared" si="22"/>
        <v>144047.61904759996</v>
      </c>
      <c r="BS62" s="13">
        <f t="shared" si="23"/>
        <v>0.91224366706882098</v>
      </c>
    </row>
    <row r="63" spans="1:71" s="12" customFormat="1" ht="20" customHeight="1">
      <c r="A63" s="16"/>
      <c r="B63" s="15" t="s">
        <v>2</v>
      </c>
      <c r="C63" s="12">
        <v>59</v>
      </c>
      <c r="D63" s="14">
        <v>2527238.09523803</v>
      </c>
      <c r="F63" s="14"/>
      <c r="G63" s="13"/>
      <c r="I63" s="16"/>
      <c r="J63" s="15" t="s">
        <v>2</v>
      </c>
      <c r="K63" s="12">
        <v>66</v>
      </c>
      <c r="L63" s="14">
        <v>2725142.8571427902</v>
      </c>
      <c r="M63" s="12">
        <f t="shared" si="42"/>
        <v>7</v>
      </c>
      <c r="N63" s="14">
        <f t="shared" si="43"/>
        <v>197904.76190476026</v>
      </c>
      <c r="O63" s="13">
        <f t="shared" si="44"/>
        <v>7.8308712692193111E-2</v>
      </c>
      <c r="Q63" s="16"/>
      <c r="R63" s="15" t="s">
        <v>2</v>
      </c>
      <c r="S63" s="12">
        <v>54</v>
      </c>
      <c r="T63" s="14">
        <v>2164380.9523809301</v>
      </c>
      <c r="U63" s="12">
        <f t="shared" si="3"/>
        <v>-12</v>
      </c>
      <c r="V63" s="14">
        <f t="shared" si="4"/>
        <v>-560761.90476186015</v>
      </c>
      <c r="W63" s="13">
        <f t="shared" si="5"/>
        <v>-0.20577339763750876</v>
      </c>
      <c r="Y63" s="16"/>
      <c r="Z63" s="15" t="s">
        <v>2</v>
      </c>
      <c r="AA63" s="12">
        <v>85</v>
      </c>
      <c r="AB63" s="14">
        <v>3287142.85714282</v>
      </c>
      <c r="AC63" s="12">
        <f t="shared" si="6"/>
        <v>31</v>
      </c>
      <c r="AD63" s="14">
        <f t="shared" si="7"/>
        <v>1122761.9047618899</v>
      </c>
      <c r="AE63" s="13">
        <f t="shared" si="8"/>
        <v>0.51874504972278301</v>
      </c>
      <c r="AG63" s="16"/>
      <c r="AH63" s="15" t="s">
        <v>2</v>
      </c>
      <c r="AI63" s="12">
        <v>73</v>
      </c>
      <c r="AJ63" s="14">
        <v>2648285.7142856801</v>
      </c>
      <c r="AK63" s="12">
        <f t="shared" si="9"/>
        <v>-12</v>
      </c>
      <c r="AL63" s="14">
        <f t="shared" si="10"/>
        <v>-638857.14285713993</v>
      </c>
      <c r="AM63" s="13">
        <f t="shared" si="11"/>
        <v>-0.19435028248587702</v>
      </c>
      <c r="AO63" s="16"/>
      <c r="AP63" s="15" t="s">
        <v>2</v>
      </c>
      <c r="AQ63" s="12">
        <v>59</v>
      </c>
      <c r="AR63" s="14">
        <v>2314857.1428570999</v>
      </c>
      <c r="AS63" s="12">
        <f t="shared" si="12"/>
        <v>-14</v>
      </c>
      <c r="AT63" s="14">
        <f t="shared" si="13"/>
        <v>-333428.57142858021</v>
      </c>
      <c r="AU63" s="13">
        <f t="shared" si="14"/>
        <v>-0.12590354946596674</v>
      </c>
      <c r="AW63" s="16"/>
      <c r="AX63" s="15" t="s">
        <v>2</v>
      </c>
      <c r="AY63" s="12">
        <v>54</v>
      </c>
      <c r="AZ63" s="14">
        <v>1914857.1428570999</v>
      </c>
      <c r="BA63" s="12">
        <f t="shared" si="15"/>
        <v>-5</v>
      </c>
      <c r="BB63" s="14">
        <f t="shared" si="16"/>
        <v>-400000</v>
      </c>
      <c r="BC63" s="13">
        <f t="shared" si="17"/>
        <v>-0.17279684028635225</v>
      </c>
      <c r="BE63" s="16"/>
      <c r="BF63" s="15" t="s">
        <v>2</v>
      </c>
      <c r="BG63" s="12">
        <v>59</v>
      </c>
      <c r="BH63" s="14">
        <v>2176285.7142856899</v>
      </c>
      <c r="BI63" s="12">
        <f t="shared" si="30"/>
        <v>5</v>
      </c>
      <c r="BJ63" s="14">
        <f t="shared" si="31"/>
        <v>261428.57142858999</v>
      </c>
      <c r="BK63" s="13">
        <f t="shared" si="32"/>
        <v>0.13652641002687041</v>
      </c>
      <c r="BM63" s="16"/>
      <c r="BN63" s="15" t="s">
        <v>2</v>
      </c>
      <c r="BO63" s="12">
        <v>44</v>
      </c>
      <c r="BP63" s="14">
        <v>1583428.5714285402</v>
      </c>
      <c r="BQ63" s="12">
        <f t="shared" si="21"/>
        <v>-15</v>
      </c>
      <c r="BR63" s="14">
        <f t="shared" si="22"/>
        <v>-592857.14285714971</v>
      </c>
      <c r="BS63" s="13">
        <f t="shared" si="23"/>
        <v>-0.27241696205855942</v>
      </c>
    </row>
    <row r="64" spans="1:71" s="1" customFormat="1" ht="20" customHeight="1">
      <c r="A64" s="11" t="s">
        <v>1</v>
      </c>
      <c r="B64" s="11"/>
      <c r="C64" s="10">
        <v>489</v>
      </c>
      <c r="D64" s="9">
        <v>4414727.1428561099</v>
      </c>
      <c r="E64" s="29"/>
      <c r="F64" s="30"/>
      <c r="G64" s="31"/>
      <c r="I64" s="11" t="s">
        <v>1</v>
      </c>
      <c r="J64" s="11"/>
      <c r="K64" s="10">
        <v>429</v>
      </c>
      <c r="L64" s="9">
        <v>4128597.6190466601</v>
      </c>
      <c r="M64" s="10">
        <f t="shared" si="42"/>
        <v>-60</v>
      </c>
      <c r="N64" s="9">
        <f t="shared" si="43"/>
        <v>-286129.52380944975</v>
      </c>
      <c r="O64" s="8">
        <f t="shared" si="44"/>
        <v>-6.4812504725793335E-2</v>
      </c>
      <c r="Q64" s="11" t="s">
        <v>1</v>
      </c>
      <c r="R64" s="11"/>
      <c r="S64" s="10">
        <v>396</v>
      </c>
      <c r="T64" s="9">
        <v>3454695.7142848205</v>
      </c>
      <c r="U64" s="10">
        <f t="shared" si="3"/>
        <v>-33</v>
      </c>
      <c r="V64" s="9">
        <f t="shared" si="4"/>
        <v>-673901.90476183966</v>
      </c>
      <c r="W64" s="8">
        <f t="shared" si="5"/>
        <v>-0.16322779959298897</v>
      </c>
      <c r="Y64" s="11" t="s">
        <v>1</v>
      </c>
      <c r="Z64" s="11"/>
      <c r="AA64" s="10">
        <v>421</v>
      </c>
      <c r="AB64" s="9">
        <v>4111764.2857134901</v>
      </c>
      <c r="AC64" s="10">
        <f t="shared" si="6"/>
        <v>25</v>
      </c>
      <c r="AD64" s="9">
        <f t="shared" si="7"/>
        <v>657068.57142866962</v>
      </c>
      <c r="AE64" s="8">
        <f t="shared" si="8"/>
        <v>0.19019578734872566</v>
      </c>
      <c r="AG64" s="11" t="s">
        <v>1</v>
      </c>
      <c r="AH64" s="11"/>
      <c r="AI64" s="10">
        <v>379</v>
      </c>
      <c r="AJ64" s="9">
        <v>3338988.5714278203</v>
      </c>
      <c r="AK64" s="10">
        <f t="shared" si="9"/>
        <v>-42</v>
      </c>
      <c r="AL64" s="9">
        <f t="shared" si="10"/>
        <v>-772775.71428566985</v>
      </c>
      <c r="AM64" s="8">
        <f t="shared" si="11"/>
        <v>-0.18794261066246279</v>
      </c>
      <c r="AO64" s="11" t="s">
        <v>1</v>
      </c>
      <c r="AP64" s="11"/>
      <c r="AQ64" s="10">
        <v>340</v>
      </c>
      <c r="AR64" s="9">
        <v>2994138.5714277597</v>
      </c>
      <c r="AS64" s="10">
        <f t="shared" si="12"/>
        <v>-39</v>
      </c>
      <c r="AT64" s="9">
        <f t="shared" si="13"/>
        <v>-344850.00000006054</v>
      </c>
      <c r="AU64" s="8">
        <f t="shared" si="14"/>
        <v>-0.10327977847872524</v>
      </c>
      <c r="AW64" s="11" t="s">
        <v>1</v>
      </c>
      <c r="AX64" s="11"/>
      <c r="AY64" s="10">
        <v>353</v>
      </c>
      <c r="AZ64" s="9">
        <v>2660645.7142849099</v>
      </c>
      <c r="BA64" s="10">
        <f t="shared" si="15"/>
        <v>13</v>
      </c>
      <c r="BB64" s="9">
        <f t="shared" si="16"/>
        <v>-333492.85714284983</v>
      </c>
      <c r="BC64" s="8">
        <f t="shared" si="17"/>
        <v>-0.11138190474057559</v>
      </c>
      <c r="BE64" s="11" t="s">
        <v>1</v>
      </c>
      <c r="BF64" s="11"/>
      <c r="BG64" s="10">
        <v>408</v>
      </c>
      <c r="BH64" s="9">
        <v>3201243.8095229696</v>
      </c>
      <c r="BI64" s="29">
        <f t="shared" si="30"/>
        <v>55</v>
      </c>
      <c r="BJ64" s="30">
        <f t="shared" si="31"/>
        <v>540598.09523805976</v>
      </c>
      <c r="BK64" s="31">
        <f t="shared" si="32"/>
        <v>0.20318304400154003</v>
      </c>
      <c r="BM64" s="11" t="s">
        <v>1</v>
      </c>
      <c r="BN64" s="11"/>
      <c r="BO64" s="10">
        <v>394</v>
      </c>
      <c r="BP64" s="9">
        <v>2802288.5714277299</v>
      </c>
      <c r="BQ64" s="29">
        <f t="shared" si="21"/>
        <v>-14</v>
      </c>
      <c r="BR64" s="30">
        <f t="shared" si="22"/>
        <v>-398955.23809523974</v>
      </c>
      <c r="BS64" s="31">
        <f t="shared" si="23"/>
        <v>-0.12462507132647596</v>
      </c>
    </row>
    <row r="65" spans="1:71" s="1" customFormat="1" ht="20" customHeight="1">
      <c r="A65" s="5" t="s">
        <v>0</v>
      </c>
      <c r="B65" s="5"/>
      <c r="C65" s="4">
        <v>2987</v>
      </c>
      <c r="D65" s="3">
        <v>28440384.285708785</v>
      </c>
      <c r="E65" s="7"/>
      <c r="F65" s="6"/>
      <c r="G65" s="32"/>
      <c r="I65" s="5" t="s">
        <v>0</v>
      </c>
      <c r="J65" s="5"/>
      <c r="K65" s="4">
        <v>3006</v>
      </c>
      <c r="L65" s="3">
        <v>24485272.857136972</v>
      </c>
      <c r="M65" s="4">
        <f t="shared" si="42"/>
        <v>19</v>
      </c>
      <c r="N65" s="3">
        <f t="shared" si="43"/>
        <v>-3955111.4285718128</v>
      </c>
      <c r="O65" s="2">
        <f t="shared" si="44"/>
        <v>-0.13906673654052015</v>
      </c>
      <c r="Q65" s="5" t="s">
        <v>0</v>
      </c>
      <c r="R65" s="5"/>
      <c r="S65" s="4">
        <v>3553</v>
      </c>
      <c r="T65" s="3">
        <v>47640380.47618521</v>
      </c>
      <c r="U65" s="4">
        <f t="shared" si="3"/>
        <v>547</v>
      </c>
      <c r="V65" s="3">
        <f t="shared" si="4"/>
        <v>23155107.619048238</v>
      </c>
      <c r="W65" s="2">
        <f t="shared" si="5"/>
        <v>0.94567488604885941</v>
      </c>
      <c r="Y65" s="5" t="s">
        <v>0</v>
      </c>
      <c r="Z65" s="5"/>
      <c r="AA65" s="4">
        <v>3622</v>
      </c>
      <c r="AB65" s="3">
        <v>44305820.952375174</v>
      </c>
      <c r="AC65" s="4">
        <f t="shared" si="6"/>
        <v>69</v>
      </c>
      <c r="AD65" s="3">
        <f t="shared" si="7"/>
        <v>-3334559.5238100365</v>
      </c>
      <c r="AE65" s="2">
        <f t="shared" si="8"/>
        <v>-6.9994393211803549E-2</v>
      </c>
      <c r="AG65" s="5" t="s">
        <v>0</v>
      </c>
      <c r="AH65" s="5"/>
      <c r="AI65" s="4">
        <v>3055</v>
      </c>
      <c r="AJ65" s="3">
        <v>40394125.238090411</v>
      </c>
      <c r="AK65" s="4">
        <f t="shared" si="9"/>
        <v>-567</v>
      </c>
      <c r="AL65" s="3">
        <f t="shared" si="10"/>
        <v>-3911695.7142847627</v>
      </c>
      <c r="AM65" s="2">
        <f t="shared" si="11"/>
        <v>-8.828852801282E-2</v>
      </c>
      <c r="AO65" s="5" t="s">
        <v>0</v>
      </c>
      <c r="AP65" s="5"/>
      <c r="AQ65" s="4">
        <v>3218</v>
      </c>
      <c r="AR65" s="3">
        <v>40392109.047613889</v>
      </c>
      <c r="AS65" s="4">
        <f t="shared" si="12"/>
        <v>163</v>
      </c>
      <c r="AT65" s="3">
        <f t="shared" si="13"/>
        <v>-2016.1904765218496</v>
      </c>
      <c r="AU65" s="2">
        <f t="shared" si="14"/>
        <v>-4.991296295285643E-5</v>
      </c>
      <c r="AW65" s="5" t="s">
        <v>0</v>
      </c>
      <c r="AX65" s="5"/>
      <c r="AY65" s="4">
        <v>3031</v>
      </c>
      <c r="AZ65" s="3">
        <v>30664483.809518579</v>
      </c>
      <c r="BA65" s="4">
        <f t="shared" si="15"/>
        <v>-187</v>
      </c>
      <c r="BB65" s="3">
        <f t="shared" si="16"/>
        <v>-9727625.2380953096</v>
      </c>
      <c r="BC65" s="2">
        <f t="shared" si="17"/>
        <v>-0.24082984195325044</v>
      </c>
      <c r="BE65" s="5" t="s">
        <v>0</v>
      </c>
      <c r="BF65" s="5"/>
      <c r="BG65" s="4">
        <v>3400</v>
      </c>
      <c r="BH65" s="3">
        <v>35040738.095232792</v>
      </c>
      <c r="BI65" s="7">
        <f t="shared" si="30"/>
        <v>369</v>
      </c>
      <c r="BJ65" s="6">
        <f t="shared" si="31"/>
        <v>4376254.2857142128</v>
      </c>
      <c r="BK65" s="32">
        <f t="shared" si="32"/>
        <v>0.14271410250694574</v>
      </c>
      <c r="BM65" s="5" t="s">
        <v>0</v>
      </c>
      <c r="BN65" s="5"/>
      <c r="BO65" s="4">
        <v>2839</v>
      </c>
      <c r="BP65" s="3">
        <v>25850566.666661892</v>
      </c>
      <c r="BQ65" s="7">
        <f t="shared" si="21"/>
        <v>-561</v>
      </c>
      <c r="BR65" s="6">
        <f t="shared" si="22"/>
        <v>-9190171.4285709001</v>
      </c>
      <c r="BS65" s="32">
        <f t="shared" si="23"/>
        <v>-0.26227105729320244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3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60" operator="containsText" id="{60840A7F-E021-4B40-B286-D13634467BA2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49" operator="containsText" id="{96F4512B-498A-3E44-B11A-3104E93335E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38" operator="containsText" id="{59A196DB-3B52-FC49-B067-A760A3E265FD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27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16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5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2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1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2025-12-01T09:19:51Z</dcterms:modified>
</cp:coreProperties>
</file>