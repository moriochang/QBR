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C5E294B8-E65A-B442-B694-8FB4DF2CC58D}" xr6:coauthVersionLast="47" xr6:coauthVersionMax="47" xr10:uidLastSave="{00000000-0000-0000-0000-000000000000}"/>
  <bookViews>
    <workbookView xWindow="11840" yWindow="1880" windowWidth="19520" windowHeight="2016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65" i="2" l="1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<sst xmlns="http://schemas.openxmlformats.org/spreadsheetml/2006/main" count="846" uniqueCount="49">
  <si>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</si>
  <si>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</si>
  <si>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</si>
  <si>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</si>
  <si>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</si>
  <si>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</si>
  <si>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</si>
  <si>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</si>
  <si>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</si>
  <si>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</si>
  <si>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</si>
  <si>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</si>
  <si>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</si>
  <si>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</si>
  <si>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</si>
  <si>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</si>
  <si>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</si>
  <si>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</si>
  <si>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</si>
  <si>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</si>
  <si>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</si>
  <si>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</si>
  <si>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</si>
  <si>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</si>
  <si>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</si>
  <si>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</si>
  <si>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</si>
  <si>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</si>
  <si>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</si>
  <si>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</si>
  <si>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</si>
  <si>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</si>
  <si>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</si>
  <si>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</si>
  <si>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</si>
  <si>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</si>
  <si>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</si>
  <si>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</si>
  <si>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</si>
  <si>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</si>
  <si>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</si>
  <si>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</si>
  <si>
    <t>26Q1W10</t>
    <phoneticPr fontId="2" type="noConversion"/>
  </si>
  <si>
    <t>11-30~12/06</t>
    <phoneticPr fontId="2" type="noConversion"/>
  </si>
  <si>
    <t>09/28~10/04</t>
    <phoneticPr fontId="2" type="noConversion"/>
  </si>
  <si>
    <t>26Q1W11</t>
    <phoneticPr fontId="2" type="noConversion"/>
  </si>
  <si>
    <t>12/07~12/13</t>
    <phoneticPr fontId="2" type="noConversion"/>
  </si>
  <si>
    <t>26Q1W12</t>
    <phoneticPr fontId="2" type="noConversion"/>
  </si>
  <si>
    <t>12/14~12/20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</si>
</sst>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Q65"/>
  <sheetViews>
    <sheetView tabSelected="1" topLeftCell="A2" zoomScale="81" workbookViewId="0">
      <pane xSplit="1" topLeftCell="CA1" activePane="topRight" state="frozen"/>
      <selection pane="topRight" activeCell="CM12" sqref="CM12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</cols>
  <sheetData>
    <row r="1" spans="1:95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39</v>
      </c>
      <c r="BM1" s="28" t="s">
        <v>40</v>
      </c>
      <c r="BU1" s="28" t="s">
        <v>42</v>
      </c>
      <c r="CC1" s="28" t="s">
        <v>45</v>
      </c>
      <c r="CK1" s="28" t="s">
        <v>47</v>
      </c>
    </row>
    <row r="2" spans="1:95" s="22" customFormat="1" ht="18">
      <c r="A2" s="25" t="s">
        <v>44</v>
      </c>
      <c r="B2" s="24"/>
      <c r="D2" s="23"/>
      <c r="I2" s="33" t="s">
        <v>34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35</v>
      </c>
      <c r="AK2" s="24"/>
      <c r="AL2" s="24"/>
      <c r="AN2" s="23"/>
      <c r="AO2" s="22" t="s">
        <v>36</v>
      </c>
      <c r="AQ2" s="24"/>
      <c r="AR2" s="24"/>
      <c r="AT2" s="23"/>
      <c r="AW2" s="24" t="s">
        <v>37</v>
      </c>
      <c r="AX2" s="24"/>
      <c r="AZ2" s="23"/>
      <c r="BE2" s="22" t="s">
        <v>38</v>
      </c>
      <c r="BF2" s="23"/>
      <c r="BH2" s="23"/>
      <c r="BI2" s="23"/>
      <c r="BJ2" s="23"/>
      <c r="BK2" s="23"/>
      <c r="BM2" s="22" t="s">
        <v>41</v>
      </c>
      <c r="BN2" s="23"/>
      <c r="BP2" s="23"/>
      <c r="BQ2" s="23"/>
      <c r="BR2" s="23"/>
      <c r="BS2" s="23"/>
      <c r="BU2" s="22" t="s">
        <v>43</v>
      </c>
      <c r="BV2" s="23"/>
      <c r="BX2" s="23"/>
      <c r="BY2" s="23"/>
      <c r="BZ2" s="23"/>
      <c r="CA2" s="23"/>
      <c r="CC2" s="24" t="s">
        <v>46</v>
      </c>
      <c r="CD2" s="23"/>
      <c r="CF2" s="23"/>
      <c r="CG2" s="23"/>
      <c r="CH2" s="23"/>
      <c r="CI2" s="23"/>
      <c r="CK2" s="24" t="s">
        <v>48</v>
      </c>
      <c r="CL2" s="23"/>
      <c r="CN2" s="23"/>
      <c r="CO2" s="23"/>
      <c r="CP2" s="23"/>
      <c r="CQ2" s="23"/>
    </row>
    <row r="3" spans="1:95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95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  <c r="CC4" s="21" t="s">
        <v>18</v>
      </c>
      <c r="CD4" s="21" t="s">
        <v>17</v>
      </c>
      <c r="CE4" s="20" t="s">
        <v>16</v>
      </c>
      <c r="CF4" s="19" t="s">
        <v>15</v>
      </c>
      <c r="CG4" s="18" t="s">
        <v>14</v>
      </c>
      <c r="CH4" s="18" t="s">
        <v>14</v>
      </c>
      <c r="CI4" s="18" t="s">
        <v>14</v>
      </c>
      <c r="CK4" s="21" t="s">
        <v>18</v>
      </c>
      <c r="CL4" s="21" t="s">
        <v>17</v>
      </c>
      <c r="CM4" s="20" t="s">
        <v>16</v>
      </c>
      <c r="CN4" s="19" t="s">
        <v>15</v>
      </c>
      <c r="CO4" s="18" t="s">
        <v>14</v>
      </c>
      <c r="CP4" s="18" t="s">
        <v>14</v>
      </c>
      <c r="CQ4" s="18" t="s">
        <v>14</v>
      </c>
    </row>
    <row r="5" spans="1:95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  <c r="BT5" s="41"/>
      <c r="BU5" s="16">
        <v>75</v>
      </c>
      <c r="BV5" s="35" t="s">
        <v>32</v>
      </c>
      <c r="BW5" s="17">
        <v>8336</v>
      </c>
      <c r="BX5" s="36"/>
      <c r="BY5" s="12">
        <f t="shared" ref="BY5:BY65" si="24">BW5-BO5</f>
        <v>-470</v>
      </c>
      <c r="BZ5" s="14">
        <f t="shared" ref="BZ5:BZ65" si="25">BX5-BP5</f>
        <v>0</v>
      </c>
      <c r="CA5" s="13" t="e">
        <f t="shared" ref="CA5:CA65" si="26">(BX5-BP5)/BP5</f>
        <v>#DIV/0!</v>
      </c>
      <c r="CB5" s="41"/>
      <c r="CC5" s="16">
        <v>75</v>
      </c>
      <c r="CD5" s="35" t="s">
        <v>32</v>
      </c>
      <c r="CE5" s="17">
        <v>8335</v>
      </c>
      <c r="CF5" s="36"/>
      <c r="CG5" s="12">
        <f t="shared" ref="CG5:CG65" si="27">CE5-BW5</f>
        <v>-1</v>
      </c>
      <c r="CH5" s="14">
        <f t="shared" ref="CH5:CH65" si="28">CF5-BX5</f>
        <v>0</v>
      </c>
      <c r="CI5" s="13" t="e">
        <f t="shared" ref="CI5:CI65" si="29">(CF5-BX5)/BX5</f>
        <v>#DIV/0!</v>
      </c>
      <c r="CJ5" s="41"/>
      <c r="CK5" s="16">
        <v>75</v>
      </c>
      <c r="CL5" s="35" t="s">
        <v>32</v>
      </c>
      <c r="CM5" s="17"/>
      <c r="CN5" s="36"/>
      <c r="CO5" s="12">
        <f t="shared" ref="CO5:CO65" si="30">CM5-CE5</f>
        <v>-8335</v>
      </c>
      <c r="CP5" s="14">
        <f t="shared" ref="CP5:CP65" si="31">CN5-CF5</f>
        <v>0</v>
      </c>
      <c r="CQ5" s="13" t="e">
        <f t="shared" ref="CQ5:CQ65" si="32">(CN5-CF5)/CF5</f>
        <v>#DIV/0!</v>
      </c>
    </row>
    <row r="6" spans="1:95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33">K6-C6</f>
        <v>3</v>
      </c>
      <c r="N6" s="14">
        <f t="shared" ref="N6" si="34">L6-D6</f>
        <v>0</v>
      </c>
      <c r="O6" s="13" t="e">
        <f t="shared" ref="O6" si="35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  <c r="BU6" s="16"/>
      <c r="BV6" s="35" t="s">
        <v>33</v>
      </c>
      <c r="BW6" s="17">
        <v>27</v>
      </c>
      <c r="BX6" s="36"/>
      <c r="BY6" s="12">
        <f t="shared" si="24"/>
        <v>-7</v>
      </c>
      <c r="BZ6" s="14">
        <f t="shared" si="25"/>
        <v>0</v>
      </c>
      <c r="CA6" s="13" t="e">
        <f t="shared" si="26"/>
        <v>#DIV/0!</v>
      </c>
      <c r="CC6" s="16"/>
      <c r="CD6" s="35" t="s">
        <v>33</v>
      </c>
      <c r="CE6" s="17">
        <v>47</v>
      </c>
      <c r="CF6" s="36"/>
      <c r="CG6" s="12">
        <f t="shared" si="27"/>
        <v>20</v>
      </c>
      <c r="CH6" s="14">
        <f t="shared" si="28"/>
        <v>0</v>
      </c>
      <c r="CI6" s="13" t="e">
        <f t="shared" si="29"/>
        <v>#DIV/0!</v>
      </c>
      <c r="CK6" s="16"/>
      <c r="CL6" s="35" t="s">
        <v>33</v>
      </c>
      <c r="CN6" s="36"/>
      <c r="CO6" s="12">
        <f t="shared" si="30"/>
        <v>-47</v>
      </c>
      <c r="CP6" s="14">
        <f t="shared" si="31"/>
        <v>0</v>
      </c>
      <c r="CQ6" s="13" t="e">
        <f t="shared" si="32"/>
        <v>#DIV/0!</v>
      </c>
    </row>
    <row r="7" spans="1:95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36">K7-C7</f>
        <v>15</v>
      </c>
      <c r="N7" s="14">
        <f t="shared" ref="N7:N42" si="37">L7-D7</f>
        <v>34120.952380939736</v>
      </c>
      <c r="O7" s="13">
        <f t="shared" ref="O7:O42" si="38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39">BG7-AY7</f>
        <v>-24</v>
      </c>
      <c r="BJ7" s="14">
        <f t="shared" ref="BJ7:BJ65" si="40">BH7-AZ7</f>
        <v>-51955.238095139735</v>
      </c>
      <c r="BK7" s="13">
        <f t="shared" ref="BK7:BK65" si="41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  <c r="BU7" s="16"/>
      <c r="BV7" s="15" t="s">
        <v>10</v>
      </c>
      <c r="BW7" s="12">
        <v>254</v>
      </c>
      <c r="BX7" s="14">
        <v>267507.61904672981</v>
      </c>
      <c r="BY7" s="12">
        <f t="shared" si="24"/>
        <v>-11</v>
      </c>
      <c r="BZ7" s="14">
        <f t="shared" si="25"/>
        <v>-7816.1904761599726</v>
      </c>
      <c r="CA7" s="13">
        <f t="shared" si="26"/>
        <v>-2.8389082984521731E-2</v>
      </c>
      <c r="CC7" s="16"/>
      <c r="CD7" s="15" t="s">
        <v>10</v>
      </c>
      <c r="CE7" s="12">
        <v>277</v>
      </c>
      <c r="CF7" s="14">
        <v>282864.76190379006</v>
      </c>
      <c r="CG7" s="12">
        <f t="shared" si="27"/>
        <v>23</v>
      </c>
      <c r="CH7" s="14">
        <f t="shared" si="28"/>
        <v>15357.142857060244</v>
      </c>
      <c r="CI7" s="13">
        <f t="shared" si="29"/>
        <v>5.7408244713873242E-2</v>
      </c>
      <c r="CK7" s="16"/>
      <c r="CL7" s="15" t="s">
        <v>10</v>
      </c>
      <c r="CM7" s="12">
        <v>233</v>
      </c>
      <c r="CN7" s="14">
        <v>248118.09523729995</v>
      </c>
      <c r="CO7" s="12">
        <f t="shared" si="30"/>
        <v>-44</v>
      </c>
      <c r="CP7" s="14">
        <f t="shared" si="31"/>
        <v>-34746.666666490113</v>
      </c>
      <c r="CQ7" s="13">
        <f t="shared" si="32"/>
        <v>-0.12283844206196455</v>
      </c>
    </row>
    <row r="8" spans="1:95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36"/>
        <v>-121</v>
      </c>
      <c r="N8" s="14">
        <f t="shared" si="37"/>
        <v>-41953.333333299961</v>
      </c>
      <c r="O8" s="13">
        <f t="shared" si="38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39"/>
        <v>23</v>
      </c>
      <c r="BJ8" s="14">
        <f t="shared" si="40"/>
        <v>70825.714285709953</v>
      </c>
      <c r="BK8" s="13">
        <f t="shared" si="41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  <c r="BU8" s="16"/>
      <c r="BV8" s="15" t="s">
        <v>9</v>
      </c>
      <c r="BW8" s="12">
        <v>324</v>
      </c>
      <c r="BX8" s="14">
        <v>367419.04761880974</v>
      </c>
      <c r="BY8" s="12">
        <f t="shared" si="24"/>
        <v>-34</v>
      </c>
      <c r="BZ8" s="14">
        <f t="shared" si="25"/>
        <v>5388.5714284997084</v>
      </c>
      <c r="CA8" s="13">
        <f t="shared" si="26"/>
        <v>1.4884303347067047E-2</v>
      </c>
      <c r="CC8" s="16"/>
      <c r="CD8" s="15" t="s">
        <v>9</v>
      </c>
      <c r="CE8" s="12">
        <v>319</v>
      </c>
      <c r="CF8" s="14">
        <v>421211.42857125989</v>
      </c>
      <c r="CG8" s="12">
        <f t="shared" si="27"/>
        <v>-5</v>
      </c>
      <c r="CH8" s="14">
        <f t="shared" si="28"/>
        <v>53792.380952450156</v>
      </c>
      <c r="CI8" s="13">
        <f t="shared" si="29"/>
        <v>0.14640607584465443</v>
      </c>
      <c r="CK8" s="16"/>
      <c r="CL8" s="15" t="s">
        <v>9</v>
      </c>
      <c r="CM8" s="12">
        <v>244</v>
      </c>
      <c r="CN8" s="14">
        <v>313939.04761885991</v>
      </c>
      <c r="CO8" s="12">
        <f t="shared" si="30"/>
        <v>-75</v>
      </c>
      <c r="CP8" s="14">
        <f t="shared" si="31"/>
        <v>-107272.38095239998</v>
      </c>
      <c r="CQ8" s="13">
        <f t="shared" si="32"/>
        <v>-0.25467585558223238</v>
      </c>
    </row>
    <row r="9" spans="1:95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36"/>
        <v>23</v>
      </c>
      <c r="N9" s="14">
        <f t="shared" si="37"/>
        <v>146310.47619046993</v>
      </c>
      <c r="O9" s="13">
        <f t="shared" si="38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39"/>
        <v>148</v>
      </c>
      <c r="BJ9" s="14">
        <f t="shared" si="40"/>
        <v>1021451.4285714298</v>
      </c>
      <c r="BK9" s="13">
        <f t="shared" si="41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  <c r="BU9" s="16"/>
      <c r="BV9" s="15" t="s">
        <v>8</v>
      </c>
      <c r="BW9" s="12">
        <v>126</v>
      </c>
      <c r="BX9" s="14">
        <v>842444.76190473</v>
      </c>
      <c r="BY9" s="12">
        <f t="shared" si="24"/>
        <v>43</v>
      </c>
      <c r="BZ9" s="14">
        <f t="shared" si="25"/>
        <v>238176.19047619007</v>
      </c>
      <c r="CA9" s="13">
        <f t="shared" si="26"/>
        <v>0.39415617779544981</v>
      </c>
      <c r="CC9" s="16"/>
      <c r="CD9" s="15" t="s">
        <v>8</v>
      </c>
      <c r="CE9" s="12">
        <v>141</v>
      </c>
      <c r="CF9" s="14">
        <v>970085.7142857</v>
      </c>
      <c r="CG9" s="12">
        <f t="shared" si="27"/>
        <v>15</v>
      </c>
      <c r="CH9" s="14">
        <f t="shared" si="28"/>
        <v>127640.95238097</v>
      </c>
      <c r="CI9" s="13">
        <f t="shared" si="29"/>
        <v>0.15151254794721439</v>
      </c>
      <c r="CK9" s="16"/>
      <c r="CL9" s="15" t="s">
        <v>8</v>
      </c>
      <c r="CM9" s="12">
        <v>119</v>
      </c>
      <c r="CN9" s="14">
        <v>793152.38095235999</v>
      </c>
      <c r="CO9" s="12">
        <f t="shared" si="30"/>
        <v>-22</v>
      </c>
      <c r="CP9" s="14">
        <f t="shared" si="31"/>
        <v>-176933.33333334001</v>
      </c>
      <c r="CQ9" s="13">
        <f t="shared" si="32"/>
        <v>-0.18238938139978769</v>
      </c>
    </row>
    <row r="10" spans="1:95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36"/>
        <v>46</v>
      </c>
      <c r="N10" s="14">
        <f t="shared" si="37"/>
        <v>834666.66666666977</v>
      </c>
      <c r="O10" s="13">
        <f t="shared" si="38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39"/>
        <v>-18</v>
      </c>
      <c r="BJ10" s="14">
        <f t="shared" si="40"/>
        <v>-379238.09523808013</v>
      </c>
      <c r="BK10" s="13">
        <f t="shared" si="41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  <c r="BU10" s="16"/>
      <c r="BV10" s="15" t="s">
        <v>7</v>
      </c>
      <c r="BW10" s="12">
        <v>42</v>
      </c>
      <c r="BX10" s="14">
        <v>681714.2857141901</v>
      </c>
      <c r="BY10" s="12">
        <f t="shared" si="24"/>
        <v>-21</v>
      </c>
      <c r="BZ10" s="14">
        <f t="shared" si="25"/>
        <v>-341333.3333333499</v>
      </c>
      <c r="CA10" s="13">
        <f t="shared" si="26"/>
        <v>-0.33364364177997125</v>
      </c>
      <c r="CC10" s="16"/>
      <c r="CD10" s="15" t="s">
        <v>7</v>
      </c>
      <c r="CE10" s="12">
        <v>40</v>
      </c>
      <c r="CF10" s="14">
        <v>563809.52380946989</v>
      </c>
      <c r="CG10" s="12">
        <f t="shared" si="27"/>
        <v>-2</v>
      </c>
      <c r="CH10" s="14">
        <f t="shared" si="28"/>
        <v>-117904.76190472022</v>
      </c>
      <c r="CI10" s="13">
        <f t="shared" si="29"/>
        <v>-0.17295333892144957</v>
      </c>
      <c r="CK10" s="16"/>
      <c r="CL10" s="15" t="s">
        <v>7</v>
      </c>
      <c r="CM10" s="12">
        <v>78</v>
      </c>
      <c r="CN10" s="14">
        <v>1084952.38095229</v>
      </c>
      <c r="CO10" s="12">
        <f t="shared" si="30"/>
        <v>38</v>
      </c>
      <c r="CP10" s="14">
        <f t="shared" si="31"/>
        <v>521142.85714282014</v>
      </c>
      <c r="CQ10" s="13">
        <f t="shared" si="32"/>
        <v>0.92432432432434708</v>
      </c>
    </row>
    <row r="11" spans="1:95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36"/>
        <v>0</v>
      </c>
      <c r="N11" s="14">
        <f t="shared" si="37"/>
        <v>11999.999999989999</v>
      </c>
      <c r="O11" s="13">
        <f t="shared" si="38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39"/>
        <v>-2</v>
      </c>
      <c r="BJ11" s="14">
        <f t="shared" si="40"/>
        <v>-5714.2857142800012</v>
      </c>
      <c r="BK11" s="13">
        <f t="shared" si="41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  <c r="BU11" s="16"/>
      <c r="BV11" s="15" t="s">
        <v>6</v>
      </c>
      <c r="BW11" s="12">
        <v>1</v>
      </c>
      <c r="BX11" s="14">
        <v>2657.1428571400002</v>
      </c>
      <c r="BY11" s="12">
        <f t="shared" si="24"/>
        <v>-5</v>
      </c>
      <c r="BZ11" s="14">
        <f t="shared" si="25"/>
        <v>-22865.714285699996</v>
      </c>
      <c r="CA11" s="13">
        <f t="shared" si="26"/>
        <v>-0.89589163774771918</v>
      </c>
      <c r="CC11" s="16"/>
      <c r="CD11" s="15" t="s">
        <v>6</v>
      </c>
      <c r="CE11" s="12">
        <v>0</v>
      </c>
      <c r="CF11" s="14">
        <v>0</v>
      </c>
      <c r="CG11" s="12">
        <f t="shared" si="27"/>
        <v>-1</v>
      </c>
      <c r="CH11" s="14">
        <f t="shared" si="28"/>
        <v>-2657.1428571400002</v>
      </c>
      <c r="CI11" s="13">
        <f t="shared" si="29"/>
        <v>-1</v>
      </c>
      <c r="CK11" s="16"/>
      <c r="CL11" s="15" t="s">
        <v>6</v>
      </c>
      <c r="CM11" s="12">
        <v>0</v>
      </c>
      <c r="CN11" s="14">
        <v>0</v>
      </c>
      <c r="CO11" s="12">
        <f t="shared" si="30"/>
        <v>0</v>
      </c>
      <c r="CP11" s="14">
        <f t="shared" si="31"/>
        <v>0</v>
      </c>
      <c r="CQ11" s="13" t="e">
        <f t="shared" si="32"/>
        <v>#DIV/0!</v>
      </c>
    </row>
    <row r="12" spans="1:95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36"/>
        <v>-4</v>
      </c>
      <c r="N12" s="14">
        <f t="shared" si="37"/>
        <v>-32060</v>
      </c>
      <c r="O12" s="13">
        <f t="shared" si="38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39"/>
        <v>-5</v>
      </c>
      <c r="BJ12" s="14">
        <f t="shared" si="40"/>
        <v>-13850</v>
      </c>
      <c r="BK12" s="13">
        <f t="shared" si="41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  <c r="BU12" s="16"/>
      <c r="BV12" s="15" t="s">
        <v>5</v>
      </c>
      <c r="BW12" s="12">
        <v>6</v>
      </c>
      <c r="BX12" s="14">
        <v>32540</v>
      </c>
      <c r="BY12" s="12">
        <f t="shared" si="24"/>
        <v>-11</v>
      </c>
      <c r="BZ12" s="14">
        <f t="shared" si="25"/>
        <v>-59590</v>
      </c>
      <c r="CA12" s="13">
        <f t="shared" si="26"/>
        <v>-0.64680342993596007</v>
      </c>
      <c r="CC12" s="16"/>
      <c r="CD12" s="15" t="s">
        <v>5</v>
      </c>
      <c r="CE12" s="12">
        <v>7</v>
      </c>
      <c r="CF12" s="14">
        <v>43230</v>
      </c>
      <c r="CG12" s="12">
        <f t="shared" si="27"/>
        <v>1</v>
      </c>
      <c r="CH12" s="14">
        <f t="shared" si="28"/>
        <v>10690</v>
      </c>
      <c r="CI12" s="13">
        <f t="shared" si="29"/>
        <v>0.32851874615857407</v>
      </c>
      <c r="CK12" s="16"/>
      <c r="CL12" s="15" t="s">
        <v>5</v>
      </c>
      <c r="CM12" s="12">
        <v>7</v>
      </c>
      <c r="CN12" s="14">
        <v>32030</v>
      </c>
      <c r="CO12" s="12">
        <f t="shared" si="30"/>
        <v>0</v>
      </c>
      <c r="CP12" s="14">
        <f t="shared" si="31"/>
        <v>-11200</v>
      </c>
      <c r="CQ12" s="13">
        <f t="shared" si="32"/>
        <v>-0.2590793430488087</v>
      </c>
    </row>
    <row r="13" spans="1:95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36"/>
        <v>36</v>
      </c>
      <c r="N13" s="14">
        <f t="shared" si="37"/>
        <v>1377523.8095237501</v>
      </c>
      <c r="O13" s="13">
        <f t="shared" si="38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39"/>
        <v>-1</v>
      </c>
      <c r="BJ13" s="14">
        <f t="shared" si="40"/>
        <v>21761.904761879938</v>
      </c>
      <c r="BK13" s="13">
        <f t="shared" si="41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  <c r="BU13" s="16"/>
      <c r="BV13" s="15" t="s">
        <v>4</v>
      </c>
      <c r="BW13" s="12">
        <v>30</v>
      </c>
      <c r="BX13" s="14">
        <v>1284623.8095237501</v>
      </c>
      <c r="BY13" s="12">
        <f t="shared" si="24"/>
        <v>20</v>
      </c>
      <c r="BZ13" s="14">
        <f t="shared" si="25"/>
        <v>965571.42857138009</v>
      </c>
      <c r="CA13" s="13">
        <f t="shared" si="26"/>
        <v>3.0263727407053147</v>
      </c>
      <c r="CC13" s="16"/>
      <c r="CD13" s="15" t="s">
        <v>4</v>
      </c>
      <c r="CE13" s="12">
        <v>14</v>
      </c>
      <c r="CF13" s="14">
        <v>641538.09523804998</v>
      </c>
      <c r="CG13" s="12">
        <f t="shared" si="27"/>
        <v>-16</v>
      </c>
      <c r="CH13" s="14">
        <f t="shared" si="28"/>
        <v>-643085.71428570012</v>
      </c>
      <c r="CI13" s="13">
        <f t="shared" si="29"/>
        <v>-0.50060236274471037</v>
      </c>
      <c r="CK13" s="16"/>
      <c r="CL13" s="15" t="s">
        <v>4</v>
      </c>
      <c r="CM13" s="12">
        <v>27</v>
      </c>
      <c r="CN13" s="14">
        <v>1042190.47619042</v>
      </c>
      <c r="CO13" s="12">
        <f t="shared" si="30"/>
        <v>13</v>
      </c>
      <c r="CP13" s="14">
        <f t="shared" si="31"/>
        <v>400652.38095237</v>
      </c>
      <c r="CQ13" s="13">
        <f t="shared" si="32"/>
        <v>0.62451845638832004</v>
      </c>
    </row>
    <row r="14" spans="1:95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36"/>
        <v>53</v>
      </c>
      <c r="N14" s="14">
        <f t="shared" si="37"/>
        <v>948190.47619039996</v>
      </c>
      <c r="O14" s="13">
        <f t="shared" si="38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39"/>
        <v>-4</v>
      </c>
      <c r="BJ14" s="14">
        <f t="shared" si="40"/>
        <v>-187952.38095238013</v>
      </c>
      <c r="BK14" s="13">
        <f t="shared" si="41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  <c r="BU14" s="16"/>
      <c r="BV14" s="15" t="s">
        <v>3</v>
      </c>
      <c r="BW14" s="12">
        <v>71</v>
      </c>
      <c r="BX14" s="14">
        <v>1444952.38095225</v>
      </c>
      <c r="BY14" s="12">
        <f t="shared" si="24"/>
        <v>18</v>
      </c>
      <c r="BZ14" s="14">
        <f t="shared" si="25"/>
        <v>307571.42857139977</v>
      </c>
      <c r="CA14" s="13">
        <f t="shared" si="26"/>
        <v>0.27042076617123617</v>
      </c>
      <c r="CC14" s="16"/>
      <c r="CD14" s="15" t="s">
        <v>3</v>
      </c>
      <c r="CE14" s="12">
        <v>56</v>
      </c>
      <c r="CF14" s="14">
        <v>1187238.0952380102</v>
      </c>
      <c r="CG14" s="12">
        <f t="shared" si="27"/>
        <v>-15</v>
      </c>
      <c r="CH14" s="14">
        <f t="shared" si="28"/>
        <v>-257714.28571423981</v>
      </c>
      <c r="CI14" s="13">
        <f t="shared" si="29"/>
        <v>-0.17835486422355412</v>
      </c>
      <c r="CK14" s="16"/>
      <c r="CL14" s="15" t="s">
        <v>3</v>
      </c>
      <c r="CM14" s="12">
        <v>56</v>
      </c>
      <c r="CN14" s="14">
        <v>962571.42857135017</v>
      </c>
      <c r="CO14" s="12">
        <f t="shared" si="30"/>
        <v>0</v>
      </c>
      <c r="CP14" s="14">
        <f t="shared" si="31"/>
        <v>-224666.66666665999</v>
      </c>
      <c r="CQ14" s="13">
        <f t="shared" si="32"/>
        <v>-0.1892347184341488</v>
      </c>
    </row>
    <row r="15" spans="1:95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36"/>
        <v>-92</v>
      </c>
      <c r="N15" s="14">
        <f t="shared" si="37"/>
        <v>-4670519.0476190317</v>
      </c>
      <c r="O15" s="13">
        <f t="shared" si="38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39"/>
        <v>-5</v>
      </c>
      <c r="BJ15" s="14">
        <f t="shared" si="40"/>
        <v>-163926.66666667908</v>
      </c>
      <c r="BK15" s="13">
        <f t="shared" si="41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  <c r="BU15" s="16"/>
      <c r="BV15" s="15" t="s">
        <v>2</v>
      </c>
      <c r="BW15" s="12">
        <v>231</v>
      </c>
      <c r="BX15" s="14">
        <v>8895390.4761903901</v>
      </c>
      <c r="BY15" s="12">
        <f t="shared" si="24"/>
        <v>39</v>
      </c>
      <c r="BZ15" s="14">
        <f t="shared" si="25"/>
        <v>1570163.8095237799</v>
      </c>
      <c r="CA15" s="13">
        <f t="shared" si="26"/>
        <v>0.21435020115743295</v>
      </c>
      <c r="CC15" s="16"/>
      <c r="CD15" s="15" t="s">
        <v>2</v>
      </c>
      <c r="CE15" s="12">
        <v>224</v>
      </c>
      <c r="CF15" s="14">
        <v>8576784.7619046718</v>
      </c>
      <c r="CG15" s="12">
        <f t="shared" si="27"/>
        <v>-7</v>
      </c>
      <c r="CH15" s="14">
        <f t="shared" si="28"/>
        <v>-318605.71428571828</v>
      </c>
      <c r="CI15" s="13">
        <f t="shared" si="29"/>
        <v>-3.5816945319995311E-2</v>
      </c>
      <c r="CK15" s="16"/>
      <c r="CL15" s="15" t="s">
        <v>2</v>
      </c>
      <c r="CM15" s="12">
        <v>124</v>
      </c>
      <c r="CN15" s="14">
        <v>4699253.3333332594</v>
      </c>
      <c r="CO15" s="12">
        <f t="shared" si="30"/>
        <v>-100</v>
      </c>
      <c r="CP15" s="14">
        <f t="shared" si="31"/>
        <v>-3877531.4285714123</v>
      </c>
      <c r="CQ15" s="13">
        <f t="shared" si="32"/>
        <v>-0.45209615680157483</v>
      </c>
    </row>
    <row r="16" spans="1:95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36"/>
        <v>-44</v>
      </c>
      <c r="N16" s="9">
        <f t="shared" si="37"/>
        <v>-1391720.0000001118</v>
      </c>
      <c r="O16" s="8">
        <f t="shared" si="38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39"/>
        <v>112</v>
      </c>
      <c r="BJ16" s="30">
        <f t="shared" si="40"/>
        <v>311402.38095246069</v>
      </c>
      <c r="BK16" s="31">
        <f t="shared" si="41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  <c r="BU16" s="11" t="s">
        <v>26</v>
      </c>
      <c r="BV16" s="11"/>
      <c r="BW16" s="10">
        <v>1085</v>
      </c>
      <c r="BX16" s="9">
        <v>13819249.523807989</v>
      </c>
      <c r="BY16" s="29">
        <f t="shared" si="24"/>
        <v>38</v>
      </c>
      <c r="BZ16" s="30">
        <f t="shared" si="25"/>
        <v>2655266.1904760394</v>
      </c>
      <c r="CA16" s="31">
        <f t="shared" si="26"/>
        <v>0.23784218510505079</v>
      </c>
      <c r="CC16" s="11" t="s">
        <v>26</v>
      </c>
      <c r="CD16" s="11"/>
      <c r="CE16" s="10">
        <v>1079</v>
      </c>
      <c r="CF16" s="9">
        <v>12687705.238093801</v>
      </c>
      <c r="CG16" s="29">
        <f t="shared" si="27"/>
        <v>-6</v>
      </c>
      <c r="CH16" s="30">
        <f t="shared" si="28"/>
        <v>-1131544.2857141886</v>
      </c>
      <c r="CI16" s="31">
        <f t="shared" si="29"/>
        <v>-8.1881746455532825E-2</v>
      </c>
      <c r="CK16" s="11" t="s">
        <v>26</v>
      </c>
      <c r="CL16" s="11"/>
      <c r="CM16" s="10">
        <v>888</v>
      </c>
      <c r="CN16" s="9">
        <v>9176207.1428558379</v>
      </c>
      <c r="CO16" s="29">
        <f t="shared" si="30"/>
        <v>-191</v>
      </c>
      <c r="CP16" s="30">
        <f t="shared" si="31"/>
        <v>-3511498.0952379629</v>
      </c>
      <c r="CQ16" s="31">
        <f t="shared" si="32"/>
        <v>-0.27676384573429214</v>
      </c>
    </row>
    <row r="17" spans="1:95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36"/>
        <v>-958</v>
      </c>
      <c r="N17" s="14">
        <f t="shared" si="37"/>
        <v>0</v>
      </c>
      <c r="O17" s="13" t="e">
        <f t="shared" si="38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39"/>
        <v>-1227</v>
      </c>
      <c r="BJ17" s="14">
        <f t="shared" si="40"/>
        <v>0</v>
      </c>
      <c r="BK17" s="13" t="e">
        <f t="shared" si="41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  <c r="BU17" s="16">
        <v>76</v>
      </c>
      <c r="BV17" s="35" t="s">
        <v>32</v>
      </c>
      <c r="BW17" s="17">
        <v>5739</v>
      </c>
      <c r="BX17" s="36"/>
      <c r="BY17" s="12">
        <f t="shared" si="24"/>
        <v>-40</v>
      </c>
      <c r="BZ17" s="14">
        <f t="shared" si="25"/>
        <v>0</v>
      </c>
      <c r="CA17" s="13" t="e">
        <f t="shared" si="26"/>
        <v>#DIV/0!</v>
      </c>
      <c r="CC17" s="16">
        <v>76</v>
      </c>
      <c r="CD17" s="35" t="s">
        <v>32</v>
      </c>
      <c r="CE17" s="17">
        <v>5282</v>
      </c>
      <c r="CF17" s="36"/>
      <c r="CG17" s="12">
        <f t="shared" si="27"/>
        <v>-457</v>
      </c>
      <c r="CH17" s="14">
        <f t="shared" si="28"/>
        <v>0</v>
      </c>
      <c r="CI17" s="13" t="e">
        <f t="shared" si="29"/>
        <v>#DIV/0!</v>
      </c>
      <c r="CK17" s="16">
        <v>76</v>
      </c>
      <c r="CL17" s="35" t="s">
        <v>32</v>
      </c>
      <c r="CM17" s="17"/>
      <c r="CN17" s="36"/>
      <c r="CO17" s="12">
        <f t="shared" si="30"/>
        <v>-5282</v>
      </c>
      <c r="CP17" s="14">
        <f t="shared" si="31"/>
        <v>0</v>
      </c>
      <c r="CQ17" s="13" t="e">
        <f t="shared" si="32"/>
        <v>#DIV/0!</v>
      </c>
    </row>
    <row r="18" spans="1:95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36"/>
        <v>-6</v>
      </c>
      <c r="N18" s="14">
        <f t="shared" si="37"/>
        <v>0</v>
      </c>
      <c r="O18" s="13" t="e">
        <f t="shared" si="38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39"/>
        <v>18</v>
      </c>
      <c r="BJ18" s="14">
        <f t="shared" si="40"/>
        <v>0</v>
      </c>
      <c r="BK18" s="13" t="e">
        <f t="shared" si="41"/>
        <v>#DIV/0!</v>
      </c>
      <c r="BM18" s="16"/>
      <c r="BN18" s="35" t="s">
        <v>33</v>
      </c>
      <c r="BO18" s="17">
        <v>30</v>
      </c>
      <c r="BP18" s="36"/>
      <c r="BQ18" s="12">
        <f t="shared" si="21"/>
        <v>-15</v>
      </c>
      <c r="BR18" s="14">
        <f t="shared" si="22"/>
        <v>0</v>
      </c>
      <c r="BS18" s="13" t="e">
        <f t="shared" si="23"/>
        <v>#DIV/0!</v>
      </c>
      <c r="BU18" s="16"/>
      <c r="BV18" s="35" t="s">
        <v>33</v>
      </c>
      <c r="BW18" s="17">
        <v>15</v>
      </c>
      <c r="BX18" s="36"/>
      <c r="BY18" s="12">
        <f t="shared" si="24"/>
        <v>-15</v>
      </c>
      <c r="BZ18" s="14">
        <f t="shared" si="25"/>
        <v>0</v>
      </c>
      <c r="CA18" s="13" t="e">
        <f t="shared" si="26"/>
        <v>#DIV/0!</v>
      </c>
      <c r="CC18" s="16"/>
      <c r="CD18" s="35" t="s">
        <v>33</v>
      </c>
      <c r="CE18" s="17">
        <v>27</v>
      </c>
      <c r="CF18" s="36"/>
      <c r="CG18" s="12">
        <f t="shared" si="27"/>
        <v>12</v>
      </c>
      <c r="CH18" s="14">
        <f t="shared" si="28"/>
        <v>0</v>
      </c>
      <c r="CI18" s="13" t="e">
        <f t="shared" si="29"/>
        <v>#DIV/0!</v>
      </c>
      <c r="CK18" s="16"/>
      <c r="CL18" s="35" t="s">
        <v>33</v>
      </c>
      <c r="CM18" s="17"/>
      <c r="CN18" s="36"/>
      <c r="CO18" s="12">
        <f t="shared" si="30"/>
        <v>-27</v>
      </c>
      <c r="CP18" s="14">
        <f t="shared" si="31"/>
        <v>0</v>
      </c>
      <c r="CQ18" s="13" t="e">
        <f t="shared" si="32"/>
        <v>#DIV/0!</v>
      </c>
    </row>
    <row r="19" spans="1:95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42">K19-C19</f>
        <v>5</v>
      </c>
      <c r="N19" s="14">
        <f t="shared" ref="N19:N27" si="43">L19-D19</f>
        <v>16320.952380870236</v>
      </c>
      <c r="O19" s="13">
        <f t="shared" ref="O19:O27" si="44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39"/>
        <v>14</v>
      </c>
      <c r="BJ19" s="14">
        <f t="shared" si="40"/>
        <v>35514.285714209807</v>
      </c>
      <c r="BK19" s="13">
        <f t="shared" si="41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  <c r="BU19" s="16"/>
      <c r="BV19" s="15" t="s">
        <v>10</v>
      </c>
      <c r="BW19" s="12">
        <v>243</v>
      </c>
      <c r="BX19" s="14">
        <v>222998.09523728993</v>
      </c>
      <c r="BY19" s="12">
        <f t="shared" si="24"/>
        <v>42</v>
      </c>
      <c r="BZ19" s="14">
        <f t="shared" si="25"/>
        <v>23175.238095130044</v>
      </c>
      <c r="CA19" s="13">
        <f t="shared" si="26"/>
        <v>0.11597891465760843</v>
      </c>
      <c r="CC19" s="16"/>
      <c r="CD19" s="15" t="s">
        <v>10</v>
      </c>
      <c r="CE19" s="12">
        <v>302</v>
      </c>
      <c r="CF19" s="14">
        <v>272119.99999901006</v>
      </c>
      <c r="CG19" s="12">
        <f t="shared" si="27"/>
        <v>59</v>
      </c>
      <c r="CH19" s="14">
        <f t="shared" si="28"/>
        <v>49121.904761720129</v>
      </c>
      <c r="CI19" s="13">
        <f t="shared" si="29"/>
        <v>0.22027948135364128</v>
      </c>
      <c r="CK19" s="16"/>
      <c r="CL19" s="15" t="s">
        <v>10</v>
      </c>
      <c r="CM19" s="12">
        <v>179</v>
      </c>
      <c r="CN19" s="14">
        <v>198775.23809456985</v>
      </c>
      <c r="CO19" s="12">
        <f t="shared" si="30"/>
        <v>-123</v>
      </c>
      <c r="CP19" s="14">
        <f t="shared" si="31"/>
        <v>-73344.761904440209</v>
      </c>
      <c r="CQ19" s="13">
        <f t="shared" si="32"/>
        <v>-0.26953094923087983</v>
      </c>
    </row>
    <row r="20" spans="1:95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42"/>
        <v>16</v>
      </c>
      <c r="N20" s="14">
        <f t="shared" si="43"/>
        <v>-1189.5238095000386</v>
      </c>
      <c r="O20" s="13">
        <f t="shared" si="44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39"/>
        <v>-25</v>
      </c>
      <c r="BJ20" s="14">
        <f t="shared" si="40"/>
        <v>27284.761904729938</v>
      </c>
      <c r="BK20" s="13">
        <f t="shared" si="41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  <c r="BU20" s="16"/>
      <c r="BV20" s="15" t="s">
        <v>9</v>
      </c>
      <c r="BW20" s="12">
        <v>239</v>
      </c>
      <c r="BX20" s="14">
        <v>260047.61904747997</v>
      </c>
      <c r="BY20" s="12">
        <f t="shared" si="24"/>
        <v>30</v>
      </c>
      <c r="BZ20" s="14">
        <f t="shared" si="25"/>
        <v>-37343.809523810021</v>
      </c>
      <c r="CA20" s="13">
        <f t="shared" si="26"/>
        <v>-0.12557123688202751</v>
      </c>
      <c r="CC20" s="16"/>
      <c r="CD20" s="15" t="s">
        <v>9</v>
      </c>
      <c r="CE20" s="12">
        <v>228</v>
      </c>
      <c r="CF20" s="14">
        <v>262438.09523795999</v>
      </c>
      <c r="CG20" s="12">
        <f t="shared" si="27"/>
        <v>-11</v>
      </c>
      <c r="CH20" s="14">
        <f t="shared" si="28"/>
        <v>2390.4761904800253</v>
      </c>
      <c r="CI20" s="13">
        <f t="shared" si="29"/>
        <v>9.192455594233177E-3</v>
      </c>
      <c r="CK20" s="16"/>
      <c r="CL20" s="15" t="s">
        <v>9</v>
      </c>
      <c r="CM20" s="12">
        <v>244</v>
      </c>
      <c r="CN20" s="14">
        <v>270966.66666653997</v>
      </c>
      <c r="CO20" s="12">
        <f t="shared" si="30"/>
        <v>16</v>
      </c>
      <c r="CP20" s="14">
        <f t="shared" si="31"/>
        <v>8528.5714285799768</v>
      </c>
      <c r="CQ20" s="13">
        <f t="shared" si="32"/>
        <v>3.2497459718440959E-2</v>
      </c>
    </row>
    <row r="21" spans="1:95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42"/>
        <v>-1</v>
      </c>
      <c r="N21" s="14">
        <f t="shared" si="43"/>
        <v>4253.3333333399787</v>
      </c>
      <c r="O21" s="13">
        <f t="shared" si="44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39"/>
        <v>83</v>
      </c>
      <c r="BJ21" s="14">
        <f t="shared" si="40"/>
        <v>578200.95238095988</v>
      </c>
      <c r="BK21" s="13">
        <f t="shared" si="41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  <c r="BU21" s="16"/>
      <c r="BV21" s="15" t="s">
        <v>8</v>
      </c>
      <c r="BW21" s="12">
        <v>68</v>
      </c>
      <c r="BX21" s="14">
        <v>447091.42857140995</v>
      </c>
      <c r="BY21" s="12">
        <f t="shared" si="24"/>
        <v>-18</v>
      </c>
      <c r="BZ21" s="14">
        <f t="shared" si="25"/>
        <v>-137803.80952382</v>
      </c>
      <c r="CA21" s="13">
        <f t="shared" si="26"/>
        <v>-0.23560425961509268</v>
      </c>
      <c r="CC21" s="16"/>
      <c r="CD21" s="15" t="s">
        <v>8</v>
      </c>
      <c r="CE21" s="12">
        <v>71</v>
      </c>
      <c r="CF21" s="14">
        <v>445038.09523808002</v>
      </c>
      <c r="CG21" s="12">
        <f t="shared" si="27"/>
        <v>3</v>
      </c>
      <c r="CH21" s="14">
        <f t="shared" si="28"/>
        <v>-2053.3333333299379</v>
      </c>
      <c r="CI21" s="13">
        <f t="shared" si="29"/>
        <v>-4.5926475036458395E-3</v>
      </c>
      <c r="CK21" s="16"/>
      <c r="CL21" s="15" t="s">
        <v>8</v>
      </c>
      <c r="CM21" s="12">
        <v>72</v>
      </c>
      <c r="CN21" s="14">
        <v>495028.57142853999</v>
      </c>
      <c r="CO21" s="12">
        <f t="shared" si="30"/>
        <v>1</v>
      </c>
      <c r="CP21" s="14">
        <f t="shared" si="31"/>
        <v>49990.476190459973</v>
      </c>
      <c r="CQ21" s="13">
        <f t="shared" si="32"/>
        <v>0.11232853260284784</v>
      </c>
    </row>
    <row r="22" spans="1:95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42"/>
        <v>-2</v>
      </c>
      <c r="N22" s="14">
        <f t="shared" si="43"/>
        <v>-128857.14285715017</v>
      </c>
      <c r="O22" s="13">
        <f t="shared" si="44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39"/>
        <v>11</v>
      </c>
      <c r="BJ22" s="14">
        <f t="shared" si="40"/>
        <v>159904.76190476993</v>
      </c>
      <c r="BK22" s="13">
        <f t="shared" si="41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  <c r="BU22" s="16"/>
      <c r="BV22" s="15" t="s">
        <v>7</v>
      </c>
      <c r="BW22" s="12">
        <v>45</v>
      </c>
      <c r="BX22" s="14">
        <v>602857.14285708009</v>
      </c>
      <c r="BY22" s="12">
        <f t="shared" si="24"/>
        <v>-3</v>
      </c>
      <c r="BZ22" s="14">
        <f t="shared" si="25"/>
        <v>-4952.3809523698874</v>
      </c>
      <c r="CA22" s="13">
        <f t="shared" si="26"/>
        <v>-8.1479160137715653E-3</v>
      </c>
      <c r="CC22" s="16"/>
      <c r="CD22" s="15" t="s">
        <v>7</v>
      </c>
      <c r="CE22" s="12">
        <v>31</v>
      </c>
      <c r="CF22" s="14">
        <v>359904.76190470997</v>
      </c>
      <c r="CG22" s="12">
        <f t="shared" si="27"/>
        <v>-14</v>
      </c>
      <c r="CH22" s="14">
        <f t="shared" si="28"/>
        <v>-242952.38095237012</v>
      </c>
      <c r="CI22" s="13">
        <f t="shared" si="29"/>
        <v>-0.40300157977885498</v>
      </c>
      <c r="CK22" s="16"/>
      <c r="CL22" s="15" t="s">
        <v>7</v>
      </c>
      <c r="CM22" s="12">
        <v>30</v>
      </c>
      <c r="CN22" s="14">
        <v>395238.09523803997</v>
      </c>
      <c r="CO22" s="12">
        <f t="shared" si="30"/>
        <v>-1</v>
      </c>
      <c r="CP22" s="14">
        <f t="shared" si="31"/>
        <v>35333.333333329996</v>
      </c>
      <c r="CQ22" s="13">
        <f t="shared" si="32"/>
        <v>9.8174120137607429E-2</v>
      </c>
    </row>
    <row r="23" spans="1:95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42"/>
        <v>-1</v>
      </c>
      <c r="N23" s="14">
        <f t="shared" si="43"/>
        <v>-8857.1428571299984</v>
      </c>
      <c r="O23" s="13">
        <f t="shared" si="44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39"/>
        <v>0</v>
      </c>
      <c r="BJ23" s="14">
        <f t="shared" si="40"/>
        <v>0</v>
      </c>
      <c r="BK23" s="13">
        <f t="shared" si="41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  <c r="BU23" s="16"/>
      <c r="BV23" s="15" t="s">
        <v>6</v>
      </c>
      <c r="BW23" s="12">
        <v>0</v>
      </c>
      <c r="BX23" s="14">
        <v>0</v>
      </c>
      <c r="BY23" s="12">
        <f t="shared" si="24"/>
        <v>0</v>
      </c>
      <c r="BZ23" s="14">
        <f t="shared" si="25"/>
        <v>0</v>
      </c>
      <c r="CA23" s="13" t="e">
        <f t="shared" si="26"/>
        <v>#DIV/0!</v>
      </c>
      <c r="CC23" s="16"/>
      <c r="CD23" s="15" t="s">
        <v>6</v>
      </c>
      <c r="CE23" s="12">
        <v>1</v>
      </c>
      <c r="CF23" s="14">
        <v>2857.1428571400002</v>
      </c>
      <c r="CG23" s="12">
        <f t="shared" si="27"/>
        <v>1</v>
      </c>
      <c r="CH23" s="14">
        <f t="shared" si="28"/>
        <v>2857.1428571400002</v>
      </c>
      <c r="CI23" s="13" t="e">
        <f t="shared" si="29"/>
        <v>#DIV/0!</v>
      </c>
      <c r="CK23" s="16"/>
      <c r="CL23" s="15" t="s">
        <v>6</v>
      </c>
      <c r="CM23" s="12">
        <v>0</v>
      </c>
      <c r="CN23" s="14">
        <v>0</v>
      </c>
      <c r="CO23" s="12">
        <f t="shared" si="30"/>
        <v>-1</v>
      </c>
      <c r="CP23" s="14">
        <f t="shared" si="31"/>
        <v>-2857.1428571400002</v>
      </c>
      <c r="CQ23" s="13">
        <f t="shared" si="32"/>
        <v>-1</v>
      </c>
    </row>
    <row r="24" spans="1:95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42"/>
        <v>-2</v>
      </c>
      <c r="N24" s="14">
        <f t="shared" si="43"/>
        <v>-11080</v>
      </c>
      <c r="O24" s="13">
        <f t="shared" si="44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39"/>
        <v>-1</v>
      </c>
      <c r="BJ24" s="14">
        <f t="shared" si="40"/>
        <v>-18590</v>
      </c>
      <c r="BK24" s="13">
        <f t="shared" si="41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  <c r="BU24" s="16"/>
      <c r="BV24" s="15" t="s">
        <v>5</v>
      </c>
      <c r="BW24" s="12">
        <v>14</v>
      </c>
      <c r="BX24" s="14">
        <v>77360</v>
      </c>
      <c r="BY24" s="12">
        <f t="shared" si="24"/>
        <v>7</v>
      </c>
      <c r="BZ24" s="14">
        <f t="shared" si="25"/>
        <v>44530</v>
      </c>
      <c r="CA24" s="13">
        <f t="shared" si="26"/>
        <v>1.3563813585135547</v>
      </c>
      <c r="CC24" s="16"/>
      <c r="CD24" s="15" t="s">
        <v>5</v>
      </c>
      <c r="CE24" s="12">
        <v>15</v>
      </c>
      <c r="CF24" s="14">
        <v>98750</v>
      </c>
      <c r="CG24" s="12">
        <f t="shared" si="27"/>
        <v>1</v>
      </c>
      <c r="CH24" s="14">
        <f t="shared" si="28"/>
        <v>21390</v>
      </c>
      <c r="CI24" s="13">
        <f t="shared" si="29"/>
        <v>0.27649948293691828</v>
      </c>
      <c r="CK24" s="16"/>
      <c r="CL24" s="15" t="s">
        <v>5</v>
      </c>
      <c r="CM24" s="12">
        <v>16</v>
      </c>
      <c r="CN24" s="14">
        <v>90540</v>
      </c>
      <c r="CO24" s="12">
        <f t="shared" si="30"/>
        <v>1</v>
      </c>
      <c r="CP24" s="14">
        <f t="shared" si="31"/>
        <v>-8210</v>
      </c>
      <c r="CQ24" s="13">
        <f t="shared" si="32"/>
        <v>-8.3139240506329121E-2</v>
      </c>
    </row>
    <row r="25" spans="1:95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42"/>
        <v>-4</v>
      </c>
      <c r="N25" s="14">
        <f t="shared" si="43"/>
        <v>-75333.333333309973</v>
      </c>
      <c r="O25" s="13">
        <f t="shared" si="44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39"/>
        <v>7</v>
      </c>
      <c r="BJ25" s="14">
        <f t="shared" si="40"/>
        <v>239511.42857142998</v>
      </c>
      <c r="BK25" s="13">
        <f t="shared" si="41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  <c r="BU25" s="16"/>
      <c r="BV25" s="15" t="s">
        <v>4</v>
      </c>
      <c r="BW25" s="12">
        <v>12</v>
      </c>
      <c r="BX25" s="14">
        <v>404292.38095238002</v>
      </c>
      <c r="BY25" s="12">
        <f t="shared" si="24"/>
        <v>7</v>
      </c>
      <c r="BZ25" s="14">
        <f t="shared" si="25"/>
        <v>245348.57142858003</v>
      </c>
      <c r="CA25" s="13">
        <f t="shared" si="26"/>
        <v>1.5436182897821003</v>
      </c>
      <c r="CC25" s="16"/>
      <c r="CD25" s="15" t="s">
        <v>4</v>
      </c>
      <c r="CE25" s="12">
        <v>15</v>
      </c>
      <c r="CF25" s="14">
        <v>578309.52380948002</v>
      </c>
      <c r="CG25" s="12">
        <f t="shared" si="27"/>
        <v>3</v>
      </c>
      <c r="CH25" s="14">
        <f t="shared" si="28"/>
        <v>174017.1428571</v>
      </c>
      <c r="CI25" s="13">
        <f t="shared" si="29"/>
        <v>0.43042399771960277</v>
      </c>
      <c r="CK25" s="16"/>
      <c r="CL25" s="15" t="s">
        <v>4</v>
      </c>
      <c r="CM25" s="12">
        <v>11</v>
      </c>
      <c r="CN25" s="14">
        <v>452004.76190473</v>
      </c>
      <c r="CO25" s="12">
        <f t="shared" si="30"/>
        <v>-4</v>
      </c>
      <c r="CP25" s="14">
        <f t="shared" si="31"/>
        <v>-126304.76190475002</v>
      </c>
      <c r="CQ25" s="13">
        <f t="shared" si="32"/>
        <v>-0.21840339248218957</v>
      </c>
    </row>
    <row r="26" spans="1:95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42"/>
        <v>-4</v>
      </c>
      <c r="N26" s="14">
        <f t="shared" si="43"/>
        <v>-72390.476190499961</v>
      </c>
      <c r="O26" s="13">
        <f t="shared" si="44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39"/>
        <v>-9</v>
      </c>
      <c r="BJ26" s="14">
        <f t="shared" si="40"/>
        <v>-198380.95238094009</v>
      </c>
      <c r="BK26" s="13">
        <f t="shared" si="41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  <c r="BU26" s="16"/>
      <c r="BV26" s="15" t="s">
        <v>3</v>
      </c>
      <c r="BW26" s="12">
        <v>48</v>
      </c>
      <c r="BX26" s="14">
        <v>816761.90476183</v>
      </c>
      <c r="BY26" s="12">
        <f t="shared" si="24"/>
        <v>-1</v>
      </c>
      <c r="BZ26" s="14">
        <f t="shared" si="25"/>
        <v>-35952.380952390027</v>
      </c>
      <c r="CA26" s="13">
        <f t="shared" si="26"/>
        <v>-4.2162282906139985E-2</v>
      </c>
      <c r="CC26" s="16"/>
      <c r="CD26" s="15" t="s">
        <v>3</v>
      </c>
      <c r="CE26" s="12">
        <v>32</v>
      </c>
      <c r="CF26" s="14">
        <v>670761.90476183011</v>
      </c>
      <c r="CG26" s="12">
        <f t="shared" si="27"/>
        <v>-16</v>
      </c>
      <c r="CH26" s="14">
        <f t="shared" si="28"/>
        <v>-145999.99999999988</v>
      </c>
      <c r="CI26" s="13">
        <f t="shared" si="29"/>
        <v>-0.1787546641791207</v>
      </c>
      <c r="CK26" s="16"/>
      <c r="CL26" s="15" t="s">
        <v>3</v>
      </c>
      <c r="CM26" s="12">
        <v>38</v>
      </c>
      <c r="CN26" s="14">
        <v>648285.71428566007</v>
      </c>
      <c r="CO26" s="12">
        <f t="shared" si="30"/>
        <v>6</v>
      </c>
      <c r="CP26" s="14">
        <f t="shared" si="31"/>
        <v>-22476.190476170043</v>
      </c>
      <c r="CQ26" s="13">
        <f t="shared" si="32"/>
        <v>-3.3508448104474189E-2</v>
      </c>
    </row>
    <row r="27" spans="1:95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42"/>
        <v>-5</v>
      </c>
      <c r="N27" s="14">
        <f t="shared" si="43"/>
        <v>-664649.52380951005</v>
      </c>
      <c r="O27" s="13">
        <f t="shared" si="44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39"/>
        <v>46</v>
      </c>
      <c r="BJ27" s="14">
        <f t="shared" si="40"/>
        <v>1565619.0476190113</v>
      </c>
      <c r="BK27" s="13">
        <f t="shared" si="41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  <c r="BU27" s="16"/>
      <c r="BV27" s="15" t="s">
        <v>2</v>
      </c>
      <c r="BW27" s="12">
        <v>152</v>
      </c>
      <c r="BX27" s="14">
        <v>5663375.2380951596</v>
      </c>
      <c r="BY27" s="12">
        <f t="shared" si="24"/>
        <v>33</v>
      </c>
      <c r="BZ27" s="14">
        <f t="shared" si="25"/>
        <v>1134502.8571428601</v>
      </c>
      <c r="CA27" s="13">
        <f t="shared" si="26"/>
        <v>0.25050448802982273</v>
      </c>
      <c r="CC27" s="16"/>
      <c r="CD27" s="15" t="s">
        <v>2</v>
      </c>
      <c r="CE27" s="12">
        <v>149</v>
      </c>
      <c r="CF27" s="14">
        <v>5597125.71428564</v>
      </c>
      <c r="CG27" s="12">
        <f t="shared" si="27"/>
        <v>-3</v>
      </c>
      <c r="CH27" s="14">
        <f t="shared" si="28"/>
        <v>-66249.523809519596</v>
      </c>
      <c r="CI27" s="13">
        <f t="shared" si="29"/>
        <v>-1.1697887041615522E-2</v>
      </c>
      <c r="CK27" s="16"/>
      <c r="CL27" s="15" t="s">
        <v>2</v>
      </c>
      <c r="CM27" s="12">
        <v>89</v>
      </c>
      <c r="CN27" s="14">
        <v>3280095.2380951797</v>
      </c>
      <c r="CO27" s="12">
        <f t="shared" si="30"/>
        <v>-60</v>
      </c>
      <c r="CP27" s="14">
        <f t="shared" si="31"/>
        <v>-2317030.4761904604</v>
      </c>
      <c r="CQ27" s="13">
        <f t="shared" si="32"/>
        <v>-0.41396791754679796</v>
      </c>
    </row>
    <row r="28" spans="1:95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36"/>
        <v>2</v>
      </c>
      <c r="N28" s="9">
        <f t="shared" si="37"/>
        <v>-941782.8571428908</v>
      </c>
      <c r="O28" s="8">
        <f t="shared" si="38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39"/>
        <v>126</v>
      </c>
      <c r="BJ28" s="30">
        <f t="shared" si="40"/>
        <v>2389064.28571417</v>
      </c>
      <c r="BK28" s="31">
        <f t="shared" si="41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  <c r="BU28" s="11" t="s">
        <v>13</v>
      </c>
      <c r="BV28" s="11"/>
      <c r="BW28" s="10">
        <v>821</v>
      </c>
      <c r="BX28" s="9">
        <v>8494783.8095226288</v>
      </c>
      <c r="BY28" s="29">
        <f t="shared" si="24"/>
        <v>97</v>
      </c>
      <c r="BZ28" s="30">
        <f t="shared" si="25"/>
        <v>1231504.2857141793</v>
      </c>
      <c r="CA28" s="31">
        <f t="shared" si="26"/>
        <v>0.16955209856338405</v>
      </c>
      <c r="CC28" s="11" t="s">
        <v>13</v>
      </c>
      <c r="CD28" s="11"/>
      <c r="CE28" s="10">
        <v>844</v>
      </c>
      <c r="CF28" s="9">
        <v>8287305.2380938502</v>
      </c>
      <c r="CG28" s="29">
        <f t="shared" si="27"/>
        <v>23</v>
      </c>
      <c r="CH28" s="30">
        <f t="shared" si="28"/>
        <v>-207478.57142877858</v>
      </c>
      <c r="CI28" s="31">
        <f t="shared" si="29"/>
        <v>-2.4424232103022525E-2</v>
      </c>
      <c r="CK28" s="11" t="s">
        <v>13</v>
      </c>
      <c r="CL28" s="11"/>
      <c r="CM28" s="10">
        <v>679</v>
      </c>
      <c r="CN28" s="9">
        <v>5830934.2857132591</v>
      </c>
      <c r="CO28" s="29">
        <f t="shared" si="30"/>
        <v>-165</v>
      </c>
      <c r="CP28" s="30">
        <f t="shared" si="31"/>
        <v>-2456370.9523805911</v>
      </c>
      <c r="CQ28" s="31">
        <f t="shared" si="32"/>
        <v>-0.29640165069454799</v>
      </c>
    </row>
    <row r="29" spans="1:95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36"/>
        <v>685</v>
      </c>
      <c r="N29" s="14">
        <f t="shared" si="37"/>
        <v>0</v>
      </c>
      <c r="O29" s="13" t="e">
        <f t="shared" si="38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39"/>
        <v>-431</v>
      </c>
      <c r="BJ29" s="14">
        <f t="shared" si="40"/>
        <v>0</v>
      </c>
      <c r="BK29" s="13" t="e">
        <f t="shared" si="41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  <c r="BU29" s="16">
        <v>77</v>
      </c>
      <c r="BV29" s="35" t="s">
        <v>32</v>
      </c>
      <c r="BW29" s="17">
        <v>3823</v>
      </c>
      <c r="BX29" s="36"/>
      <c r="BY29" s="12">
        <f t="shared" si="24"/>
        <v>-846</v>
      </c>
      <c r="BZ29" s="14">
        <f t="shared" si="25"/>
        <v>0</v>
      </c>
      <c r="CA29" s="13" t="e">
        <f t="shared" si="26"/>
        <v>#DIV/0!</v>
      </c>
      <c r="CC29" s="16">
        <v>77</v>
      </c>
      <c r="CD29" s="35" t="s">
        <v>32</v>
      </c>
      <c r="CE29" s="17">
        <v>4032</v>
      </c>
      <c r="CF29" s="36"/>
      <c r="CG29" s="12">
        <f t="shared" si="27"/>
        <v>209</v>
      </c>
      <c r="CH29" s="14">
        <f t="shared" si="28"/>
        <v>0</v>
      </c>
      <c r="CI29" s="13" t="e">
        <f t="shared" si="29"/>
        <v>#DIV/0!</v>
      </c>
      <c r="CK29" s="16">
        <v>77</v>
      </c>
      <c r="CL29" s="35" t="s">
        <v>32</v>
      </c>
      <c r="CM29" s="17"/>
      <c r="CN29" s="36"/>
      <c r="CO29" s="12">
        <f t="shared" si="30"/>
        <v>-4032</v>
      </c>
      <c r="CP29" s="14">
        <f t="shared" si="31"/>
        <v>0</v>
      </c>
      <c r="CQ29" s="13" t="e">
        <f t="shared" si="32"/>
        <v>#DIV/0!</v>
      </c>
    </row>
    <row r="30" spans="1:95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36"/>
        <v>-9</v>
      </c>
      <c r="N30" s="14">
        <f t="shared" si="37"/>
        <v>0</v>
      </c>
      <c r="O30" s="13" t="e">
        <f t="shared" si="38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39"/>
        <v>7</v>
      </c>
      <c r="BJ30" s="14">
        <f t="shared" si="40"/>
        <v>0</v>
      </c>
      <c r="BK30" s="13" t="e">
        <f t="shared" si="41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  <c r="BU30" s="16"/>
      <c r="BV30" s="35" t="s">
        <v>33</v>
      </c>
      <c r="BW30" s="17">
        <v>6</v>
      </c>
      <c r="BX30" s="36"/>
      <c r="BY30" s="12">
        <f t="shared" si="24"/>
        <v>-7</v>
      </c>
      <c r="BZ30" s="14">
        <f t="shared" si="25"/>
        <v>0</v>
      </c>
      <c r="CA30" s="13" t="e">
        <f t="shared" si="26"/>
        <v>#DIV/0!</v>
      </c>
      <c r="CC30" s="16"/>
      <c r="CD30" s="35" t="s">
        <v>33</v>
      </c>
      <c r="CE30" s="17">
        <v>4</v>
      </c>
      <c r="CF30" s="36"/>
      <c r="CG30" s="12">
        <f t="shared" si="27"/>
        <v>-2</v>
      </c>
      <c r="CH30" s="14">
        <f t="shared" si="28"/>
        <v>0</v>
      </c>
      <c r="CI30" s="13" t="e">
        <f t="shared" si="29"/>
        <v>#DIV/0!</v>
      </c>
      <c r="CK30" s="16"/>
      <c r="CL30" s="35" t="s">
        <v>33</v>
      </c>
      <c r="CM30" s="17"/>
      <c r="CN30" s="36"/>
      <c r="CO30" s="12">
        <f t="shared" si="30"/>
        <v>-4</v>
      </c>
      <c r="CP30" s="14">
        <f t="shared" si="31"/>
        <v>0</v>
      </c>
      <c r="CQ30" s="13" t="e">
        <f t="shared" si="32"/>
        <v>#DIV/0!</v>
      </c>
    </row>
    <row r="31" spans="1:95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45">K31-C31</f>
        <v>50</v>
      </c>
      <c r="N31" s="14">
        <f t="shared" ref="N31:N39" si="46">L31-D31</f>
        <v>59494.285713969963</v>
      </c>
      <c r="O31" s="13">
        <f t="shared" ref="O31:O39" si="47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39"/>
        <v>9</v>
      </c>
      <c r="BJ31" s="14">
        <f t="shared" si="40"/>
        <v>12963.809523710006</v>
      </c>
      <c r="BK31" s="13">
        <f t="shared" si="41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  <c r="BU31" s="16"/>
      <c r="BV31" s="15" t="s">
        <v>10</v>
      </c>
      <c r="BW31" s="12">
        <v>119</v>
      </c>
      <c r="BX31" s="14">
        <v>106534.28571378994</v>
      </c>
      <c r="BY31" s="12">
        <f t="shared" si="24"/>
        <v>-15</v>
      </c>
      <c r="BZ31" s="14">
        <f t="shared" si="25"/>
        <v>-18958.095238060036</v>
      </c>
      <c r="CA31" s="13">
        <f t="shared" si="26"/>
        <v>-0.15106969119769945</v>
      </c>
      <c r="CC31" s="16"/>
      <c r="CD31" s="15" t="s">
        <v>10</v>
      </c>
      <c r="CE31" s="12">
        <v>154</v>
      </c>
      <c r="CF31" s="14">
        <v>135826.66666607006</v>
      </c>
      <c r="CG31" s="12">
        <f t="shared" si="27"/>
        <v>35</v>
      </c>
      <c r="CH31" s="14">
        <f t="shared" si="28"/>
        <v>29292.380952280117</v>
      </c>
      <c r="CI31" s="13">
        <f t="shared" si="29"/>
        <v>0.27495731309426213</v>
      </c>
      <c r="CK31" s="16"/>
      <c r="CL31" s="15" t="s">
        <v>10</v>
      </c>
      <c r="CM31" s="12">
        <v>123</v>
      </c>
      <c r="CN31" s="14">
        <v>114961.90476143999</v>
      </c>
      <c r="CO31" s="12">
        <f t="shared" si="30"/>
        <v>-31</v>
      </c>
      <c r="CP31" s="14">
        <f t="shared" si="31"/>
        <v>-20864.761904630068</v>
      </c>
      <c r="CQ31" s="13">
        <f t="shared" si="32"/>
        <v>-0.15361314841014317</v>
      </c>
    </row>
    <row r="32" spans="1:95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45"/>
        <v>12</v>
      </c>
      <c r="N32" s="14">
        <f t="shared" si="46"/>
        <v>7165.7142857699801</v>
      </c>
      <c r="O32" s="13">
        <f t="shared" si="47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39"/>
        <v>19</v>
      </c>
      <c r="BJ32" s="14">
        <f t="shared" si="40"/>
        <v>31128.571428589974</v>
      </c>
      <c r="BK32" s="13">
        <f t="shared" si="41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  <c r="BU32" s="16"/>
      <c r="BV32" s="15" t="s">
        <v>9</v>
      </c>
      <c r="BW32" s="12">
        <v>74</v>
      </c>
      <c r="BX32" s="14">
        <v>67507.619047529995</v>
      </c>
      <c r="BY32" s="12">
        <f t="shared" si="24"/>
        <v>-16</v>
      </c>
      <c r="BZ32" s="14">
        <f t="shared" si="25"/>
        <v>-15999.047619030011</v>
      </c>
      <c r="CA32" s="13">
        <f t="shared" si="26"/>
        <v>-0.19159006409528714</v>
      </c>
      <c r="CC32" s="16"/>
      <c r="CD32" s="15" t="s">
        <v>9</v>
      </c>
      <c r="CE32" s="12">
        <v>78</v>
      </c>
      <c r="CF32" s="14">
        <v>91024.761904659987</v>
      </c>
      <c r="CG32" s="12">
        <f t="shared" si="27"/>
        <v>4</v>
      </c>
      <c r="CH32" s="14">
        <f t="shared" si="28"/>
        <v>23517.142857129991</v>
      </c>
      <c r="CI32" s="13">
        <f t="shared" si="29"/>
        <v>0.3483627950286961</v>
      </c>
      <c r="CK32" s="16"/>
      <c r="CL32" s="15" t="s">
        <v>9</v>
      </c>
      <c r="CM32" s="12">
        <v>98</v>
      </c>
      <c r="CN32" s="14">
        <v>88802.857142770008</v>
      </c>
      <c r="CO32" s="12">
        <f t="shared" si="30"/>
        <v>20</v>
      </c>
      <c r="CP32" s="14">
        <f t="shared" si="31"/>
        <v>-2221.9047618899785</v>
      </c>
      <c r="CQ32" s="13">
        <f t="shared" si="32"/>
        <v>-2.4409893697027389E-2</v>
      </c>
    </row>
    <row r="33" spans="1:95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45"/>
        <v>15</v>
      </c>
      <c r="N33" s="14">
        <f t="shared" si="46"/>
        <v>110428.57142856001</v>
      </c>
      <c r="O33" s="13">
        <f t="shared" si="47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39"/>
        <v>19</v>
      </c>
      <c r="BJ33" s="14">
        <f t="shared" si="40"/>
        <v>151247.61904761998</v>
      </c>
      <c r="BK33" s="13">
        <f t="shared" si="41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  <c r="BU33" s="16"/>
      <c r="BV33" s="15" t="s">
        <v>8</v>
      </c>
      <c r="BW33" s="12">
        <v>24</v>
      </c>
      <c r="BX33" s="14">
        <v>144844.76190475002</v>
      </c>
      <c r="BY33" s="12">
        <f t="shared" si="24"/>
        <v>-29</v>
      </c>
      <c r="BZ33" s="14">
        <f t="shared" si="25"/>
        <v>-207507.61904761998</v>
      </c>
      <c r="CA33" s="13">
        <f t="shared" si="26"/>
        <v>-0.58892072330191025</v>
      </c>
      <c r="CC33" s="16"/>
      <c r="CD33" s="15" t="s">
        <v>8</v>
      </c>
      <c r="CE33" s="12">
        <v>37</v>
      </c>
      <c r="CF33" s="14">
        <v>234649.52380950999</v>
      </c>
      <c r="CG33" s="12">
        <f t="shared" si="27"/>
        <v>13</v>
      </c>
      <c r="CH33" s="14">
        <f t="shared" si="28"/>
        <v>89804.761904759973</v>
      </c>
      <c r="CI33" s="13">
        <f t="shared" si="29"/>
        <v>0.62000696969501479</v>
      </c>
      <c r="CK33" s="16"/>
      <c r="CL33" s="15" t="s">
        <v>8</v>
      </c>
      <c r="CM33" s="12">
        <v>28</v>
      </c>
      <c r="CN33" s="14">
        <v>172114.28571426999</v>
      </c>
      <c r="CO33" s="12">
        <f t="shared" si="30"/>
        <v>-9</v>
      </c>
      <c r="CP33" s="14">
        <f t="shared" si="31"/>
        <v>-62535.238095239998</v>
      </c>
      <c r="CQ33" s="13">
        <f t="shared" si="32"/>
        <v>-0.26650485830947823</v>
      </c>
    </row>
    <row r="34" spans="1:95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45"/>
        <v>11</v>
      </c>
      <c r="N34" s="14">
        <f t="shared" si="46"/>
        <v>194190.47619048005</v>
      </c>
      <c r="O34" s="13">
        <f t="shared" si="47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39"/>
        <v>-5</v>
      </c>
      <c r="BJ34" s="14">
        <f t="shared" si="40"/>
        <v>-121428.57142856999</v>
      </c>
      <c r="BK34" s="13">
        <f t="shared" si="41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  <c r="BU34" s="16"/>
      <c r="BV34" s="15" t="s">
        <v>7</v>
      </c>
      <c r="BW34" s="12">
        <v>11</v>
      </c>
      <c r="BX34" s="14">
        <v>189428.57142853003</v>
      </c>
      <c r="BY34" s="12">
        <f t="shared" si="24"/>
        <v>-3</v>
      </c>
      <c r="BZ34" s="14">
        <f t="shared" si="25"/>
        <v>31714.285714290017</v>
      </c>
      <c r="CA34" s="13">
        <f t="shared" si="26"/>
        <v>0.20108695652182468</v>
      </c>
      <c r="CC34" s="16"/>
      <c r="CD34" s="15" t="s">
        <v>7</v>
      </c>
      <c r="CE34" s="12">
        <v>13</v>
      </c>
      <c r="CF34" s="14">
        <v>163523.80952377</v>
      </c>
      <c r="CG34" s="12">
        <f t="shared" si="27"/>
        <v>2</v>
      </c>
      <c r="CH34" s="14">
        <f t="shared" si="28"/>
        <v>-25904.761904760031</v>
      </c>
      <c r="CI34" s="13">
        <f t="shared" si="29"/>
        <v>-0.13675213675215675</v>
      </c>
      <c r="CK34" s="16"/>
      <c r="CL34" s="15" t="s">
        <v>7</v>
      </c>
      <c r="CM34" s="12">
        <v>16</v>
      </c>
      <c r="CN34" s="14">
        <v>207999.99999997005</v>
      </c>
      <c r="CO34" s="12">
        <f t="shared" si="30"/>
        <v>3</v>
      </c>
      <c r="CP34" s="14">
        <f t="shared" si="31"/>
        <v>44476.190476200049</v>
      </c>
      <c r="CQ34" s="13">
        <f t="shared" si="32"/>
        <v>0.27198602213174922</v>
      </c>
    </row>
    <row r="35" spans="1:95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45"/>
        <v>-6</v>
      </c>
      <c r="N35" s="14">
        <f t="shared" si="46"/>
        <v>-17551.428571409997</v>
      </c>
      <c r="O35" s="13">
        <f t="shared" si="47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39"/>
        <v>0</v>
      </c>
      <c r="BJ35" s="14">
        <f t="shared" si="40"/>
        <v>1856.1904761899996</v>
      </c>
      <c r="BK35" s="13">
        <f t="shared" si="41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  <c r="BU35" s="16"/>
      <c r="BV35" s="15" t="s">
        <v>6</v>
      </c>
      <c r="BW35" s="12">
        <v>0</v>
      </c>
      <c r="BX35" s="14">
        <v>0</v>
      </c>
      <c r="BY35" s="12">
        <f t="shared" si="24"/>
        <v>0</v>
      </c>
      <c r="BZ35" s="14">
        <f t="shared" si="25"/>
        <v>0</v>
      </c>
      <c r="CA35" s="13" t="e">
        <f t="shared" si="26"/>
        <v>#DIV/0!</v>
      </c>
      <c r="CC35" s="16"/>
      <c r="CD35" s="15" t="s">
        <v>6</v>
      </c>
      <c r="CE35" s="12">
        <v>0</v>
      </c>
      <c r="CF35" s="14">
        <v>0</v>
      </c>
      <c r="CG35" s="12">
        <f t="shared" si="27"/>
        <v>0</v>
      </c>
      <c r="CH35" s="14">
        <f t="shared" si="28"/>
        <v>0</v>
      </c>
      <c r="CI35" s="13" t="e">
        <f t="shared" si="29"/>
        <v>#DIV/0!</v>
      </c>
      <c r="CK35" s="16"/>
      <c r="CL35" s="15" t="s">
        <v>6</v>
      </c>
      <c r="CM35" s="12">
        <v>0</v>
      </c>
      <c r="CN35" s="14">
        <v>0</v>
      </c>
      <c r="CO35" s="12">
        <f t="shared" si="30"/>
        <v>0</v>
      </c>
      <c r="CP35" s="14">
        <f t="shared" si="31"/>
        <v>0</v>
      </c>
      <c r="CQ35" s="13" t="e">
        <f t="shared" si="32"/>
        <v>#DIV/0!</v>
      </c>
    </row>
    <row r="36" spans="1:95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45"/>
        <v>2</v>
      </c>
      <c r="N36" s="14">
        <f t="shared" si="46"/>
        <v>23980</v>
      </c>
      <c r="O36" s="13">
        <f t="shared" si="47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39"/>
        <v>4</v>
      </c>
      <c r="BJ36" s="14">
        <f t="shared" si="40"/>
        <v>13360</v>
      </c>
      <c r="BK36" s="13">
        <f t="shared" si="41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  <c r="BU36" s="16"/>
      <c r="BV36" s="15" t="s">
        <v>5</v>
      </c>
      <c r="BW36" s="12">
        <v>5</v>
      </c>
      <c r="BX36" s="14">
        <v>21950</v>
      </c>
      <c r="BY36" s="12">
        <f t="shared" si="24"/>
        <v>2</v>
      </c>
      <c r="BZ36" s="14">
        <f t="shared" si="25"/>
        <v>7980</v>
      </c>
      <c r="CA36" s="13">
        <f t="shared" si="26"/>
        <v>0.57122405153901212</v>
      </c>
      <c r="CC36" s="16"/>
      <c r="CD36" s="15" t="s">
        <v>5</v>
      </c>
      <c r="CE36" s="12">
        <v>1</v>
      </c>
      <c r="CF36" s="14">
        <v>6290</v>
      </c>
      <c r="CG36" s="12">
        <f t="shared" si="27"/>
        <v>-4</v>
      </c>
      <c r="CH36" s="14">
        <f t="shared" si="28"/>
        <v>-15660</v>
      </c>
      <c r="CI36" s="13">
        <f t="shared" si="29"/>
        <v>-0.71343963553530754</v>
      </c>
      <c r="CK36" s="16"/>
      <c r="CL36" s="15" t="s">
        <v>5</v>
      </c>
      <c r="CM36" s="12">
        <v>3</v>
      </c>
      <c r="CN36" s="14">
        <v>17570</v>
      </c>
      <c r="CO36" s="12">
        <f t="shared" si="30"/>
        <v>2</v>
      </c>
      <c r="CP36" s="14">
        <f t="shared" si="31"/>
        <v>11280</v>
      </c>
      <c r="CQ36" s="13">
        <f t="shared" si="32"/>
        <v>1.7933227344992051</v>
      </c>
    </row>
    <row r="37" spans="1:95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45"/>
        <v>1</v>
      </c>
      <c r="N37" s="14">
        <f t="shared" si="46"/>
        <v>8449.5238095299865</v>
      </c>
      <c r="O37" s="13">
        <f t="shared" si="47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39"/>
        <v>0</v>
      </c>
      <c r="BJ37" s="14">
        <f t="shared" si="40"/>
        <v>3333.3333333299997</v>
      </c>
      <c r="BK37" s="13">
        <f t="shared" si="41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  <c r="BU37" s="16"/>
      <c r="BV37" s="15" t="s">
        <v>4</v>
      </c>
      <c r="BW37" s="12">
        <v>2</v>
      </c>
      <c r="BX37" s="14">
        <v>100006.66666665999</v>
      </c>
      <c r="BY37" s="12">
        <f t="shared" si="24"/>
        <v>-1</v>
      </c>
      <c r="BZ37" s="14">
        <f t="shared" si="25"/>
        <v>18195.238095239998</v>
      </c>
      <c r="CA37" s="13">
        <f t="shared" si="26"/>
        <v>0.22240460059141814</v>
      </c>
      <c r="CC37" s="16"/>
      <c r="CD37" s="15" t="s">
        <v>4</v>
      </c>
      <c r="CE37" s="12">
        <v>2</v>
      </c>
      <c r="CF37" s="14">
        <v>63806.666666659999</v>
      </c>
      <c r="CG37" s="12">
        <f t="shared" si="27"/>
        <v>0</v>
      </c>
      <c r="CH37" s="14">
        <f t="shared" si="28"/>
        <v>-36199.999999999993</v>
      </c>
      <c r="CI37" s="13">
        <f t="shared" si="29"/>
        <v>-0.3619758682754724</v>
      </c>
      <c r="CK37" s="16"/>
      <c r="CL37" s="15" t="s">
        <v>4</v>
      </c>
      <c r="CM37" s="12">
        <v>4</v>
      </c>
      <c r="CN37" s="14">
        <v>149687.61904759999</v>
      </c>
      <c r="CO37" s="12">
        <f t="shared" si="30"/>
        <v>2</v>
      </c>
      <c r="CP37" s="14">
        <f t="shared" si="31"/>
        <v>85880.952380939998</v>
      </c>
      <c r="CQ37" s="13">
        <f t="shared" si="32"/>
        <v>1.3459557890651286</v>
      </c>
    </row>
    <row r="38" spans="1:95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45"/>
        <v>0</v>
      </c>
      <c r="N38" s="14">
        <f t="shared" si="46"/>
        <v>45666.666666680016</v>
      </c>
      <c r="O38" s="13">
        <f t="shared" si="47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39"/>
        <v>-2</v>
      </c>
      <c r="BJ38" s="14">
        <f t="shared" si="40"/>
        <v>-1285.7142856900464</v>
      </c>
      <c r="BK38" s="13">
        <f t="shared" si="41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  <c r="BU38" s="16"/>
      <c r="BV38" s="15" t="s">
        <v>3</v>
      </c>
      <c r="BW38" s="12">
        <v>10</v>
      </c>
      <c r="BX38" s="14">
        <v>153619.04761901998</v>
      </c>
      <c r="BY38" s="12">
        <f t="shared" si="24"/>
        <v>-2</v>
      </c>
      <c r="BZ38" s="14">
        <f t="shared" si="25"/>
        <v>-75142.85714285</v>
      </c>
      <c r="CA38" s="13">
        <f t="shared" si="26"/>
        <v>-0.32847626977520605</v>
      </c>
      <c r="CC38" s="16"/>
      <c r="CD38" s="15" t="s">
        <v>3</v>
      </c>
      <c r="CE38" s="12">
        <v>29</v>
      </c>
      <c r="CF38" s="14">
        <v>431809.52380948002</v>
      </c>
      <c r="CG38" s="12">
        <f t="shared" si="27"/>
        <v>19</v>
      </c>
      <c r="CH38" s="14">
        <f t="shared" si="28"/>
        <v>278190.47619046003</v>
      </c>
      <c r="CI38" s="13">
        <f t="shared" si="29"/>
        <v>1.8109113453195014</v>
      </c>
      <c r="CK38" s="16"/>
      <c r="CL38" s="15" t="s">
        <v>3</v>
      </c>
      <c r="CM38" s="12">
        <v>10</v>
      </c>
      <c r="CN38" s="14">
        <v>163809.52380949</v>
      </c>
      <c r="CO38" s="12">
        <f t="shared" si="30"/>
        <v>-19</v>
      </c>
      <c r="CP38" s="14">
        <f t="shared" si="31"/>
        <v>-267999.99999998999</v>
      </c>
      <c r="CQ38" s="13">
        <f t="shared" si="32"/>
        <v>-0.62064402293784304</v>
      </c>
    </row>
    <row r="39" spans="1:95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45"/>
        <v>-39</v>
      </c>
      <c r="N39" s="14">
        <f t="shared" si="46"/>
        <v>-1661411.4285714002</v>
      </c>
      <c r="O39" s="13">
        <f t="shared" si="47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39"/>
        <v>26</v>
      </c>
      <c r="BJ39" s="14">
        <f t="shared" si="40"/>
        <v>918476.1904761903</v>
      </c>
      <c r="BK39" s="13">
        <f t="shared" si="41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  <c r="BU39" s="16"/>
      <c r="BV39" s="15" t="s">
        <v>2</v>
      </c>
      <c r="BW39" s="12">
        <v>36</v>
      </c>
      <c r="BX39" s="14">
        <v>1287047.61904756</v>
      </c>
      <c r="BY39" s="12">
        <f t="shared" si="24"/>
        <v>4</v>
      </c>
      <c r="BZ39" s="14">
        <f t="shared" si="25"/>
        <v>41523.809523780132</v>
      </c>
      <c r="CA39" s="13">
        <f t="shared" si="26"/>
        <v>3.3338430952722264E-2</v>
      </c>
      <c r="CC39" s="16"/>
      <c r="CD39" s="15" t="s">
        <v>2</v>
      </c>
      <c r="CE39" s="12">
        <v>39</v>
      </c>
      <c r="CF39" s="14">
        <v>1483904.76190471</v>
      </c>
      <c r="CG39" s="12">
        <f t="shared" si="27"/>
        <v>3</v>
      </c>
      <c r="CH39" s="14">
        <f t="shared" si="28"/>
        <v>196857.14285714994</v>
      </c>
      <c r="CI39" s="13">
        <f t="shared" si="29"/>
        <v>0.15295249371023895</v>
      </c>
      <c r="CK39" s="16"/>
      <c r="CL39" s="15" t="s">
        <v>2</v>
      </c>
      <c r="CM39" s="12">
        <v>40</v>
      </c>
      <c r="CN39" s="14">
        <v>1495238.09523805</v>
      </c>
      <c r="CO39" s="12">
        <f t="shared" si="30"/>
        <v>1</v>
      </c>
      <c r="CP39" s="14">
        <f t="shared" si="31"/>
        <v>11333.333333340008</v>
      </c>
      <c r="CQ39" s="13">
        <f t="shared" si="32"/>
        <v>7.6375072203372215E-3</v>
      </c>
    </row>
    <row r="40" spans="1:95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36"/>
        <v>46</v>
      </c>
      <c r="N40" s="9">
        <f t="shared" si="37"/>
        <v>-1229587.6190478201</v>
      </c>
      <c r="O40" s="8">
        <f t="shared" si="38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39"/>
        <v>70</v>
      </c>
      <c r="BJ40" s="30">
        <f t="shared" si="40"/>
        <v>1009651.4285713704</v>
      </c>
      <c r="BK40" s="31">
        <f t="shared" si="41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  <c r="BU40" s="11" t="s">
        <v>12</v>
      </c>
      <c r="BV40" s="11"/>
      <c r="BW40" s="10">
        <v>281</v>
      </c>
      <c r="BX40" s="9">
        <v>2070938.5714278398</v>
      </c>
      <c r="BY40" s="29">
        <f t="shared" si="24"/>
        <v>-60</v>
      </c>
      <c r="BZ40" s="30">
        <f t="shared" si="25"/>
        <v>-218194.28571425006</v>
      </c>
      <c r="CA40" s="31">
        <f t="shared" si="26"/>
        <v>-9.5317440852541319E-2</v>
      </c>
      <c r="CC40" s="11" t="s">
        <v>12</v>
      </c>
      <c r="CD40" s="11"/>
      <c r="CE40" s="10">
        <v>354</v>
      </c>
      <c r="CF40" s="9">
        <v>2612635.7142848601</v>
      </c>
      <c r="CG40" s="29">
        <f t="shared" si="27"/>
        <v>73</v>
      </c>
      <c r="CH40" s="30">
        <f t="shared" si="28"/>
        <v>541697.14285702026</v>
      </c>
      <c r="CI40" s="31">
        <f t="shared" si="29"/>
        <v>0.26157084055059104</v>
      </c>
      <c r="CK40" s="11" t="s">
        <v>12</v>
      </c>
      <c r="CL40" s="11"/>
      <c r="CM40" s="10">
        <v>322</v>
      </c>
      <c r="CN40" s="9">
        <v>2410184.2857135898</v>
      </c>
      <c r="CO40" s="29">
        <f t="shared" si="30"/>
        <v>-32</v>
      </c>
      <c r="CP40" s="30">
        <f t="shared" si="31"/>
        <v>-202451.42857127031</v>
      </c>
      <c r="CQ40" s="31">
        <f t="shared" si="32"/>
        <v>-7.7489344367584756E-2</v>
      </c>
    </row>
    <row r="41" spans="1:95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36"/>
        <v>-261</v>
      </c>
      <c r="N41" s="14">
        <f t="shared" si="37"/>
        <v>0</v>
      </c>
      <c r="O41" s="13" t="e">
        <f t="shared" si="38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39"/>
        <v>-210</v>
      </c>
      <c r="BJ41" s="14">
        <f t="shared" si="40"/>
        <v>0</v>
      </c>
      <c r="BK41" s="13" t="e">
        <f t="shared" si="41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  <c r="BU41" s="16">
        <v>81</v>
      </c>
      <c r="BV41" s="35" t="s">
        <v>32</v>
      </c>
      <c r="BW41" s="17">
        <v>1595</v>
      </c>
      <c r="BX41" s="36"/>
      <c r="BY41" s="12">
        <f t="shared" si="24"/>
        <v>-78</v>
      </c>
      <c r="BZ41" s="14">
        <f t="shared" si="25"/>
        <v>0</v>
      </c>
      <c r="CA41" s="13" t="e">
        <f t="shared" si="26"/>
        <v>#DIV/0!</v>
      </c>
      <c r="CC41" s="16">
        <v>81</v>
      </c>
      <c r="CD41" s="35" t="s">
        <v>32</v>
      </c>
      <c r="CE41" s="17">
        <v>1628</v>
      </c>
      <c r="CF41" s="36"/>
      <c r="CG41" s="12">
        <f t="shared" si="27"/>
        <v>33</v>
      </c>
      <c r="CH41" s="14">
        <f t="shared" si="28"/>
        <v>0</v>
      </c>
      <c r="CI41" s="13" t="e">
        <f t="shared" si="29"/>
        <v>#DIV/0!</v>
      </c>
      <c r="CK41" s="16">
        <v>81</v>
      </c>
      <c r="CL41" s="35" t="s">
        <v>32</v>
      </c>
      <c r="CM41" s="17"/>
      <c r="CN41" s="36"/>
      <c r="CO41" s="12">
        <f t="shared" si="30"/>
        <v>-1628</v>
      </c>
      <c r="CP41" s="14">
        <f t="shared" si="31"/>
        <v>0</v>
      </c>
      <c r="CQ41" s="13" t="e">
        <f t="shared" si="32"/>
        <v>#DIV/0!</v>
      </c>
    </row>
    <row r="42" spans="1:95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36"/>
        <v>-9</v>
      </c>
      <c r="N42" s="14">
        <f t="shared" si="37"/>
        <v>0</v>
      </c>
      <c r="O42" s="13" t="e">
        <f t="shared" si="38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39"/>
        <v>3</v>
      </c>
      <c r="BJ42" s="14">
        <f t="shared" si="40"/>
        <v>0</v>
      </c>
      <c r="BK42" s="13" t="e">
        <f t="shared" si="41"/>
        <v>#DIV/0!</v>
      </c>
      <c r="BM42" s="16"/>
      <c r="BN42" s="35" t="s">
        <v>33</v>
      </c>
      <c r="BO42" s="17">
        <v>2</v>
      </c>
      <c r="BP42" s="36"/>
      <c r="BQ42" s="12">
        <f t="shared" si="21"/>
        <v>-11</v>
      </c>
      <c r="BR42" s="14">
        <f t="shared" si="22"/>
        <v>0</v>
      </c>
      <c r="BS42" s="13" t="e">
        <f t="shared" si="23"/>
        <v>#DIV/0!</v>
      </c>
      <c r="BU42" s="16"/>
      <c r="BV42" s="35" t="s">
        <v>33</v>
      </c>
      <c r="BW42" s="17">
        <v>10</v>
      </c>
      <c r="BX42" s="36"/>
      <c r="BY42" s="12">
        <f t="shared" si="24"/>
        <v>8</v>
      </c>
      <c r="BZ42" s="14">
        <f t="shared" si="25"/>
        <v>0</v>
      </c>
      <c r="CA42" s="13" t="e">
        <f t="shared" si="26"/>
        <v>#DIV/0!</v>
      </c>
      <c r="CC42" s="16"/>
      <c r="CD42" s="35" t="s">
        <v>33</v>
      </c>
      <c r="CE42" s="17">
        <v>11</v>
      </c>
      <c r="CF42" s="36"/>
      <c r="CG42" s="12">
        <f t="shared" si="27"/>
        <v>1</v>
      </c>
      <c r="CH42" s="14">
        <f t="shared" si="28"/>
        <v>0</v>
      </c>
      <c r="CI42" s="13" t="e">
        <f t="shared" si="29"/>
        <v>#DIV/0!</v>
      </c>
      <c r="CK42" s="16"/>
      <c r="CL42" s="35" t="s">
        <v>33</v>
      </c>
      <c r="CM42" s="17"/>
      <c r="CN42" s="36"/>
      <c r="CO42" s="12">
        <f t="shared" si="30"/>
        <v>-11</v>
      </c>
      <c r="CP42" s="14">
        <f t="shared" si="31"/>
        <v>0</v>
      </c>
      <c r="CQ42" s="13" t="e">
        <f t="shared" si="32"/>
        <v>#DIV/0!</v>
      </c>
    </row>
    <row r="43" spans="1:95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48">K43-C43</f>
        <v>32</v>
      </c>
      <c r="N43" s="14">
        <f t="shared" ref="N43:N51" si="49">L43-D43</f>
        <v>36774.285714210011</v>
      </c>
      <c r="O43" s="13">
        <f t="shared" ref="O43:O51" si="50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39"/>
        <v>14</v>
      </c>
      <c r="BJ43" s="14">
        <f t="shared" si="40"/>
        <v>1656.1904762000049</v>
      </c>
      <c r="BK43" s="13">
        <f t="shared" si="41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  <c r="BU43" s="16"/>
      <c r="BV43" s="15" t="s">
        <v>10</v>
      </c>
      <c r="BW43" s="12">
        <v>119</v>
      </c>
      <c r="BX43" s="14">
        <v>100208.57142813996</v>
      </c>
      <c r="BY43" s="12">
        <f t="shared" si="24"/>
        <v>-16</v>
      </c>
      <c r="BZ43" s="14">
        <f t="shared" si="25"/>
        <v>-8754.2857142400171</v>
      </c>
      <c r="CA43" s="13">
        <f t="shared" si="26"/>
        <v>-8.034192516447082E-2</v>
      </c>
      <c r="CC43" s="16"/>
      <c r="CD43" s="15" t="s">
        <v>10</v>
      </c>
      <c r="CE43" s="12">
        <v>169</v>
      </c>
      <c r="CF43" s="14">
        <v>138360.95238042992</v>
      </c>
      <c r="CG43" s="12">
        <f t="shared" si="27"/>
        <v>50</v>
      </c>
      <c r="CH43" s="14">
        <f t="shared" si="28"/>
        <v>38152.380952289968</v>
      </c>
      <c r="CI43" s="13">
        <f t="shared" si="29"/>
        <v>0.38072971611664203</v>
      </c>
      <c r="CK43" s="16"/>
      <c r="CL43" s="15" t="s">
        <v>10</v>
      </c>
      <c r="CM43" s="12">
        <v>102</v>
      </c>
      <c r="CN43" s="14">
        <v>88763.809523439981</v>
      </c>
      <c r="CO43" s="12">
        <f t="shared" si="30"/>
        <v>-67</v>
      </c>
      <c r="CP43" s="14">
        <f t="shared" si="31"/>
        <v>-49597.142856989944</v>
      </c>
      <c r="CQ43" s="13">
        <f t="shared" si="32"/>
        <v>-0.35846199381903843</v>
      </c>
    </row>
    <row r="44" spans="1:95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48"/>
        <v>26</v>
      </c>
      <c r="N44" s="14">
        <f t="shared" si="49"/>
        <v>14286.666666670004</v>
      </c>
      <c r="O44" s="13">
        <f t="shared" si="50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39"/>
        <v>-20</v>
      </c>
      <c r="BJ44" s="14">
        <f t="shared" si="40"/>
        <v>-27973.333333309987</v>
      </c>
      <c r="BK44" s="13">
        <f t="shared" si="41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  <c r="BU44" s="16"/>
      <c r="BV44" s="15" t="s">
        <v>9</v>
      </c>
      <c r="BW44" s="12">
        <v>98</v>
      </c>
      <c r="BX44" s="14">
        <v>89000.952380849994</v>
      </c>
      <c r="BY44" s="12">
        <f t="shared" si="24"/>
        <v>12</v>
      </c>
      <c r="BZ44" s="14">
        <f t="shared" si="25"/>
        <v>16551.428571440003</v>
      </c>
      <c r="CA44" s="13">
        <f t="shared" si="26"/>
        <v>0.22845462193762889</v>
      </c>
      <c r="CC44" s="16"/>
      <c r="CD44" s="15" t="s">
        <v>9</v>
      </c>
      <c r="CE44" s="12">
        <v>85</v>
      </c>
      <c r="CF44" s="14">
        <v>83525.71428563002</v>
      </c>
      <c r="CG44" s="12">
        <f t="shared" si="27"/>
        <v>-13</v>
      </c>
      <c r="CH44" s="14">
        <f t="shared" si="28"/>
        <v>-5475.2380952199746</v>
      </c>
      <c r="CI44" s="13">
        <f t="shared" si="29"/>
        <v>-6.1518870851971483E-2</v>
      </c>
      <c r="CK44" s="16"/>
      <c r="CL44" s="15" t="s">
        <v>9</v>
      </c>
      <c r="CM44" s="12">
        <v>73</v>
      </c>
      <c r="CN44" s="14">
        <v>77722.857142780005</v>
      </c>
      <c r="CO44" s="12">
        <f t="shared" si="30"/>
        <v>-12</v>
      </c>
      <c r="CP44" s="14">
        <f t="shared" si="31"/>
        <v>-5802.8571428500145</v>
      </c>
      <c r="CQ44" s="13">
        <f t="shared" si="32"/>
        <v>-6.9473900253114659E-2</v>
      </c>
    </row>
    <row r="45" spans="1:95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48"/>
        <v>1</v>
      </c>
      <c r="N45" s="14">
        <f t="shared" si="49"/>
        <v>-2866.6666666700039</v>
      </c>
      <c r="O45" s="13">
        <f t="shared" si="50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39"/>
        <v>19</v>
      </c>
      <c r="BJ45" s="14">
        <f t="shared" si="40"/>
        <v>139106.66666665999</v>
      </c>
      <c r="BK45" s="13">
        <f t="shared" si="41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  <c r="BU45" s="16"/>
      <c r="BV45" s="15" t="s">
        <v>8</v>
      </c>
      <c r="BW45" s="12">
        <v>26</v>
      </c>
      <c r="BX45" s="14">
        <v>186895.23809522</v>
      </c>
      <c r="BY45" s="12">
        <f t="shared" si="24"/>
        <v>-9</v>
      </c>
      <c r="BZ45" s="14">
        <f t="shared" si="25"/>
        <v>-39914.285714289988</v>
      </c>
      <c r="CA45" s="13">
        <f t="shared" si="26"/>
        <v>-0.17598152424945221</v>
      </c>
      <c r="CC45" s="16"/>
      <c r="CD45" s="15" t="s">
        <v>8</v>
      </c>
      <c r="CE45" s="12">
        <v>26</v>
      </c>
      <c r="CF45" s="14">
        <v>152609.52380950999</v>
      </c>
      <c r="CG45" s="12">
        <f t="shared" si="27"/>
        <v>0</v>
      </c>
      <c r="CH45" s="14">
        <f t="shared" si="28"/>
        <v>-34285.714285710012</v>
      </c>
      <c r="CI45" s="13">
        <f t="shared" si="29"/>
        <v>-0.18344883815735322</v>
      </c>
      <c r="CK45" s="16"/>
      <c r="CL45" s="15" t="s">
        <v>8</v>
      </c>
      <c r="CM45" s="12">
        <v>20</v>
      </c>
      <c r="CN45" s="14">
        <v>139809.52380950999</v>
      </c>
      <c r="CO45" s="12">
        <f t="shared" si="30"/>
        <v>-6</v>
      </c>
      <c r="CP45" s="14">
        <f t="shared" si="31"/>
        <v>-12800</v>
      </c>
      <c r="CQ45" s="13">
        <f t="shared" si="32"/>
        <v>-8.387418871693221E-2</v>
      </c>
    </row>
    <row r="46" spans="1:95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48"/>
        <v>12</v>
      </c>
      <c r="N46" s="14">
        <f t="shared" si="49"/>
        <v>133142.85714283999</v>
      </c>
      <c r="O46" s="13">
        <f t="shared" si="50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39"/>
        <v>-4</v>
      </c>
      <c r="BJ46" s="14">
        <f t="shared" si="40"/>
        <v>-36761.90476188001</v>
      </c>
      <c r="BK46" s="13">
        <f t="shared" si="41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  <c r="BU46" s="16"/>
      <c r="BV46" s="15" t="s">
        <v>7</v>
      </c>
      <c r="BW46" s="12">
        <v>11</v>
      </c>
      <c r="BX46" s="14">
        <v>134190.47619044001</v>
      </c>
      <c r="BY46" s="12">
        <f t="shared" si="24"/>
        <v>-13</v>
      </c>
      <c r="BZ46" s="14">
        <f t="shared" si="25"/>
        <v>-169238.09523808002</v>
      </c>
      <c r="CA46" s="13">
        <f t="shared" si="26"/>
        <v>-0.55775266792220379</v>
      </c>
      <c r="CC46" s="16"/>
      <c r="CD46" s="15" t="s">
        <v>7</v>
      </c>
      <c r="CE46" s="12">
        <v>9</v>
      </c>
      <c r="CF46" s="14">
        <v>114380.95238094001</v>
      </c>
      <c r="CG46" s="12">
        <f t="shared" si="27"/>
        <v>-2</v>
      </c>
      <c r="CH46" s="14">
        <f t="shared" si="28"/>
        <v>-19809.523809499995</v>
      </c>
      <c r="CI46" s="13">
        <f t="shared" si="29"/>
        <v>-0.14762242725323352</v>
      </c>
      <c r="CK46" s="16"/>
      <c r="CL46" s="15" t="s">
        <v>7</v>
      </c>
      <c r="CM46" s="12">
        <v>16</v>
      </c>
      <c r="CN46" s="14">
        <v>229904.76190471</v>
      </c>
      <c r="CO46" s="12">
        <f t="shared" si="30"/>
        <v>7</v>
      </c>
      <c r="CP46" s="14">
        <f t="shared" si="31"/>
        <v>115523.80952376999</v>
      </c>
      <c r="CQ46" s="13">
        <f t="shared" si="32"/>
        <v>1.0099916736050925</v>
      </c>
    </row>
    <row r="47" spans="1:95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48"/>
        <v>-1</v>
      </c>
      <c r="N47" s="14">
        <f t="shared" si="49"/>
        <v>-2857.1428571400002</v>
      </c>
      <c r="O47" s="13">
        <f t="shared" si="50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39"/>
        <v>-1</v>
      </c>
      <c r="BJ47" s="14">
        <f t="shared" si="40"/>
        <v>-2857.1428571400002</v>
      </c>
      <c r="BK47" s="13">
        <f t="shared" si="41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  <c r="BU47" s="16"/>
      <c r="BV47" s="15" t="s">
        <v>6</v>
      </c>
      <c r="BW47" s="12">
        <v>0</v>
      </c>
      <c r="BX47" s="14">
        <v>0</v>
      </c>
      <c r="BY47" s="12">
        <f t="shared" si="24"/>
        <v>0</v>
      </c>
      <c r="BZ47" s="14">
        <f t="shared" si="25"/>
        <v>0</v>
      </c>
      <c r="CA47" s="13" t="e">
        <f t="shared" si="26"/>
        <v>#DIV/0!</v>
      </c>
      <c r="CC47" s="16"/>
      <c r="CD47" s="15" t="s">
        <v>6</v>
      </c>
      <c r="CE47" s="12">
        <v>0</v>
      </c>
      <c r="CF47" s="14">
        <v>0</v>
      </c>
      <c r="CG47" s="12">
        <f t="shared" si="27"/>
        <v>0</v>
      </c>
      <c r="CH47" s="14">
        <f t="shared" si="28"/>
        <v>0</v>
      </c>
      <c r="CI47" s="13" t="e">
        <f t="shared" si="29"/>
        <v>#DIV/0!</v>
      </c>
      <c r="CK47" s="16"/>
      <c r="CL47" s="15" t="s">
        <v>6</v>
      </c>
      <c r="CM47" s="12">
        <v>0</v>
      </c>
      <c r="CN47" s="14">
        <v>0</v>
      </c>
      <c r="CO47" s="12">
        <f t="shared" si="30"/>
        <v>0</v>
      </c>
      <c r="CP47" s="14">
        <f t="shared" si="31"/>
        <v>0</v>
      </c>
      <c r="CQ47" s="13" t="e">
        <f t="shared" si="32"/>
        <v>#DIV/0!</v>
      </c>
    </row>
    <row r="48" spans="1:95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48"/>
        <v>0</v>
      </c>
      <c r="N48" s="14">
        <f t="shared" si="49"/>
        <v>-6800</v>
      </c>
      <c r="O48" s="13">
        <f t="shared" si="50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39"/>
        <v>-6</v>
      </c>
      <c r="BJ48" s="14">
        <f t="shared" si="40"/>
        <v>-35540</v>
      </c>
      <c r="BK48" s="13">
        <f t="shared" si="41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  <c r="BU48" s="16"/>
      <c r="BV48" s="15" t="s">
        <v>5</v>
      </c>
      <c r="BW48" s="12">
        <v>5</v>
      </c>
      <c r="BX48" s="14">
        <v>26550</v>
      </c>
      <c r="BY48" s="12">
        <f t="shared" si="24"/>
        <v>2</v>
      </c>
      <c r="BZ48" s="14">
        <f t="shared" si="25"/>
        <v>9080</v>
      </c>
      <c r="CA48" s="13">
        <f t="shared" si="26"/>
        <v>0.51974813966800226</v>
      </c>
      <c r="CC48" s="16"/>
      <c r="CD48" s="15" t="s">
        <v>5</v>
      </c>
      <c r="CE48" s="12">
        <v>3</v>
      </c>
      <c r="CF48" s="14">
        <v>19170</v>
      </c>
      <c r="CG48" s="12">
        <f t="shared" si="27"/>
        <v>-2</v>
      </c>
      <c r="CH48" s="14">
        <f t="shared" si="28"/>
        <v>-7380</v>
      </c>
      <c r="CI48" s="13">
        <f t="shared" si="29"/>
        <v>-0.27796610169491526</v>
      </c>
      <c r="CK48" s="16"/>
      <c r="CL48" s="15" t="s">
        <v>5</v>
      </c>
      <c r="CM48" s="12">
        <v>1</v>
      </c>
      <c r="CN48" s="14">
        <v>4890</v>
      </c>
      <c r="CO48" s="12">
        <f t="shared" si="30"/>
        <v>-2</v>
      </c>
      <c r="CP48" s="14">
        <f t="shared" si="31"/>
        <v>-14280</v>
      </c>
      <c r="CQ48" s="13">
        <f t="shared" si="32"/>
        <v>-0.74491392801251954</v>
      </c>
    </row>
    <row r="49" spans="1:95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48"/>
        <v>-2</v>
      </c>
      <c r="N49" s="14">
        <f t="shared" si="49"/>
        <v>-76190.476190459987</v>
      </c>
      <c r="O49" s="13">
        <f t="shared" si="50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39"/>
        <v>1</v>
      </c>
      <c r="BJ49" s="14">
        <f t="shared" si="40"/>
        <v>53526.666666669997</v>
      </c>
      <c r="BK49" s="13">
        <f t="shared" si="41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  <c r="BU49" s="16"/>
      <c r="BV49" s="15" t="s">
        <v>4</v>
      </c>
      <c r="BW49" s="12">
        <v>1</v>
      </c>
      <c r="BX49" s="14">
        <v>35340</v>
      </c>
      <c r="BY49" s="12">
        <f t="shared" si="24"/>
        <v>-2</v>
      </c>
      <c r="BZ49" s="14">
        <f t="shared" si="25"/>
        <v>-36279.047619040008</v>
      </c>
      <c r="CA49" s="13">
        <f t="shared" si="26"/>
        <v>-0.50655585106377732</v>
      </c>
      <c r="CC49" s="16"/>
      <c r="CD49" s="15" t="s">
        <v>4</v>
      </c>
      <c r="CE49" s="12">
        <v>2</v>
      </c>
      <c r="CF49" s="14">
        <v>76000</v>
      </c>
      <c r="CG49" s="12">
        <f t="shared" si="27"/>
        <v>1</v>
      </c>
      <c r="CH49" s="14">
        <f t="shared" si="28"/>
        <v>40660</v>
      </c>
      <c r="CI49" s="13">
        <f t="shared" si="29"/>
        <v>1.1505376344086022</v>
      </c>
      <c r="CK49" s="16"/>
      <c r="CL49" s="15" t="s">
        <v>4</v>
      </c>
      <c r="CM49" s="12">
        <v>2</v>
      </c>
      <c r="CN49" s="14">
        <v>95047.619047610002</v>
      </c>
      <c r="CO49" s="12">
        <f t="shared" si="30"/>
        <v>0</v>
      </c>
      <c r="CP49" s="14">
        <f t="shared" si="31"/>
        <v>19047.619047610002</v>
      </c>
      <c r="CQ49" s="13">
        <f t="shared" si="32"/>
        <v>0.25062656641592107</v>
      </c>
    </row>
    <row r="50" spans="1:95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48"/>
        <v>13</v>
      </c>
      <c r="N50" s="14">
        <f t="shared" si="49"/>
        <v>205619.04761898998</v>
      </c>
      <c r="O50" s="13">
        <f t="shared" si="50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39"/>
        <v>-2</v>
      </c>
      <c r="BJ50" s="14">
        <f t="shared" si="40"/>
        <v>-40380.952380940027</v>
      </c>
      <c r="BK50" s="13">
        <f t="shared" si="41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  <c r="BU50" s="16"/>
      <c r="BV50" s="15" t="s">
        <v>3</v>
      </c>
      <c r="BW50" s="12">
        <v>13</v>
      </c>
      <c r="BX50" s="14">
        <v>253142.85714282002</v>
      </c>
      <c r="BY50" s="12">
        <f t="shared" si="24"/>
        <v>7</v>
      </c>
      <c r="BZ50" s="14">
        <f t="shared" si="25"/>
        <v>162857.14285712002</v>
      </c>
      <c r="CA50" s="13">
        <f t="shared" si="26"/>
        <v>1.8037974683544629</v>
      </c>
      <c r="CC50" s="16"/>
      <c r="CD50" s="15" t="s">
        <v>3</v>
      </c>
      <c r="CE50" s="12">
        <v>15</v>
      </c>
      <c r="CF50" s="14">
        <v>309904.76190473</v>
      </c>
      <c r="CG50" s="12">
        <f t="shared" si="27"/>
        <v>2</v>
      </c>
      <c r="CH50" s="14">
        <f t="shared" si="28"/>
        <v>56761.904761909973</v>
      </c>
      <c r="CI50" s="13">
        <f t="shared" si="29"/>
        <v>0.22422874341615578</v>
      </c>
      <c r="CK50" s="16"/>
      <c r="CL50" s="15" t="s">
        <v>3</v>
      </c>
      <c r="CM50" s="12">
        <v>8</v>
      </c>
      <c r="CN50" s="14">
        <v>129999.99999999002</v>
      </c>
      <c r="CO50" s="12">
        <f t="shared" si="30"/>
        <v>-7</v>
      </c>
      <c r="CP50" s="14">
        <f t="shared" si="31"/>
        <v>-179904.76190473998</v>
      </c>
      <c r="CQ50" s="13">
        <f t="shared" si="32"/>
        <v>-0.58051628764596319</v>
      </c>
    </row>
    <row r="51" spans="1:95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48"/>
        <v>-6</v>
      </c>
      <c r="N51" s="14">
        <f t="shared" si="49"/>
        <v>-406999.99999997998</v>
      </c>
      <c r="O51" s="13">
        <f t="shared" si="50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39"/>
        <v>5</v>
      </c>
      <c r="BJ51" s="14">
        <f t="shared" si="40"/>
        <v>74761.904761900194</v>
      </c>
      <c r="BK51" s="13">
        <f t="shared" si="41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  <c r="BU51" s="16"/>
      <c r="BV51" s="15" t="s">
        <v>2</v>
      </c>
      <c r="BW51" s="12">
        <v>34</v>
      </c>
      <c r="BX51" s="14">
        <v>1291999.9999999399</v>
      </c>
      <c r="BY51" s="12">
        <f t="shared" si="24"/>
        <v>-7</v>
      </c>
      <c r="BZ51" s="14">
        <f t="shared" si="25"/>
        <v>-148857.14285716997</v>
      </c>
      <c r="CA51" s="13">
        <f t="shared" si="26"/>
        <v>-0.10331152092010842</v>
      </c>
      <c r="CC51" s="16"/>
      <c r="CD51" s="15" t="s">
        <v>2</v>
      </c>
      <c r="CE51" s="12">
        <v>46</v>
      </c>
      <c r="CF51" s="14">
        <v>1767047.6190475801</v>
      </c>
      <c r="CG51" s="12">
        <f t="shared" si="27"/>
        <v>12</v>
      </c>
      <c r="CH51" s="14">
        <f t="shared" si="28"/>
        <v>475047.61904764012</v>
      </c>
      <c r="CI51" s="13">
        <f t="shared" si="29"/>
        <v>0.36768391567156516</v>
      </c>
      <c r="CK51" s="16"/>
      <c r="CL51" s="15" t="s">
        <v>2</v>
      </c>
      <c r="CM51" s="12">
        <v>36</v>
      </c>
      <c r="CN51" s="14">
        <v>1321333.3333332902</v>
      </c>
      <c r="CO51" s="12">
        <f t="shared" si="30"/>
        <v>-10</v>
      </c>
      <c r="CP51" s="14">
        <f t="shared" si="31"/>
        <v>-445714.28571428987</v>
      </c>
      <c r="CQ51" s="13">
        <f t="shared" si="32"/>
        <v>-0.25223671445511192</v>
      </c>
    </row>
    <row r="52" spans="1:95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51">K52-C52</f>
        <v>75</v>
      </c>
      <c r="N52" s="9">
        <f t="shared" ref="N52:N65" si="52">L52-D52</f>
        <v>-105891.42857153993</v>
      </c>
      <c r="O52" s="8">
        <f t="shared" ref="O52:O65" si="53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39"/>
        <v>6</v>
      </c>
      <c r="BJ52" s="30">
        <f t="shared" si="40"/>
        <v>125538.09523816034</v>
      </c>
      <c r="BK52" s="31">
        <f t="shared" si="41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  <c r="BU52" s="11" t="s">
        <v>11</v>
      </c>
      <c r="BV52" s="11"/>
      <c r="BW52" s="10">
        <v>307</v>
      </c>
      <c r="BX52" s="9">
        <v>2117328.0952374097</v>
      </c>
      <c r="BY52" s="29">
        <f t="shared" si="24"/>
        <v>-26</v>
      </c>
      <c r="BZ52" s="30">
        <f t="shared" si="25"/>
        <v>-214554.2857142603</v>
      </c>
      <c r="CA52" s="31">
        <f t="shared" si="26"/>
        <v>-9.2009051342760287E-2</v>
      </c>
      <c r="CC52" s="11" t="s">
        <v>11</v>
      </c>
      <c r="CD52" s="11"/>
      <c r="CE52" s="10">
        <v>355</v>
      </c>
      <c r="CF52" s="9">
        <v>2660999.5238088202</v>
      </c>
      <c r="CG52" s="29">
        <f t="shared" si="27"/>
        <v>48</v>
      </c>
      <c r="CH52" s="30">
        <f t="shared" si="28"/>
        <v>543671.42857141048</v>
      </c>
      <c r="CI52" s="31">
        <f t="shared" si="29"/>
        <v>0.25677240565329118</v>
      </c>
      <c r="CK52" s="11" t="s">
        <v>11</v>
      </c>
      <c r="CL52" s="11"/>
      <c r="CM52" s="10">
        <v>258</v>
      </c>
      <c r="CN52" s="9">
        <v>2087471.9047613302</v>
      </c>
      <c r="CO52" s="29">
        <f t="shared" si="30"/>
        <v>-97</v>
      </c>
      <c r="CP52" s="30">
        <f t="shared" si="31"/>
        <v>-573527.61904748995</v>
      </c>
      <c r="CQ52" s="31">
        <f t="shared" si="32"/>
        <v>-0.21553089879045581</v>
      </c>
    </row>
    <row r="53" spans="1:95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51"/>
        <v>0</v>
      </c>
      <c r="N53" s="14">
        <f t="shared" si="52"/>
        <v>0</v>
      </c>
      <c r="O53" s="13" t="e">
        <f t="shared" si="53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39"/>
        <v>0</v>
      </c>
      <c r="BJ53" s="14">
        <f t="shared" si="40"/>
        <v>0</v>
      </c>
      <c r="BK53" s="13" t="e">
        <f t="shared" si="41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  <c r="BU53" s="16">
        <v>84</v>
      </c>
      <c r="BV53" s="35" t="s">
        <v>32</v>
      </c>
      <c r="BW53" s="17"/>
      <c r="BX53" s="36"/>
      <c r="BY53" s="12">
        <f t="shared" si="24"/>
        <v>0</v>
      </c>
      <c r="BZ53" s="14">
        <f t="shared" si="25"/>
        <v>0</v>
      </c>
      <c r="CA53" s="13" t="e">
        <f t="shared" si="26"/>
        <v>#DIV/0!</v>
      </c>
      <c r="CC53" s="16">
        <v>84</v>
      </c>
      <c r="CD53" s="35" t="s">
        <v>32</v>
      </c>
      <c r="CE53" s="17"/>
      <c r="CF53" s="36"/>
      <c r="CG53" s="12">
        <f t="shared" si="27"/>
        <v>0</v>
      </c>
      <c r="CH53" s="14">
        <f t="shared" si="28"/>
        <v>0</v>
      </c>
      <c r="CI53" s="13" t="e">
        <f t="shared" si="29"/>
        <v>#DIV/0!</v>
      </c>
      <c r="CK53" s="16">
        <v>84</v>
      </c>
      <c r="CL53" s="35" t="s">
        <v>32</v>
      </c>
      <c r="CM53" s="17"/>
      <c r="CN53" s="36"/>
      <c r="CO53" s="12">
        <f t="shared" si="30"/>
        <v>0</v>
      </c>
      <c r="CP53" s="14">
        <f t="shared" si="31"/>
        <v>0</v>
      </c>
      <c r="CQ53" s="13" t="e">
        <f t="shared" si="32"/>
        <v>#DIV/0!</v>
      </c>
    </row>
    <row r="54" spans="1:95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51"/>
        <v>-4</v>
      </c>
      <c r="N54" s="14">
        <f t="shared" si="52"/>
        <v>0</v>
      </c>
      <c r="O54" s="13" t="e">
        <f t="shared" si="53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0</v>
      </c>
      <c r="AJ54" s="38"/>
      <c r="AK54" s="12">
        <f t="shared" si="9"/>
        <v>-5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8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39"/>
        <v>-2</v>
      </c>
      <c r="BJ54" s="14">
        <f t="shared" si="40"/>
        <v>0</v>
      </c>
      <c r="BK54" s="13" t="e">
        <f t="shared" si="41"/>
        <v>#DIV/0!</v>
      </c>
      <c r="BM54" s="16"/>
      <c r="BN54" s="35" t="s">
        <v>33</v>
      </c>
      <c r="BO54" s="17">
        <v>3</v>
      </c>
      <c r="BP54" s="36"/>
      <c r="BQ54" s="12">
        <f t="shared" si="21"/>
        <v>-2</v>
      </c>
      <c r="BR54" s="14">
        <f t="shared" si="22"/>
        <v>0</v>
      </c>
      <c r="BS54" s="13" t="e">
        <f t="shared" si="23"/>
        <v>#DIV/0!</v>
      </c>
      <c r="BU54" s="16"/>
      <c r="BV54" s="35" t="s">
        <v>33</v>
      </c>
      <c r="BW54" s="17">
        <v>0</v>
      </c>
      <c r="BX54" s="36"/>
      <c r="BY54" s="12">
        <f t="shared" si="24"/>
        <v>-3</v>
      </c>
      <c r="BZ54" s="14">
        <f t="shared" si="25"/>
        <v>0</v>
      </c>
      <c r="CA54" s="13" t="e">
        <f t="shared" si="26"/>
        <v>#DIV/0!</v>
      </c>
      <c r="CC54" s="16"/>
      <c r="CD54" s="35" t="s">
        <v>33</v>
      </c>
      <c r="CE54" s="17">
        <v>11</v>
      </c>
      <c r="CF54" s="36"/>
      <c r="CG54" s="12">
        <f t="shared" si="27"/>
        <v>11</v>
      </c>
      <c r="CH54" s="14">
        <f t="shared" si="28"/>
        <v>0</v>
      </c>
      <c r="CI54" s="13" t="e">
        <f t="shared" si="29"/>
        <v>#DIV/0!</v>
      </c>
      <c r="CK54" s="16"/>
      <c r="CL54" s="35" t="s">
        <v>33</v>
      </c>
      <c r="CM54" s="17"/>
      <c r="CN54" s="36"/>
      <c r="CO54" s="12">
        <f t="shared" si="30"/>
        <v>-11</v>
      </c>
      <c r="CP54" s="14">
        <f t="shared" si="31"/>
        <v>0</v>
      </c>
      <c r="CQ54" s="13" t="e">
        <f t="shared" si="32"/>
        <v>#DIV/0!</v>
      </c>
    </row>
    <row r="55" spans="1:95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51"/>
        <v>-18</v>
      </c>
      <c r="N55" s="14">
        <f t="shared" si="52"/>
        <v>-24420.952380899951</v>
      </c>
      <c r="O55" s="13">
        <f t="shared" si="53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39"/>
        <v>10</v>
      </c>
      <c r="BJ55" s="14">
        <f t="shared" si="40"/>
        <v>-72.380952419975074</v>
      </c>
      <c r="BK55" s="13">
        <f t="shared" si="41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  <c r="BU55" s="16"/>
      <c r="BV55" s="15" t="s">
        <v>10</v>
      </c>
      <c r="BW55" s="12">
        <v>135</v>
      </c>
      <c r="BX55" s="14">
        <v>109628.57142809997</v>
      </c>
      <c r="BY55" s="12">
        <f t="shared" si="24"/>
        <v>-54</v>
      </c>
      <c r="BZ55" s="14">
        <f t="shared" si="25"/>
        <v>-39182.857142759982</v>
      </c>
      <c r="CA55" s="13">
        <f t="shared" si="26"/>
        <v>-0.26330542969085319</v>
      </c>
      <c r="CC55" s="16"/>
      <c r="CD55" s="15" t="s">
        <v>10</v>
      </c>
      <c r="CE55" s="12">
        <v>178</v>
      </c>
      <c r="CF55" s="14">
        <v>157690.4761898999</v>
      </c>
      <c r="CG55" s="12">
        <f t="shared" si="27"/>
        <v>43</v>
      </c>
      <c r="CH55" s="14">
        <f t="shared" si="28"/>
        <v>48061.904761799931</v>
      </c>
      <c r="CI55" s="13">
        <f t="shared" si="29"/>
        <v>0.43840674137874169</v>
      </c>
      <c r="CK55" s="16"/>
      <c r="CL55" s="15" t="s">
        <v>10</v>
      </c>
      <c r="CM55" s="12">
        <v>131</v>
      </c>
      <c r="CN55" s="14">
        <v>112212.38095193</v>
      </c>
      <c r="CO55" s="12">
        <f t="shared" si="30"/>
        <v>-47</v>
      </c>
      <c r="CP55" s="14">
        <f t="shared" si="31"/>
        <v>-45478.095237969901</v>
      </c>
      <c r="CQ55" s="13">
        <f t="shared" si="32"/>
        <v>-0.28840102672530821</v>
      </c>
    </row>
    <row r="56" spans="1:95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51"/>
        <v>-24</v>
      </c>
      <c r="N56" s="14">
        <f t="shared" si="52"/>
        <v>-76438.095238119946</v>
      </c>
      <c r="O56" s="13">
        <f t="shared" si="53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39"/>
        <v>6</v>
      </c>
      <c r="BJ56" s="14">
        <f t="shared" si="40"/>
        <v>-4819.047619060002</v>
      </c>
      <c r="BK56" s="13">
        <f t="shared" si="41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  <c r="BU56" s="16"/>
      <c r="BV56" s="15" t="s">
        <v>9</v>
      </c>
      <c r="BW56" s="12">
        <v>76</v>
      </c>
      <c r="BX56" s="14">
        <v>82657.142857049999</v>
      </c>
      <c r="BY56" s="12">
        <f t="shared" si="24"/>
        <v>-12</v>
      </c>
      <c r="BZ56" s="14">
        <f t="shared" si="25"/>
        <v>-410.47619047999615</v>
      </c>
      <c r="CA56" s="13">
        <f t="shared" si="26"/>
        <v>-4.9414705174723747E-3</v>
      </c>
      <c r="CC56" s="16"/>
      <c r="CD56" s="15" t="s">
        <v>9</v>
      </c>
      <c r="CE56" s="12">
        <v>76</v>
      </c>
      <c r="CF56" s="14">
        <v>92514.285714180005</v>
      </c>
      <c r="CG56" s="12">
        <f t="shared" si="27"/>
        <v>0</v>
      </c>
      <c r="CH56" s="14">
        <f t="shared" si="28"/>
        <v>9857.1428571300057</v>
      </c>
      <c r="CI56" s="13">
        <f t="shared" si="29"/>
        <v>0.11925337020391903</v>
      </c>
      <c r="CK56" s="16"/>
      <c r="CL56" s="15" t="s">
        <v>9</v>
      </c>
      <c r="CM56" s="12">
        <v>90</v>
      </c>
      <c r="CN56" s="14">
        <v>85257.142857049999</v>
      </c>
      <c r="CO56" s="12">
        <f t="shared" si="30"/>
        <v>14</v>
      </c>
      <c r="CP56" s="14">
        <f t="shared" si="31"/>
        <v>-7257.1428571300057</v>
      </c>
      <c r="CQ56" s="13">
        <f t="shared" si="32"/>
        <v>-7.8443483631822242E-2</v>
      </c>
    </row>
    <row r="57" spans="1:95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51"/>
        <v>5</v>
      </c>
      <c r="N57" s="14">
        <f t="shared" si="52"/>
        <v>24522.857142859983</v>
      </c>
      <c r="O57" s="13">
        <f t="shared" si="53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39"/>
        <v>27</v>
      </c>
      <c r="BJ57" s="14">
        <f t="shared" si="40"/>
        <v>194028.57142857002</v>
      </c>
      <c r="BK57" s="13">
        <f t="shared" si="41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  <c r="BU57" s="16"/>
      <c r="BV57" s="15" t="s">
        <v>8</v>
      </c>
      <c r="BW57" s="12">
        <v>27</v>
      </c>
      <c r="BX57" s="14">
        <v>174028.57142855</v>
      </c>
      <c r="BY57" s="12">
        <f t="shared" si="24"/>
        <v>-2</v>
      </c>
      <c r="BZ57" s="14">
        <f t="shared" si="25"/>
        <v>-33910.476190479996</v>
      </c>
      <c r="CA57" s="13">
        <f t="shared" si="26"/>
        <v>-0.16307892422691178</v>
      </c>
      <c r="CC57" s="16"/>
      <c r="CD57" s="15" t="s">
        <v>8</v>
      </c>
      <c r="CE57" s="12">
        <v>31</v>
      </c>
      <c r="CF57" s="14">
        <v>212561.90476189001</v>
      </c>
      <c r="CG57" s="12">
        <f t="shared" si="27"/>
        <v>4</v>
      </c>
      <c r="CH57" s="14">
        <f t="shared" si="28"/>
        <v>38533.333333340008</v>
      </c>
      <c r="CI57" s="13">
        <f t="shared" si="29"/>
        <v>0.2214195808023422</v>
      </c>
      <c r="CK57" s="16"/>
      <c r="CL57" s="15" t="s">
        <v>8</v>
      </c>
      <c r="CM57" s="12">
        <v>21</v>
      </c>
      <c r="CN57" s="14">
        <v>132657.14285713999</v>
      </c>
      <c r="CO57" s="12">
        <f t="shared" si="30"/>
        <v>-10</v>
      </c>
      <c r="CP57" s="14">
        <f t="shared" si="31"/>
        <v>-79904.761904750019</v>
      </c>
      <c r="CQ57" s="13">
        <f t="shared" si="32"/>
        <v>-0.37591289932341659</v>
      </c>
    </row>
    <row r="58" spans="1:95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51"/>
        <v>-17</v>
      </c>
      <c r="N58" s="14">
        <f t="shared" si="52"/>
        <v>-169809.52380950004</v>
      </c>
      <c r="O58" s="13">
        <f t="shared" si="53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39"/>
        <v>3</v>
      </c>
      <c r="BJ58" s="14">
        <f t="shared" si="40"/>
        <v>78761.904761919985</v>
      </c>
      <c r="BK58" s="13">
        <f t="shared" si="41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  <c r="BU58" s="16"/>
      <c r="BV58" s="15" t="s">
        <v>7</v>
      </c>
      <c r="BW58" s="12">
        <v>10</v>
      </c>
      <c r="BX58" s="14">
        <v>136190.47619043</v>
      </c>
      <c r="BY58" s="12">
        <f t="shared" si="24"/>
        <v>-8</v>
      </c>
      <c r="BZ58" s="14">
        <f t="shared" si="25"/>
        <v>-103619.04761901998</v>
      </c>
      <c r="CA58" s="13">
        <f t="shared" si="26"/>
        <v>-0.43208895949167786</v>
      </c>
      <c r="CC58" s="16"/>
      <c r="CD58" s="15" t="s">
        <v>7</v>
      </c>
      <c r="CE58" s="12">
        <v>16</v>
      </c>
      <c r="CF58" s="14">
        <v>207047.61904757001</v>
      </c>
      <c r="CG58" s="12">
        <f t="shared" si="27"/>
        <v>6</v>
      </c>
      <c r="CH58" s="14">
        <f t="shared" si="28"/>
        <v>70857.142857140017</v>
      </c>
      <c r="CI58" s="13">
        <f t="shared" si="29"/>
        <v>0.5202797202798759</v>
      </c>
      <c r="CK58" s="16"/>
      <c r="CL58" s="15" t="s">
        <v>7</v>
      </c>
      <c r="CM58" s="12">
        <v>16</v>
      </c>
      <c r="CN58" s="14">
        <v>197523.80952376002</v>
      </c>
      <c r="CO58" s="12">
        <f t="shared" si="30"/>
        <v>0</v>
      </c>
      <c r="CP58" s="14">
        <f t="shared" si="31"/>
        <v>-9523.8095238099922</v>
      </c>
      <c r="CQ58" s="13">
        <f t="shared" si="32"/>
        <v>-4.5998160073610211E-2</v>
      </c>
    </row>
    <row r="59" spans="1:95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51"/>
        <v>0</v>
      </c>
      <c r="N59" s="14">
        <f t="shared" si="52"/>
        <v>0</v>
      </c>
      <c r="O59" s="13" t="e">
        <f t="shared" si="53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39"/>
        <v>1</v>
      </c>
      <c r="BJ59" s="14">
        <f t="shared" si="40"/>
        <v>2857.1428571400002</v>
      </c>
      <c r="BK59" s="13" t="e">
        <f t="shared" si="41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  <c r="BU59" s="16"/>
      <c r="BV59" s="15" t="s">
        <v>6</v>
      </c>
      <c r="BW59" s="12">
        <v>0</v>
      </c>
      <c r="BX59" s="14">
        <v>0</v>
      </c>
      <c r="BY59" s="12">
        <f t="shared" si="24"/>
        <v>0</v>
      </c>
      <c r="BZ59" s="14">
        <f t="shared" si="25"/>
        <v>0</v>
      </c>
      <c r="CA59" s="13" t="e">
        <f t="shared" si="26"/>
        <v>#DIV/0!</v>
      </c>
      <c r="CC59" s="16"/>
      <c r="CD59" s="15" t="s">
        <v>6</v>
      </c>
      <c r="CE59" s="12">
        <v>0</v>
      </c>
      <c r="CF59" s="14">
        <v>0</v>
      </c>
      <c r="CG59" s="12">
        <f t="shared" si="27"/>
        <v>0</v>
      </c>
      <c r="CH59" s="14">
        <f t="shared" si="28"/>
        <v>0</v>
      </c>
      <c r="CI59" s="13" t="e">
        <f t="shared" si="29"/>
        <v>#DIV/0!</v>
      </c>
      <c r="CK59" s="16"/>
      <c r="CL59" s="15" t="s">
        <v>6</v>
      </c>
      <c r="CM59" s="12">
        <v>0</v>
      </c>
      <c r="CN59" s="14">
        <v>0</v>
      </c>
      <c r="CO59" s="12">
        <f t="shared" si="30"/>
        <v>0</v>
      </c>
      <c r="CP59" s="14">
        <f t="shared" si="31"/>
        <v>0</v>
      </c>
      <c r="CQ59" s="13" t="e">
        <f t="shared" si="32"/>
        <v>#DIV/0!</v>
      </c>
    </row>
    <row r="60" spans="1:95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51"/>
        <v>-1</v>
      </c>
      <c r="N60" s="14">
        <f t="shared" si="52"/>
        <v>129873.80952380001</v>
      </c>
      <c r="O60" s="13">
        <f t="shared" si="53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39"/>
        <v>2</v>
      </c>
      <c r="BJ60" s="14">
        <f t="shared" si="40"/>
        <v>7080</v>
      </c>
      <c r="BK60" s="13" t="e">
        <f t="shared" si="41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  <c r="BU60" s="16"/>
      <c r="BV60" s="15" t="s">
        <v>5</v>
      </c>
      <c r="BW60" s="12">
        <v>0</v>
      </c>
      <c r="BX60" s="14">
        <v>0</v>
      </c>
      <c r="BY60" s="12">
        <f t="shared" si="24"/>
        <v>-2</v>
      </c>
      <c r="BZ60" s="14">
        <f t="shared" si="25"/>
        <v>-11180</v>
      </c>
      <c r="CA60" s="13">
        <f t="shared" si="26"/>
        <v>-1</v>
      </c>
      <c r="CC60" s="16"/>
      <c r="CD60" s="15" t="s">
        <v>5</v>
      </c>
      <c r="CE60" s="12">
        <v>3</v>
      </c>
      <c r="CF60" s="14">
        <v>13870</v>
      </c>
      <c r="CG60" s="12">
        <f t="shared" si="27"/>
        <v>3</v>
      </c>
      <c r="CH60" s="14">
        <f t="shared" si="28"/>
        <v>13870</v>
      </c>
      <c r="CI60" s="13" t="e">
        <f t="shared" si="29"/>
        <v>#DIV/0!</v>
      </c>
      <c r="CK60" s="16"/>
      <c r="CL60" s="15" t="s">
        <v>5</v>
      </c>
      <c r="CM60" s="12">
        <v>1</v>
      </c>
      <c r="CN60" s="14">
        <v>7290</v>
      </c>
      <c r="CO60" s="12">
        <f t="shared" si="30"/>
        <v>-2</v>
      </c>
      <c r="CP60" s="14">
        <f t="shared" si="31"/>
        <v>-6580</v>
      </c>
      <c r="CQ60" s="13">
        <f t="shared" si="32"/>
        <v>-0.47440519105984136</v>
      </c>
    </row>
    <row r="61" spans="1:95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51"/>
        <v>-3</v>
      </c>
      <c r="N61" s="14">
        <f t="shared" si="52"/>
        <v>-150952.38095236997</v>
      </c>
      <c r="O61" s="13">
        <f t="shared" si="53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39"/>
        <v>1</v>
      </c>
      <c r="BJ61" s="14">
        <f t="shared" si="40"/>
        <v>44666.666666659992</v>
      </c>
      <c r="BK61" s="13">
        <f t="shared" si="41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  <c r="BU61" s="16"/>
      <c r="BV61" s="15" t="s">
        <v>4</v>
      </c>
      <c r="BW61" s="12">
        <v>2</v>
      </c>
      <c r="BX61" s="14">
        <v>50285.714285709997</v>
      </c>
      <c r="BY61" s="12">
        <f t="shared" si="24"/>
        <v>-4</v>
      </c>
      <c r="BZ61" s="14">
        <f t="shared" si="25"/>
        <v>-175814.28571427998</v>
      </c>
      <c r="CA61" s="13">
        <f t="shared" si="26"/>
        <v>-0.77759524862577512</v>
      </c>
      <c r="CC61" s="16"/>
      <c r="CD61" s="15" t="s">
        <v>4</v>
      </c>
      <c r="CE61" s="12">
        <v>4</v>
      </c>
      <c r="CF61" s="14">
        <v>132952.38095237</v>
      </c>
      <c r="CG61" s="12">
        <f t="shared" si="27"/>
        <v>2</v>
      </c>
      <c r="CH61" s="14">
        <f t="shared" si="28"/>
        <v>82666.666666660007</v>
      </c>
      <c r="CI61" s="13">
        <f t="shared" si="29"/>
        <v>1.6439393939394018</v>
      </c>
      <c r="CK61" s="16"/>
      <c r="CL61" s="15" t="s">
        <v>4</v>
      </c>
      <c r="CM61" s="12">
        <v>1</v>
      </c>
      <c r="CN61" s="14">
        <v>36100</v>
      </c>
      <c r="CO61" s="12">
        <f t="shared" si="30"/>
        <v>-3</v>
      </c>
      <c r="CP61" s="14">
        <f t="shared" si="31"/>
        <v>-96852.380952370004</v>
      </c>
      <c r="CQ61" s="13">
        <f t="shared" si="32"/>
        <v>-0.72847421203436158</v>
      </c>
    </row>
    <row r="62" spans="1:95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51"/>
        <v>-6</v>
      </c>
      <c r="N62" s="14">
        <f t="shared" si="52"/>
        <v>-78476.190476179938</v>
      </c>
      <c r="O62" s="13">
        <f t="shared" si="53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39"/>
        <v>0</v>
      </c>
      <c r="BJ62" s="14">
        <f t="shared" si="40"/>
        <v>-43333.333333340008</v>
      </c>
      <c r="BK62" s="13">
        <f t="shared" si="41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  <c r="BU62" s="16"/>
      <c r="BV62" s="15" t="s">
        <v>3</v>
      </c>
      <c r="BW62" s="12">
        <v>14</v>
      </c>
      <c r="BX62" s="14">
        <v>253428.57142852998</v>
      </c>
      <c r="BY62" s="12">
        <f t="shared" si="24"/>
        <v>-4</v>
      </c>
      <c r="BZ62" s="14">
        <f t="shared" si="25"/>
        <v>-48523.809523799981</v>
      </c>
      <c r="CA62" s="13">
        <f t="shared" si="26"/>
        <v>-0.16070020501497739</v>
      </c>
      <c r="CC62" s="16"/>
      <c r="CD62" s="15" t="s">
        <v>3</v>
      </c>
      <c r="CE62" s="12">
        <v>13</v>
      </c>
      <c r="CF62" s="14">
        <v>268761.90476186998</v>
      </c>
      <c r="CG62" s="12">
        <f t="shared" si="27"/>
        <v>-1</v>
      </c>
      <c r="CH62" s="14">
        <f t="shared" si="28"/>
        <v>15333.333333340008</v>
      </c>
      <c r="CI62" s="13">
        <f t="shared" si="29"/>
        <v>6.0503570086469907E-2</v>
      </c>
      <c r="CK62" s="16"/>
      <c r="CL62" s="15" t="s">
        <v>3</v>
      </c>
      <c r="CM62" s="12">
        <v>10</v>
      </c>
      <c r="CN62" s="14">
        <v>158095.23809520999</v>
      </c>
      <c r="CO62" s="12">
        <f t="shared" si="30"/>
        <v>-3</v>
      </c>
      <c r="CP62" s="14">
        <f t="shared" si="31"/>
        <v>-110666.66666665999</v>
      </c>
      <c r="CQ62" s="13">
        <f t="shared" si="32"/>
        <v>-0.4117647058823814</v>
      </c>
    </row>
    <row r="63" spans="1:95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51"/>
        <v>7</v>
      </c>
      <c r="N63" s="14">
        <f t="shared" si="52"/>
        <v>197904.76190476026</v>
      </c>
      <c r="O63" s="13">
        <f t="shared" si="53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39"/>
        <v>5</v>
      </c>
      <c r="BJ63" s="14">
        <f t="shared" si="40"/>
        <v>261428.57142858999</v>
      </c>
      <c r="BK63" s="13">
        <f t="shared" si="41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  <c r="BU63" s="16"/>
      <c r="BV63" s="15" t="s">
        <v>2</v>
      </c>
      <c r="BW63" s="12">
        <v>34</v>
      </c>
      <c r="BX63" s="14">
        <v>1234655.2380952002</v>
      </c>
      <c r="BY63" s="12">
        <f t="shared" si="24"/>
        <v>-10</v>
      </c>
      <c r="BZ63" s="14">
        <f t="shared" si="25"/>
        <v>-348773.33333334001</v>
      </c>
      <c r="CA63" s="13">
        <f t="shared" si="26"/>
        <v>-0.22026464573560342</v>
      </c>
      <c r="CC63" s="16"/>
      <c r="CD63" s="15" t="s">
        <v>2</v>
      </c>
      <c r="CE63" s="12">
        <v>49</v>
      </c>
      <c r="CF63" s="14">
        <v>1863083.8095237601</v>
      </c>
      <c r="CG63" s="12">
        <f t="shared" si="27"/>
        <v>15</v>
      </c>
      <c r="CH63" s="14">
        <f t="shared" si="28"/>
        <v>628428.57142855995</v>
      </c>
      <c r="CI63" s="13">
        <f t="shared" si="29"/>
        <v>0.50899113536997276</v>
      </c>
      <c r="CK63" s="16"/>
      <c r="CL63" s="15" t="s">
        <v>2</v>
      </c>
      <c r="CM63" s="12">
        <v>28</v>
      </c>
      <c r="CN63" s="14">
        <v>1082803.8095237799</v>
      </c>
      <c r="CO63" s="12">
        <f t="shared" si="30"/>
        <v>-21</v>
      </c>
      <c r="CP63" s="14">
        <f t="shared" si="31"/>
        <v>-780279.99999998021</v>
      </c>
      <c r="CQ63" s="13">
        <f t="shared" si="32"/>
        <v>-0.41881100356909584</v>
      </c>
    </row>
    <row r="64" spans="1:95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51"/>
        <v>-60</v>
      </c>
      <c r="N64" s="9">
        <f t="shared" si="52"/>
        <v>-286129.52380944975</v>
      </c>
      <c r="O64" s="8">
        <f t="shared" si="53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39"/>
        <v>55</v>
      </c>
      <c r="BJ64" s="30">
        <f t="shared" si="40"/>
        <v>540598.09523805976</v>
      </c>
      <c r="BK64" s="31">
        <f t="shared" si="41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  <c r="BU64" s="11" t="s">
        <v>1</v>
      </c>
      <c r="BV64" s="11"/>
      <c r="BW64" s="10">
        <v>298</v>
      </c>
      <c r="BX64" s="9">
        <v>2040874.2857135702</v>
      </c>
      <c r="BY64" s="29">
        <f t="shared" si="24"/>
        <v>-96</v>
      </c>
      <c r="BZ64" s="30">
        <f t="shared" si="25"/>
        <v>-761414.28571415972</v>
      </c>
      <c r="CA64" s="31">
        <f t="shared" si="26"/>
        <v>-0.27171159083242769</v>
      </c>
      <c r="CC64" s="11" t="s">
        <v>1</v>
      </c>
      <c r="CD64" s="11"/>
      <c r="CE64" s="10">
        <v>371</v>
      </c>
      <c r="CF64" s="9">
        <v>2949710.95238011</v>
      </c>
      <c r="CG64" s="29">
        <f t="shared" si="27"/>
        <v>73</v>
      </c>
      <c r="CH64" s="30">
        <f t="shared" si="28"/>
        <v>908836.66666653985</v>
      </c>
      <c r="CI64" s="31">
        <f t="shared" si="29"/>
        <v>0.44531731965488247</v>
      </c>
      <c r="CK64" s="11" t="s">
        <v>1</v>
      </c>
      <c r="CL64" s="11"/>
      <c r="CM64" s="10">
        <v>298</v>
      </c>
      <c r="CN64" s="9">
        <v>1811939.52380887</v>
      </c>
      <c r="CO64" s="29">
        <f t="shared" si="30"/>
        <v>-73</v>
      </c>
      <c r="CP64" s="30">
        <f t="shared" si="31"/>
        <v>-1137771.42857124</v>
      </c>
      <c r="CQ64" s="31">
        <f t="shared" si="32"/>
        <v>-0.38572302403161801</v>
      </c>
    </row>
    <row r="65" spans="1:95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51"/>
        <v>19</v>
      </c>
      <c r="N65" s="3">
        <f t="shared" si="52"/>
        <v>-3955111.4285718128</v>
      </c>
      <c r="O65" s="2">
        <f t="shared" si="53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39"/>
        <v>369</v>
      </c>
      <c r="BJ65" s="6">
        <f t="shared" si="40"/>
        <v>4376254.2857142128</v>
      </c>
      <c r="BK65" s="32">
        <f t="shared" si="41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  <c r="BU65" s="5" t="s">
        <v>0</v>
      </c>
      <c r="BV65" s="5"/>
      <c r="BW65" s="4">
        <v>2792</v>
      </c>
      <c r="BX65" s="3">
        <v>28543174.285709437</v>
      </c>
      <c r="BY65" s="7">
        <f t="shared" si="24"/>
        <v>-47</v>
      </c>
      <c r="BZ65" s="6">
        <f t="shared" si="25"/>
        <v>2692607.6190475449</v>
      </c>
      <c r="CA65" s="32">
        <f t="shared" si="26"/>
        <v>0.10416048722522042</v>
      </c>
      <c r="CC65" s="5" t="s">
        <v>0</v>
      </c>
      <c r="CD65" s="5"/>
      <c r="CE65" s="4">
        <v>3003</v>
      </c>
      <c r="CF65" s="3">
        <v>29198356.666661449</v>
      </c>
      <c r="CG65" s="7">
        <f t="shared" si="27"/>
        <v>211</v>
      </c>
      <c r="CH65" s="6">
        <f t="shared" si="28"/>
        <v>655182.38095201179</v>
      </c>
      <c r="CI65" s="32">
        <f t="shared" si="29"/>
        <v>2.2954082625632796E-2</v>
      </c>
      <c r="CK65" s="5" t="s">
        <v>0</v>
      </c>
      <c r="CL65" s="5"/>
      <c r="CM65" s="4">
        <v>2445</v>
      </c>
      <c r="CN65" s="3">
        <v>21316737.142852888</v>
      </c>
      <c r="CO65" s="7">
        <f t="shared" si="30"/>
        <v>-558</v>
      </c>
      <c r="CP65" s="6">
        <f t="shared" si="31"/>
        <v>-7881619.5238085613</v>
      </c>
      <c r="CQ65" s="32">
        <f t="shared" si="32"/>
        <v>-0.26993366831523635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6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3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2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1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0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19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8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5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4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3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2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2025-12-21T01:19:46Z</dcterms:modified>
</cp:coreProperties>
</file>