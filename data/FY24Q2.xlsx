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orio/Downloads/"/>
    </mc:Choice>
  </mc:AlternateContent>
  <xr:revisionPtr revIDLastSave="0" documentId="13_ncr:1_{C9BA0E13-6D64-8A46-BB79-18477B9C57DC}" xr6:coauthVersionLast="47" xr6:coauthVersionMax="47" xr10:uidLastSave="{00000000-0000-0000-0000-000000000000}"/>
  <bookViews>
    <workbookView xWindow="20" yWindow="740" windowWidth="23560" windowHeight="20140" xr2:uid="{00000000-000D-0000-FFFF-FFFF00000000}"/>
  </bookViews>
  <sheets>
    <sheet name="24Q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5" i="1" l="1"/>
  <c r="CX65" i="1"/>
  <c r="CW65" i="1"/>
  <c r="CY64" i="1"/>
  <c r="CX64" i="1"/>
  <c r="CW64" i="1"/>
  <c r="CY63" i="1"/>
  <c r="CX63" i="1"/>
  <c r="CW63" i="1"/>
  <c r="CY62" i="1"/>
  <c r="CX62" i="1"/>
  <c r="CW62" i="1"/>
  <c r="CY61" i="1"/>
  <c r="CX61" i="1"/>
  <c r="CW61" i="1"/>
  <c r="CY60" i="1"/>
  <c r="CX60" i="1"/>
  <c r="CW60" i="1"/>
  <c r="CY59" i="1"/>
  <c r="CX59" i="1"/>
  <c r="CW59" i="1"/>
  <c r="CY58" i="1"/>
  <c r="CX58" i="1"/>
  <c r="CW58" i="1"/>
  <c r="CY57" i="1"/>
  <c r="CX57" i="1"/>
  <c r="CW57" i="1"/>
  <c r="CY56" i="1"/>
  <c r="CX56" i="1"/>
  <c r="CW56" i="1"/>
  <c r="CY55" i="1"/>
  <c r="CX55" i="1"/>
  <c r="CW55" i="1"/>
  <c r="CY53" i="1"/>
  <c r="CX53" i="1"/>
  <c r="CW53" i="1"/>
  <c r="CY52" i="1"/>
  <c r="CX52" i="1"/>
  <c r="CW52" i="1"/>
  <c r="CY51" i="1"/>
  <c r="CX51" i="1"/>
  <c r="CW51" i="1"/>
  <c r="CY50" i="1"/>
  <c r="CX50" i="1"/>
  <c r="CW50" i="1"/>
  <c r="CY49" i="1"/>
  <c r="CX49" i="1"/>
  <c r="CW49" i="1"/>
  <c r="CY48" i="1"/>
  <c r="CX48" i="1"/>
  <c r="CW48" i="1"/>
  <c r="CY47" i="1"/>
  <c r="CX47" i="1"/>
  <c r="CW47" i="1"/>
  <c r="CY46" i="1"/>
  <c r="CX46" i="1"/>
  <c r="CW46" i="1"/>
  <c r="CY45" i="1"/>
  <c r="CX45" i="1"/>
  <c r="CW45" i="1"/>
  <c r="CY44" i="1"/>
  <c r="CX44" i="1"/>
  <c r="CW44" i="1"/>
  <c r="CY43" i="1"/>
  <c r="CX43" i="1"/>
  <c r="CW43" i="1"/>
  <c r="CY40" i="1"/>
  <c r="CX40" i="1"/>
  <c r="CW40" i="1"/>
  <c r="CY39" i="1"/>
  <c r="CX39" i="1"/>
  <c r="CW39" i="1"/>
  <c r="CY38" i="1"/>
  <c r="CX38" i="1"/>
  <c r="CW38" i="1"/>
  <c r="CY37" i="1"/>
  <c r="CX37" i="1"/>
  <c r="CW37" i="1"/>
  <c r="CY36" i="1"/>
  <c r="CX36" i="1"/>
  <c r="CW36" i="1"/>
  <c r="CY35" i="1"/>
  <c r="CX35" i="1"/>
  <c r="CW35" i="1"/>
  <c r="CY34" i="1"/>
  <c r="CX34" i="1"/>
  <c r="CW34" i="1"/>
  <c r="CY33" i="1"/>
  <c r="CX33" i="1"/>
  <c r="CW33" i="1"/>
  <c r="CY32" i="1"/>
  <c r="CX32" i="1"/>
  <c r="CW32" i="1"/>
  <c r="CY31" i="1"/>
  <c r="CX31" i="1"/>
  <c r="CW31" i="1"/>
  <c r="CY28" i="1"/>
  <c r="CX28" i="1"/>
  <c r="CW28" i="1"/>
  <c r="CY27" i="1"/>
  <c r="CX27" i="1"/>
  <c r="CW27" i="1"/>
  <c r="CY26" i="1"/>
  <c r="CX26" i="1"/>
  <c r="CW26" i="1"/>
  <c r="CY25" i="1"/>
  <c r="CX25" i="1"/>
  <c r="CW25" i="1"/>
  <c r="CY24" i="1"/>
  <c r="CX24" i="1"/>
  <c r="CW24" i="1"/>
  <c r="CY23" i="1"/>
  <c r="CX23" i="1"/>
  <c r="CW23" i="1"/>
  <c r="CY22" i="1"/>
  <c r="CX22" i="1"/>
  <c r="CW22" i="1"/>
  <c r="CY21" i="1"/>
  <c r="CX21" i="1"/>
  <c r="CW21" i="1"/>
  <c r="CY20" i="1"/>
  <c r="CX20" i="1"/>
  <c r="CW20" i="1"/>
  <c r="CY19" i="1"/>
  <c r="CX19" i="1"/>
  <c r="CW19" i="1"/>
  <c r="CY16" i="1"/>
  <c r="CX16" i="1"/>
  <c r="CW16" i="1"/>
  <c r="CY15" i="1"/>
  <c r="CX15" i="1"/>
  <c r="CW15" i="1"/>
  <c r="CY14" i="1"/>
  <c r="CX14" i="1"/>
  <c r="CW14" i="1"/>
  <c r="CY13" i="1"/>
  <c r="CX13" i="1"/>
  <c r="CW13" i="1"/>
  <c r="CY12" i="1"/>
  <c r="CX12" i="1"/>
  <c r="CW12" i="1"/>
  <c r="CY11" i="1"/>
  <c r="CX11" i="1"/>
  <c r="CW11" i="1"/>
  <c r="CY10" i="1"/>
  <c r="CX10" i="1"/>
  <c r="CW10" i="1"/>
  <c r="CY9" i="1"/>
  <c r="CX9" i="1"/>
  <c r="CW9" i="1"/>
  <c r="CY8" i="1"/>
  <c r="CX8" i="1"/>
  <c r="CW8" i="1"/>
  <c r="CY7" i="1"/>
  <c r="CX7" i="1"/>
  <c r="CW7" i="1"/>
  <c r="CQ65" i="1"/>
  <c r="CP65" i="1"/>
  <c r="CO65" i="1"/>
  <c r="CQ64" i="1"/>
  <c r="CP64" i="1"/>
  <c r="CO64" i="1"/>
  <c r="CQ63" i="1"/>
  <c r="CP63" i="1"/>
  <c r="CO63" i="1"/>
  <c r="CQ62" i="1"/>
  <c r="CP62" i="1"/>
  <c r="CO62" i="1"/>
  <c r="CQ61" i="1"/>
  <c r="CP61" i="1"/>
  <c r="CO61" i="1"/>
  <c r="CQ60" i="1"/>
  <c r="CP60" i="1"/>
  <c r="CO60" i="1"/>
  <c r="CQ59" i="1"/>
  <c r="CP59" i="1"/>
  <c r="CO59" i="1"/>
  <c r="CQ58" i="1"/>
  <c r="CP58" i="1"/>
  <c r="CO58" i="1"/>
  <c r="CQ57" i="1"/>
  <c r="CP57" i="1"/>
  <c r="CO57" i="1"/>
  <c r="CQ56" i="1"/>
  <c r="CP56" i="1"/>
  <c r="CO56" i="1"/>
  <c r="CQ55" i="1"/>
  <c r="CP55" i="1"/>
  <c r="CO55" i="1"/>
  <c r="CQ53" i="1"/>
  <c r="CP53" i="1"/>
  <c r="CO53" i="1"/>
  <c r="CQ52" i="1"/>
  <c r="CP52" i="1"/>
  <c r="CO52" i="1"/>
  <c r="CQ51" i="1"/>
  <c r="CP51" i="1"/>
  <c r="CO51" i="1"/>
  <c r="CQ50" i="1"/>
  <c r="CP50" i="1"/>
  <c r="CO50" i="1"/>
  <c r="CQ49" i="1"/>
  <c r="CP49" i="1"/>
  <c r="CO49" i="1"/>
  <c r="CQ48" i="1"/>
  <c r="CP48" i="1"/>
  <c r="CO48" i="1"/>
  <c r="CQ47" i="1"/>
  <c r="CP47" i="1"/>
  <c r="CO47" i="1"/>
  <c r="CQ46" i="1"/>
  <c r="CP46" i="1"/>
  <c r="CO46" i="1"/>
  <c r="CQ45" i="1"/>
  <c r="CP45" i="1"/>
  <c r="CO45" i="1"/>
  <c r="CQ44" i="1"/>
  <c r="CP44" i="1"/>
  <c r="CO44" i="1"/>
  <c r="CQ43" i="1"/>
  <c r="CP43" i="1"/>
  <c r="CO43" i="1"/>
  <c r="CQ40" i="1"/>
  <c r="CP40" i="1"/>
  <c r="CO40" i="1"/>
  <c r="CQ39" i="1"/>
  <c r="CP39" i="1"/>
  <c r="CO39" i="1"/>
  <c r="CQ38" i="1"/>
  <c r="CP38" i="1"/>
  <c r="CO38" i="1"/>
  <c r="CQ37" i="1"/>
  <c r="CP37" i="1"/>
  <c r="CO37" i="1"/>
  <c r="CQ36" i="1"/>
  <c r="CP36" i="1"/>
  <c r="CO36" i="1"/>
  <c r="CQ35" i="1"/>
  <c r="CP35" i="1"/>
  <c r="CO35" i="1"/>
  <c r="CQ34" i="1"/>
  <c r="CP34" i="1"/>
  <c r="CO34" i="1"/>
  <c r="CQ33" i="1"/>
  <c r="CP33" i="1"/>
  <c r="CO33" i="1"/>
  <c r="CQ32" i="1"/>
  <c r="CP32" i="1"/>
  <c r="CO32" i="1"/>
  <c r="CQ31" i="1"/>
  <c r="CP31" i="1"/>
  <c r="CO31" i="1"/>
  <c r="CQ28" i="1"/>
  <c r="CP28" i="1"/>
  <c r="CO28" i="1"/>
  <c r="CQ27" i="1"/>
  <c r="CP27" i="1"/>
  <c r="CO27" i="1"/>
  <c r="CQ26" i="1"/>
  <c r="CP26" i="1"/>
  <c r="CO26" i="1"/>
  <c r="CQ25" i="1"/>
  <c r="CP25" i="1"/>
  <c r="CO25" i="1"/>
  <c r="CQ24" i="1"/>
  <c r="CP24" i="1"/>
  <c r="CO24" i="1"/>
  <c r="CQ23" i="1"/>
  <c r="CP23" i="1"/>
  <c r="CO23" i="1"/>
  <c r="CQ22" i="1"/>
  <c r="CP22" i="1"/>
  <c r="CO22" i="1"/>
  <c r="CQ21" i="1"/>
  <c r="CP21" i="1"/>
  <c r="CO21" i="1"/>
  <c r="CQ20" i="1"/>
  <c r="CP20" i="1"/>
  <c r="CO20" i="1"/>
  <c r="CQ19" i="1"/>
  <c r="CP19" i="1"/>
  <c r="CO19" i="1"/>
  <c r="CQ16" i="1"/>
  <c r="CP16" i="1"/>
  <c r="CO16" i="1"/>
  <c r="CQ15" i="1"/>
  <c r="CP15" i="1"/>
  <c r="CO15" i="1"/>
  <c r="CQ14" i="1"/>
  <c r="CP14" i="1"/>
  <c r="CO14" i="1"/>
  <c r="CQ13" i="1"/>
  <c r="CP13" i="1"/>
  <c r="CO13" i="1"/>
  <c r="CQ12" i="1"/>
  <c r="CP12" i="1"/>
  <c r="CO12" i="1"/>
  <c r="CQ11" i="1"/>
  <c r="CP11" i="1"/>
  <c r="CO11" i="1"/>
  <c r="CQ10" i="1"/>
  <c r="CP10" i="1"/>
  <c r="CO10" i="1"/>
  <c r="CQ9" i="1"/>
  <c r="CP9" i="1"/>
  <c r="CO9" i="1"/>
  <c r="CQ8" i="1"/>
  <c r="CP8" i="1"/>
  <c r="CO8" i="1"/>
  <c r="CQ7" i="1"/>
  <c r="CP7" i="1"/>
  <c r="CO7" i="1"/>
  <c r="CI65" i="1"/>
  <c r="CH65" i="1"/>
  <c r="CG65" i="1"/>
  <c r="CI64" i="1"/>
  <c r="CH64" i="1"/>
  <c r="CG64" i="1"/>
  <c r="CI63" i="1"/>
  <c r="CH63" i="1"/>
  <c r="CG63" i="1"/>
  <c r="CI62" i="1"/>
  <c r="CH62" i="1"/>
  <c r="CG62" i="1"/>
  <c r="CI61" i="1"/>
  <c r="CH61" i="1"/>
  <c r="CG61" i="1"/>
  <c r="CI60" i="1"/>
  <c r="CH60" i="1"/>
  <c r="CG60" i="1"/>
  <c r="CI59" i="1"/>
  <c r="CH59" i="1"/>
  <c r="CG59" i="1"/>
  <c r="CI58" i="1"/>
  <c r="CH58" i="1"/>
  <c r="CG58" i="1"/>
  <c r="CI57" i="1"/>
  <c r="CH57" i="1"/>
  <c r="CG57" i="1"/>
  <c r="CI56" i="1"/>
  <c r="CH56" i="1"/>
  <c r="CG56" i="1"/>
  <c r="CI55" i="1"/>
  <c r="CH55" i="1"/>
  <c r="CG55" i="1"/>
  <c r="CI53" i="1"/>
  <c r="CH53" i="1"/>
  <c r="CG53" i="1"/>
  <c r="CI52" i="1"/>
  <c r="CH52" i="1"/>
  <c r="CG52" i="1"/>
  <c r="CI51" i="1"/>
  <c r="CH51" i="1"/>
  <c r="CG51" i="1"/>
  <c r="CI50" i="1"/>
  <c r="CH50" i="1"/>
  <c r="CG50" i="1"/>
  <c r="CI49" i="1"/>
  <c r="CH49" i="1"/>
  <c r="CG49" i="1"/>
  <c r="CI48" i="1"/>
  <c r="CH48" i="1"/>
  <c r="CG48" i="1"/>
  <c r="CI47" i="1"/>
  <c r="CH47" i="1"/>
  <c r="CG47" i="1"/>
  <c r="CI46" i="1"/>
  <c r="CH46" i="1"/>
  <c r="CG46" i="1"/>
  <c r="CI45" i="1"/>
  <c r="CH45" i="1"/>
  <c r="CG45" i="1"/>
  <c r="CI44" i="1"/>
  <c r="CH44" i="1"/>
  <c r="CG44" i="1"/>
  <c r="CI43" i="1"/>
  <c r="CH43" i="1"/>
  <c r="CG43" i="1"/>
  <c r="CI40" i="1"/>
  <c r="CH40" i="1"/>
  <c r="CG40" i="1"/>
  <c r="CI39" i="1"/>
  <c r="CH39" i="1"/>
  <c r="CG39" i="1"/>
  <c r="CI38" i="1"/>
  <c r="CH38" i="1"/>
  <c r="CG38" i="1"/>
  <c r="CI37" i="1"/>
  <c r="CH37" i="1"/>
  <c r="CG37" i="1"/>
  <c r="CI36" i="1"/>
  <c r="CH36" i="1"/>
  <c r="CG36" i="1"/>
  <c r="CI35" i="1"/>
  <c r="CH35" i="1"/>
  <c r="CG35" i="1"/>
  <c r="CI34" i="1"/>
  <c r="CH34" i="1"/>
  <c r="CG34" i="1"/>
  <c r="CI33" i="1"/>
  <c r="CH33" i="1"/>
  <c r="CG33" i="1"/>
  <c r="CI32" i="1"/>
  <c r="CH32" i="1"/>
  <c r="CG32" i="1"/>
  <c r="CI31" i="1"/>
  <c r="CH31" i="1"/>
  <c r="CG31" i="1"/>
  <c r="CI28" i="1"/>
  <c r="CH28" i="1"/>
  <c r="CG28" i="1"/>
  <c r="CI27" i="1"/>
  <c r="CH27" i="1"/>
  <c r="CG27" i="1"/>
  <c r="CI26" i="1"/>
  <c r="CH26" i="1"/>
  <c r="CG26" i="1"/>
  <c r="CI25" i="1"/>
  <c r="CH25" i="1"/>
  <c r="CG25" i="1"/>
  <c r="CI24" i="1"/>
  <c r="CH24" i="1"/>
  <c r="CG24" i="1"/>
  <c r="CI23" i="1"/>
  <c r="CH23" i="1"/>
  <c r="CG23" i="1"/>
  <c r="CI22" i="1"/>
  <c r="CH22" i="1"/>
  <c r="CG22" i="1"/>
  <c r="CI21" i="1"/>
  <c r="CH21" i="1"/>
  <c r="CG21" i="1"/>
  <c r="CI20" i="1"/>
  <c r="CH20" i="1"/>
  <c r="CG20" i="1"/>
  <c r="CI19" i="1"/>
  <c r="CH19" i="1"/>
  <c r="CG19" i="1"/>
  <c r="CI16" i="1"/>
  <c r="CH16" i="1"/>
  <c r="CG16" i="1"/>
  <c r="CI15" i="1"/>
  <c r="CH15" i="1"/>
  <c r="CG15" i="1"/>
  <c r="CI14" i="1"/>
  <c r="CH14" i="1"/>
  <c r="CG14" i="1"/>
  <c r="CI13" i="1"/>
  <c r="CH13" i="1"/>
  <c r="CG13" i="1"/>
  <c r="CI12" i="1"/>
  <c r="CH12" i="1"/>
  <c r="CG12" i="1"/>
  <c r="CI11" i="1"/>
  <c r="CH11" i="1"/>
  <c r="CG11" i="1"/>
  <c r="CI10" i="1"/>
  <c r="CH10" i="1"/>
  <c r="CG10" i="1"/>
  <c r="CI9" i="1"/>
  <c r="CH9" i="1"/>
  <c r="CG9" i="1"/>
  <c r="CI8" i="1"/>
  <c r="CH8" i="1"/>
  <c r="CG8" i="1"/>
  <c r="CI7" i="1"/>
  <c r="CH7" i="1"/>
  <c r="CG7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BS65" i="1"/>
  <c r="BR65" i="1"/>
  <c r="BQ65" i="1"/>
  <c r="BS64" i="1"/>
  <c r="BR64" i="1"/>
  <c r="BQ64" i="1"/>
  <c r="BS63" i="1"/>
  <c r="BR63" i="1"/>
  <c r="BQ63" i="1"/>
  <c r="BS62" i="1"/>
  <c r="BR62" i="1"/>
  <c r="BQ62" i="1"/>
  <c r="BS61" i="1"/>
  <c r="BR61" i="1"/>
  <c r="BQ61" i="1"/>
  <c r="BS60" i="1"/>
  <c r="BR60" i="1"/>
  <c r="BQ60" i="1"/>
  <c r="BS59" i="1"/>
  <c r="BR59" i="1"/>
  <c r="BQ59" i="1"/>
  <c r="BS58" i="1"/>
  <c r="BR58" i="1"/>
  <c r="BQ58" i="1"/>
  <c r="BS57" i="1"/>
  <c r="BR57" i="1"/>
  <c r="BQ57" i="1"/>
  <c r="BS56" i="1"/>
  <c r="BR56" i="1"/>
  <c r="BQ56" i="1"/>
  <c r="BS55" i="1"/>
  <c r="BR55" i="1"/>
  <c r="BQ55" i="1"/>
  <c r="BS53" i="1"/>
  <c r="BR53" i="1"/>
  <c r="BQ53" i="1"/>
  <c r="BS52" i="1"/>
  <c r="BR52" i="1"/>
  <c r="BQ52" i="1"/>
  <c r="BS51" i="1"/>
  <c r="BR51" i="1"/>
  <c r="BQ51" i="1"/>
  <c r="BS50" i="1"/>
  <c r="BR50" i="1"/>
  <c r="BQ50" i="1"/>
  <c r="BS49" i="1"/>
  <c r="BR49" i="1"/>
  <c r="BQ49" i="1"/>
  <c r="BS48" i="1"/>
  <c r="BR48" i="1"/>
  <c r="BQ48" i="1"/>
  <c r="BS47" i="1"/>
  <c r="BR47" i="1"/>
  <c r="BQ47" i="1"/>
  <c r="BS46" i="1"/>
  <c r="BR46" i="1"/>
  <c r="BQ46" i="1"/>
  <c r="BS45" i="1"/>
  <c r="BR45" i="1"/>
  <c r="BQ45" i="1"/>
  <c r="BS44" i="1"/>
  <c r="BR44" i="1"/>
  <c r="BQ44" i="1"/>
  <c r="BS43" i="1"/>
  <c r="BR43" i="1"/>
  <c r="BQ43" i="1"/>
  <c r="BS40" i="1"/>
  <c r="BR40" i="1"/>
  <c r="BQ40" i="1"/>
  <c r="BS39" i="1"/>
  <c r="BR39" i="1"/>
  <c r="BQ39" i="1"/>
  <c r="BS38" i="1"/>
  <c r="BR38" i="1"/>
  <c r="BQ38" i="1"/>
  <c r="BS37" i="1"/>
  <c r="BR37" i="1"/>
  <c r="BQ37" i="1"/>
  <c r="BS36" i="1"/>
  <c r="BR36" i="1"/>
  <c r="BQ36" i="1"/>
  <c r="BS35" i="1"/>
  <c r="BR35" i="1"/>
  <c r="BQ35" i="1"/>
  <c r="BS34" i="1"/>
  <c r="BR34" i="1"/>
  <c r="BQ34" i="1"/>
  <c r="BS33" i="1"/>
  <c r="BR33" i="1"/>
  <c r="BQ33" i="1"/>
  <c r="BS32" i="1"/>
  <c r="BR32" i="1"/>
  <c r="BQ32" i="1"/>
  <c r="BS31" i="1"/>
  <c r="BR31" i="1"/>
  <c r="BQ31" i="1"/>
  <c r="BS28" i="1"/>
  <c r="BR28" i="1"/>
  <c r="BQ28" i="1"/>
  <c r="BS27" i="1"/>
  <c r="BR27" i="1"/>
  <c r="BQ27" i="1"/>
  <c r="BS26" i="1"/>
  <c r="BR26" i="1"/>
  <c r="BQ26" i="1"/>
  <c r="BS25" i="1"/>
  <c r="BR25" i="1"/>
  <c r="BQ25" i="1"/>
  <c r="BS24" i="1"/>
  <c r="BR24" i="1"/>
  <c r="BQ24" i="1"/>
  <c r="BS23" i="1"/>
  <c r="BR23" i="1"/>
  <c r="BQ23" i="1"/>
  <c r="BS22" i="1"/>
  <c r="BR22" i="1"/>
  <c r="BQ22" i="1"/>
  <c r="BS21" i="1"/>
  <c r="BR21" i="1"/>
  <c r="BQ21" i="1"/>
  <c r="BS20" i="1"/>
  <c r="BR20" i="1"/>
  <c r="BQ20" i="1"/>
  <c r="BS19" i="1"/>
  <c r="BR19" i="1"/>
  <c r="BQ19" i="1"/>
  <c r="BS16" i="1"/>
  <c r="BR16" i="1"/>
  <c r="BQ16" i="1"/>
  <c r="BS15" i="1"/>
  <c r="BR15" i="1"/>
  <c r="BQ15" i="1"/>
  <c r="BS14" i="1"/>
  <c r="BR14" i="1"/>
  <c r="BQ14" i="1"/>
  <c r="BS13" i="1"/>
  <c r="BR13" i="1"/>
  <c r="BQ13" i="1"/>
  <c r="BS12" i="1"/>
  <c r="BR12" i="1"/>
  <c r="BQ12" i="1"/>
  <c r="BS11" i="1"/>
  <c r="BR11" i="1"/>
  <c r="BQ11" i="1"/>
  <c r="BS10" i="1"/>
  <c r="BR10" i="1"/>
  <c r="BQ10" i="1"/>
  <c r="BS9" i="1"/>
  <c r="BR9" i="1"/>
  <c r="BQ9" i="1"/>
  <c r="BS8" i="1"/>
  <c r="BR8" i="1"/>
  <c r="BQ8" i="1"/>
  <c r="BS7" i="1"/>
  <c r="BR7" i="1"/>
  <c r="BQ7" i="1"/>
  <c r="BK65" i="1"/>
  <c r="BJ65" i="1"/>
  <c r="BI65" i="1"/>
  <c r="BK64" i="1"/>
  <c r="BJ64" i="1"/>
  <c r="BI64" i="1"/>
  <c r="BK63" i="1"/>
  <c r="BJ63" i="1"/>
  <c r="BI63" i="1"/>
  <c r="BK62" i="1"/>
  <c r="BJ62" i="1"/>
  <c r="BI62" i="1"/>
  <c r="BK61" i="1"/>
  <c r="BJ61" i="1"/>
  <c r="BI61" i="1"/>
  <c r="BK60" i="1"/>
  <c r="BJ60" i="1"/>
  <c r="BI60" i="1"/>
  <c r="BK59" i="1"/>
  <c r="BJ59" i="1"/>
  <c r="BI59" i="1"/>
  <c r="BK58" i="1"/>
  <c r="BJ58" i="1"/>
  <c r="BI58" i="1"/>
  <c r="BK57" i="1"/>
  <c r="BJ57" i="1"/>
  <c r="BI57" i="1"/>
  <c r="BK56" i="1"/>
  <c r="BJ56" i="1"/>
  <c r="BI56" i="1"/>
  <c r="BK55" i="1"/>
  <c r="BJ55" i="1"/>
  <c r="BI55" i="1"/>
  <c r="BK53" i="1"/>
  <c r="BJ53" i="1"/>
  <c r="BI53" i="1"/>
  <c r="BK52" i="1"/>
  <c r="BJ52" i="1"/>
  <c r="BI52" i="1"/>
  <c r="BK51" i="1"/>
  <c r="BJ51" i="1"/>
  <c r="BI51" i="1"/>
  <c r="BK50" i="1"/>
  <c r="BJ50" i="1"/>
  <c r="BI50" i="1"/>
  <c r="BK49" i="1"/>
  <c r="BJ49" i="1"/>
  <c r="BI49" i="1"/>
  <c r="BK48" i="1"/>
  <c r="BJ48" i="1"/>
  <c r="BI48" i="1"/>
  <c r="BK47" i="1"/>
  <c r="BJ47" i="1"/>
  <c r="BI47" i="1"/>
  <c r="BK46" i="1"/>
  <c r="BJ46" i="1"/>
  <c r="BI46" i="1"/>
  <c r="BK45" i="1"/>
  <c r="BJ45" i="1"/>
  <c r="BI45" i="1"/>
  <c r="BK44" i="1"/>
  <c r="BJ44" i="1"/>
  <c r="BI44" i="1"/>
  <c r="BK43" i="1"/>
  <c r="BJ43" i="1"/>
  <c r="BI43" i="1"/>
  <c r="BK40" i="1"/>
  <c r="BJ40" i="1"/>
  <c r="BI40" i="1"/>
  <c r="BK39" i="1"/>
  <c r="BJ39" i="1"/>
  <c r="BI39" i="1"/>
  <c r="BK38" i="1"/>
  <c r="BJ38" i="1"/>
  <c r="BI38" i="1"/>
  <c r="BK37" i="1"/>
  <c r="BJ37" i="1"/>
  <c r="BI37" i="1"/>
  <c r="BK36" i="1"/>
  <c r="BJ36" i="1"/>
  <c r="BI36" i="1"/>
  <c r="BK35" i="1"/>
  <c r="BJ35" i="1"/>
  <c r="BI35" i="1"/>
  <c r="BK34" i="1"/>
  <c r="BJ34" i="1"/>
  <c r="BI34" i="1"/>
  <c r="BK33" i="1"/>
  <c r="BJ33" i="1"/>
  <c r="BI33" i="1"/>
  <c r="BK32" i="1"/>
  <c r="BJ32" i="1"/>
  <c r="BI32" i="1"/>
  <c r="BK31" i="1"/>
  <c r="BJ31" i="1"/>
  <c r="BI31" i="1"/>
  <c r="BK28" i="1"/>
  <c r="BJ28" i="1"/>
  <c r="BI28" i="1"/>
  <c r="BK27" i="1"/>
  <c r="BJ27" i="1"/>
  <c r="BI27" i="1"/>
  <c r="BK26" i="1"/>
  <c r="BJ26" i="1"/>
  <c r="BI26" i="1"/>
  <c r="BK25" i="1"/>
  <c r="BJ25" i="1"/>
  <c r="BI25" i="1"/>
  <c r="BK24" i="1"/>
  <c r="BJ24" i="1"/>
  <c r="BI24" i="1"/>
  <c r="BK23" i="1"/>
  <c r="BJ23" i="1"/>
  <c r="BI23" i="1"/>
  <c r="BK22" i="1"/>
  <c r="BJ22" i="1"/>
  <c r="BI22" i="1"/>
  <c r="BK21" i="1"/>
  <c r="BJ21" i="1"/>
  <c r="BI21" i="1"/>
  <c r="BK20" i="1"/>
  <c r="BJ20" i="1"/>
  <c r="BI20" i="1"/>
  <c r="BK19" i="1"/>
  <c r="BJ19" i="1"/>
  <c r="BI19" i="1"/>
  <c r="BK16" i="1"/>
  <c r="BJ16" i="1"/>
  <c r="BI16" i="1"/>
  <c r="BK15" i="1"/>
  <c r="BJ15" i="1"/>
  <c r="BI15" i="1"/>
  <c r="BK14" i="1"/>
  <c r="BJ14" i="1"/>
  <c r="BI14" i="1"/>
  <c r="BK13" i="1"/>
  <c r="BJ13" i="1"/>
  <c r="BI13" i="1"/>
  <c r="BK12" i="1"/>
  <c r="BJ12" i="1"/>
  <c r="BI12" i="1"/>
  <c r="BK11" i="1"/>
  <c r="BJ11" i="1"/>
  <c r="BI11" i="1"/>
  <c r="BK10" i="1"/>
  <c r="BJ10" i="1"/>
  <c r="BI10" i="1"/>
  <c r="BK9" i="1"/>
  <c r="BJ9" i="1"/>
  <c r="BI9" i="1"/>
  <c r="BK8" i="1"/>
  <c r="BJ8" i="1"/>
  <c r="BI8" i="1"/>
  <c r="BK7" i="1"/>
  <c r="BJ7" i="1"/>
  <c r="BI7" i="1"/>
  <c r="BC65" i="1"/>
  <c r="BB65" i="1"/>
  <c r="BA65" i="1"/>
  <c r="BC64" i="1"/>
  <c r="BB64" i="1"/>
  <c r="BA64" i="1"/>
  <c r="BC63" i="1"/>
  <c r="BB63" i="1"/>
  <c r="BA63" i="1"/>
  <c r="BC62" i="1"/>
  <c r="BB62" i="1"/>
  <c r="BA62" i="1"/>
  <c r="BC61" i="1"/>
  <c r="BB61" i="1"/>
  <c r="BA61" i="1"/>
  <c r="BC60" i="1"/>
  <c r="BB60" i="1"/>
  <c r="BA60" i="1"/>
  <c r="BC59" i="1"/>
  <c r="BB59" i="1"/>
  <c r="BA59" i="1"/>
  <c r="BC58" i="1"/>
  <c r="BB58" i="1"/>
  <c r="BA58" i="1"/>
  <c r="BC57" i="1"/>
  <c r="BB57" i="1"/>
  <c r="BA57" i="1"/>
  <c r="BC56" i="1"/>
  <c r="BB56" i="1"/>
  <c r="BA56" i="1"/>
  <c r="BC55" i="1"/>
  <c r="BB55" i="1"/>
  <c r="BA55" i="1"/>
  <c r="BC53" i="1"/>
  <c r="BB53" i="1"/>
  <c r="BA53" i="1"/>
  <c r="BC52" i="1"/>
  <c r="BB52" i="1"/>
  <c r="BA52" i="1"/>
  <c r="BC51" i="1"/>
  <c r="BB51" i="1"/>
  <c r="BA51" i="1"/>
  <c r="BC50" i="1"/>
  <c r="BB50" i="1"/>
  <c r="BA50" i="1"/>
  <c r="BC49" i="1"/>
  <c r="BB49" i="1"/>
  <c r="BA49" i="1"/>
  <c r="BC48" i="1"/>
  <c r="BB48" i="1"/>
  <c r="BA48" i="1"/>
  <c r="BC47" i="1"/>
  <c r="BB47" i="1"/>
  <c r="BA47" i="1"/>
  <c r="BC46" i="1"/>
  <c r="BB46" i="1"/>
  <c r="BA46" i="1"/>
  <c r="BC45" i="1"/>
  <c r="BB45" i="1"/>
  <c r="BA45" i="1"/>
  <c r="BC44" i="1"/>
  <c r="BB44" i="1"/>
  <c r="BA44" i="1"/>
  <c r="BC43" i="1"/>
  <c r="BB43" i="1"/>
  <c r="BA43" i="1"/>
  <c r="BC40" i="1"/>
  <c r="BB40" i="1"/>
  <c r="BA40" i="1"/>
  <c r="BC39" i="1"/>
  <c r="BB39" i="1"/>
  <c r="BA39" i="1"/>
  <c r="BC38" i="1"/>
  <c r="BB38" i="1"/>
  <c r="BA38" i="1"/>
  <c r="BC37" i="1"/>
  <c r="BB37" i="1"/>
  <c r="BA37" i="1"/>
  <c r="BC36" i="1"/>
  <c r="BB36" i="1"/>
  <c r="BA36" i="1"/>
  <c r="BC35" i="1"/>
  <c r="BB35" i="1"/>
  <c r="BA35" i="1"/>
  <c r="BC34" i="1"/>
  <c r="BB34" i="1"/>
  <c r="BA34" i="1"/>
  <c r="BC33" i="1"/>
  <c r="BB33" i="1"/>
  <c r="BA33" i="1"/>
  <c r="BC32" i="1"/>
  <c r="BB32" i="1"/>
  <c r="BA32" i="1"/>
  <c r="BC31" i="1"/>
  <c r="BB31" i="1"/>
  <c r="BA31" i="1"/>
  <c r="BC28" i="1"/>
  <c r="BB28" i="1"/>
  <c r="BA28" i="1"/>
  <c r="BC27" i="1"/>
  <c r="BB27" i="1"/>
  <c r="BA27" i="1"/>
  <c r="BC26" i="1"/>
  <c r="BB26" i="1"/>
  <c r="BA26" i="1"/>
  <c r="BC25" i="1"/>
  <c r="BB25" i="1"/>
  <c r="BA25" i="1"/>
  <c r="BC24" i="1"/>
  <c r="BB24" i="1"/>
  <c r="BA24" i="1"/>
  <c r="BC23" i="1"/>
  <c r="BB23" i="1"/>
  <c r="BA23" i="1"/>
  <c r="BC22" i="1"/>
  <c r="BB22" i="1"/>
  <c r="BA22" i="1"/>
  <c r="BC21" i="1"/>
  <c r="BB21" i="1"/>
  <c r="BA21" i="1"/>
  <c r="BC20" i="1"/>
  <c r="BB20" i="1"/>
  <c r="BA20" i="1"/>
  <c r="BC19" i="1"/>
  <c r="BB19" i="1"/>
  <c r="BA19" i="1"/>
  <c r="BC16" i="1"/>
  <c r="BB16" i="1"/>
  <c r="BA16" i="1"/>
  <c r="BC15" i="1"/>
  <c r="BB15" i="1"/>
  <c r="BA15" i="1"/>
  <c r="BC14" i="1"/>
  <c r="BB14" i="1"/>
  <c r="BA14" i="1"/>
  <c r="BC13" i="1"/>
  <c r="BB13" i="1"/>
  <c r="BA13" i="1"/>
  <c r="BC12" i="1"/>
  <c r="BB12" i="1"/>
  <c r="BA12" i="1"/>
  <c r="BC11" i="1"/>
  <c r="BB11" i="1"/>
  <c r="BA11" i="1"/>
  <c r="BC10" i="1"/>
  <c r="BB10" i="1"/>
  <c r="BA10" i="1"/>
  <c r="BC9" i="1"/>
  <c r="BB9" i="1"/>
  <c r="BA9" i="1"/>
  <c r="BC8" i="1"/>
  <c r="BB8" i="1"/>
  <c r="BA8" i="1"/>
  <c r="BC7" i="1"/>
  <c r="BB7" i="1"/>
  <c r="BA7" i="1"/>
  <c r="AU65" i="1"/>
  <c r="AT65" i="1"/>
  <c r="AS65" i="1"/>
  <c r="AU64" i="1"/>
  <c r="AT64" i="1"/>
  <c r="AS64" i="1"/>
  <c r="AU63" i="1"/>
  <c r="AT63" i="1"/>
  <c r="AS63" i="1"/>
  <c r="AU62" i="1"/>
  <c r="AT62" i="1"/>
  <c r="AS62" i="1"/>
  <c r="AU61" i="1"/>
  <c r="AT61" i="1"/>
  <c r="AS61" i="1"/>
  <c r="AU60" i="1"/>
  <c r="AT60" i="1"/>
  <c r="AS60" i="1"/>
  <c r="AU59" i="1"/>
  <c r="AT59" i="1"/>
  <c r="AS59" i="1"/>
  <c r="AU58" i="1"/>
  <c r="AT58" i="1"/>
  <c r="AS58" i="1"/>
  <c r="AU57" i="1"/>
  <c r="AT57" i="1"/>
  <c r="AS57" i="1"/>
  <c r="AU56" i="1"/>
  <c r="AT56" i="1"/>
  <c r="AS56" i="1"/>
  <c r="AU55" i="1"/>
  <c r="AT55" i="1"/>
  <c r="AS55" i="1"/>
  <c r="AU53" i="1"/>
  <c r="AT53" i="1"/>
  <c r="AS53" i="1"/>
  <c r="AU52" i="1"/>
  <c r="AT52" i="1"/>
  <c r="AS52" i="1"/>
  <c r="AU51" i="1"/>
  <c r="AT51" i="1"/>
  <c r="AS51" i="1"/>
  <c r="AU50" i="1"/>
  <c r="AT50" i="1"/>
  <c r="AS50" i="1"/>
  <c r="AU49" i="1"/>
  <c r="AT49" i="1"/>
  <c r="AS49" i="1"/>
  <c r="AU48" i="1"/>
  <c r="AT48" i="1"/>
  <c r="AS48" i="1"/>
  <c r="AU47" i="1"/>
  <c r="AT47" i="1"/>
  <c r="AS47" i="1"/>
  <c r="AU46" i="1"/>
  <c r="AT46" i="1"/>
  <c r="AS46" i="1"/>
  <c r="AU45" i="1"/>
  <c r="AT45" i="1"/>
  <c r="AS45" i="1"/>
  <c r="AU44" i="1"/>
  <c r="AT44" i="1"/>
  <c r="AS44" i="1"/>
  <c r="AU43" i="1"/>
  <c r="AT43" i="1"/>
  <c r="AS43" i="1"/>
  <c r="AU40" i="1"/>
  <c r="AT40" i="1"/>
  <c r="AS40" i="1"/>
  <c r="AU39" i="1"/>
  <c r="AT39" i="1"/>
  <c r="AS39" i="1"/>
  <c r="AU38" i="1"/>
  <c r="AT38" i="1"/>
  <c r="AS38" i="1"/>
  <c r="AU37" i="1"/>
  <c r="AT37" i="1"/>
  <c r="AS37" i="1"/>
  <c r="AU36" i="1"/>
  <c r="AT36" i="1"/>
  <c r="AS36" i="1"/>
  <c r="AU35" i="1"/>
  <c r="AT35" i="1"/>
  <c r="AS35" i="1"/>
  <c r="AU34" i="1"/>
  <c r="AT34" i="1"/>
  <c r="AS34" i="1"/>
  <c r="AU33" i="1"/>
  <c r="AT33" i="1"/>
  <c r="AS33" i="1"/>
  <c r="AU32" i="1"/>
  <c r="AT32" i="1"/>
  <c r="AS32" i="1"/>
  <c r="AU31" i="1"/>
  <c r="AT31" i="1"/>
  <c r="AS31" i="1"/>
  <c r="AU28" i="1"/>
  <c r="AT28" i="1"/>
  <c r="AS28" i="1"/>
  <c r="AU27" i="1"/>
  <c r="AT27" i="1"/>
  <c r="AS27" i="1"/>
  <c r="AU26" i="1"/>
  <c r="AT26" i="1"/>
  <c r="AS26" i="1"/>
  <c r="AU25" i="1"/>
  <c r="AT25" i="1"/>
  <c r="AS25" i="1"/>
  <c r="AU24" i="1"/>
  <c r="AT24" i="1"/>
  <c r="AS24" i="1"/>
  <c r="AU23" i="1"/>
  <c r="AT23" i="1"/>
  <c r="AS23" i="1"/>
  <c r="AU22" i="1"/>
  <c r="AT22" i="1"/>
  <c r="AS22" i="1"/>
  <c r="AU21" i="1"/>
  <c r="AT21" i="1"/>
  <c r="AS21" i="1"/>
  <c r="AU20" i="1"/>
  <c r="AT20" i="1"/>
  <c r="AS20" i="1"/>
  <c r="AU19" i="1"/>
  <c r="AT19" i="1"/>
  <c r="AS19" i="1"/>
  <c r="AU16" i="1"/>
  <c r="AT16" i="1"/>
  <c r="AS16" i="1"/>
  <c r="AU15" i="1"/>
  <c r="AT15" i="1"/>
  <c r="AS15" i="1"/>
  <c r="AU14" i="1"/>
  <c r="AT14" i="1"/>
  <c r="AS14" i="1"/>
  <c r="AU13" i="1"/>
  <c r="AT13" i="1"/>
  <c r="AS13" i="1"/>
  <c r="AU12" i="1"/>
  <c r="AT12" i="1"/>
  <c r="AS12" i="1"/>
  <c r="AU11" i="1"/>
  <c r="AT11" i="1"/>
  <c r="AS11" i="1"/>
  <c r="AU10" i="1"/>
  <c r="AT10" i="1"/>
  <c r="AS10" i="1"/>
  <c r="AU9" i="1"/>
  <c r="AT9" i="1"/>
  <c r="AS9" i="1"/>
  <c r="AU8" i="1"/>
  <c r="AT8" i="1"/>
  <c r="AS8" i="1"/>
  <c r="AU7" i="1"/>
  <c r="AT7" i="1"/>
  <c r="AS7" i="1"/>
  <c r="AM65" i="1"/>
  <c r="AL65" i="1"/>
  <c r="AK65" i="1"/>
  <c r="AM64" i="1"/>
  <c r="AL64" i="1"/>
  <c r="AK64" i="1"/>
  <c r="AM63" i="1"/>
  <c r="AL63" i="1"/>
  <c r="AK63" i="1"/>
  <c r="AM62" i="1"/>
  <c r="AL62" i="1"/>
  <c r="AK62" i="1"/>
  <c r="AM61" i="1"/>
  <c r="AL61" i="1"/>
  <c r="AK61" i="1"/>
  <c r="AM60" i="1"/>
  <c r="AL60" i="1"/>
  <c r="AK60" i="1"/>
  <c r="AM59" i="1"/>
  <c r="AL59" i="1"/>
  <c r="AK59" i="1"/>
  <c r="AM58" i="1"/>
  <c r="AL58" i="1"/>
  <c r="AK58" i="1"/>
  <c r="AM57" i="1"/>
  <c r="AL57" i="1"/>
  <c r="AK57" i="1"/>
  <c r="AM56" i="1"/>
  <c r="AL56" i="1"/>
  <c r="AK56" i="1"/>
  <c r="AM55" i="1"/>
  <c r="AL55" i="1"/>
  <c r="AK55" i="1"/>
  <c r="AM53" i="1"/>
  <c r="AL53" i="1"/>
  <c r="AK53" i="1"/>
  <c r="AM52" i="1"/>
  <c r="AL52" i="1"/>
  <c r="AK52" i="1"/>
  <c r="AM51" i="1"/>
  <c r="AL51" i="1"/>
  <c r="AK51" i="1"/>
  <c r="AM50" i="1"/>
  <c r="AL50" i="1"/>
  <c r="AK50" i="1"/>
  <c r="AM49" i="1"/>
  <c r="AL49" i="1"/>
  <c r="AK49" i="1"/>
  <c r="AM48" i="1"/>
  <c r="AL48" i="1"/>
  <c r="AK48" i="1"/>
  <c r="AM47" i="1"/>
  <c r="AL47" i="1"/>
  <c r="AK47" i="1"/>
  <c r="AM46" i="1"/>
  <c r="AL46" i="1"/>
  <c r="AK46" i="1"/>
  <c r="AM45" i="1"/>
  <c r="AL45" i="1"/>
  <c r="AK45" i="1"/>
  <c r="AM44" i="1"/>
  <c r="AL44" i="1"/>
  <c r="AK44" i="1"/>
  <c r="AM43" i="1"/>
  <c r="AL43" i="1"/>
  <c r="AK43" i="1"/>
  <c r="AM40" i="1"/>
  <c r="AL40" i="1"/>
  <c r="AK40" i="1"/>
  <c r="AM39" i="1"/>
  <c r="AL39" i="1"/>
  <c r="AK39" i="1"/>
  <c r="AM38" i="1"/>
  <c r="AL38" i="1"/>
  <c r="AK38" i="1"/>
  <c r="AM37" i="1"/>
  <c r="AL37" i="1"/>
  <c r="AK37" i="1"/>
  <c r="AM36" i="1"/>
  <c r="AL36" i="1"/>
  <c r="AK36" i="1"/>
  <c r="AM35" i="1"/>
  <c r="AL35" i="1"/>
  <c r="AK35" i="1"/>
  <c r="AM34" i="1"/>
  <c r="AL34" i="1"/>
  <c r="AK34" i="1"/>
  <c r="AM33" i="1"/>
  <c r="AL33" i="1"/>
  <c r="AK33" i="1"/>
  <c r="AM32" i="1"/>
  <c r="AL32" i="1"/>
  <c r="AK32" i="1"/>
  <c r="AM31" i="1"/>
  <c r="AL31" i="1"/>
  <c r="AK31" i="1"/>
  <c r="AM28" i="1"/>
  <c r="AL28" i="1"/>
  <c r="AK28" i="1"/>
  <c r="AM27" i="1"/>
  <c r="AL27" i="1"/>
  <c r="AK27" i="1"/>
  <c r="AM26" i="1"/>
  <c r="AL26" i="1"/>
  <c r="AK26" i="1"/>
  <c r="AM25" i="1"/>
  <c r="AL25" i="1"/>
  <c r="AK25" i="1"/>
  <c r="AM24" i="1"/>
  <c r="AL24" i="1"/>
  <c r="AK24" i="1"/>
  <c r="AM23" i="1"/>
  <c r="AL23" i="1"/>
  <c r="AK23" i="1"/>
  <c r="AM22" i="1"/>
  <c r="AL22" i="1"/>
  <c r="AK22" i="1"/>
  <c r="AM21" i="1"/>
  <c r="AL21" i="1"/>
  <c r="AK21" i="1"/>
  <c r="AM20" i="1"/>
  <c r="AL20" i="1"/>
  <c r="AK20" i="1"/>
  <c r="AM19" i="1"/>
  <c r="AL19" i="1"/>
  <c r="AK19" i="1"/>
  <c r="AM16" i="1"/>
  <c r="AL16" i="1"/>
  <c r="AK16" i="1"/>
  <c r="AM15" i="1"/>
  <c r="AL15" i="1"/>
  <c r="AK15" i="1"/>
  <c r="AM14" i="1"/>
  <c r="AL14" i="1"/>
  <c r="AK14" i="1"/>
  <c r="AM13" i="1"/>
  <c r="AL13" i="1"/>
  <c r="AK13" i="1"/>
  <c r="AM12" i="1"/>
  <c r="AL12" i="1"/>
  <c r="AK12" i="1"/>
  <c r="AM11" i="1"/>
  <c r="AL11" i="1"/>
  <c r="AK11" i="1"/>
  <c r="AM10" i="1"/>
  <c r="AL10" i="1"/>
  <c r="AK10" i="1"/>
  <c r="AM9" i="1"/>
  <c r="AL9" i="1"/>
  <c r="AK9" i="1"/>
  <c r="AM8" i="1"/>
  <c r="AL8" i="1"/>
  <c r="AK8" i="1"/>
  <c r="AM7" i="1"/>
  <c r="AL7" i="1"/>
  <c r="AK7" i="1"/>
  <c r="AE65" i="1"/>
  <c r="AD65" i="1"/>
  <c r="AC65" i="1"/>
  <c r="AE64" i="1"/>
  <c r="AD64" i="1"/>
  <c r="AC64" i="1"/>
  <c r="AE63" i="1"/>
  <c r="AD63" i="1"/>
  <c r="AC63" i="1"/>
  <c r="AE62" i="1"/>
  <c r="AD62" i="1"/>
  <c r="AC62" i="1"/>
  <c r="AE61" i="1"/>
  <c r="AD61" i="1"/>
  <c r="AC61" i="1"/>
  <c r="AE60" i="1"/>
  <c r="AD60" i="1"/>
  <c r="AC60" i="1"/>
  <c r="AE59" i="1"/>
  <c r="AD59" i="1"/>
  <c r="AC59" i="1"/>
  <c r="AE58" i="1"/>
  <c r="AD58" i="1"/>
  <c r="AC58" i="1"/>
  <c r="AE57" i="1"/>
  <c r="AD57" i="1"/>
  <c r="AC57" i="1"/>
  <c r="AE56" i="1"/>
  <c r="AD56" i="1"/>
  <c r="AC56" i="1"/>
  <c r="AE55" i="1"/>
  <c r="AD55" i="1"/>
  <c r="AC55" i="1"/>
  <c r="AE53" i="1"/>
  <c r="AD53" i="1"/>
  <c r="AC53" i="1"/>
  <c r="AE52" i="1"/>
  <c r="AD52" i="1"/>
  <c r="AC52" i="1"/>
  <c r="AE51" i="1"/>
  <c r="AD51" i="1"/>
  <c r="AC51" i="1"/>
  <c r="AE50" i="1"/>
  <c r="AD50" i="1"/>
  <c r="AC50" i="1"/>
  <c r="AE49" i="1"/>
  <c r="AD49" i="1"/>
  <c r="AC49" i="1"/>
  <c r="AE48" i="1"/>
  <c r="AD48" i="1"/>
  <c r="AC48" i="1"/>
  <c r="AE47" i="1"/>
  <c r="AD47" i="1"/>
  <c r="AC47" i="1"/>
  <c r="AE46" i="1"/>
  <c r="AD46" i="1"/>
  <c r="AC46" i="1"/>
  <c r="AE45" i="1"/>
  <c r="AD45" i="1"/>
  <c r="AC45" i="1"/>
  <c r="AE44" i="1"/>
  <c r="AD44" i="1"/>
  <c r="AC44" i="1"/>
  <c r="AE43" i="1"/>
  <c r="AD43" i="1"/>
  <c r="AC43" i="1"/>
  <c r="AE40" i="1"/>
  <c r="AD40" i="1"/>
  <c r="AC40" i="1"/>
  <c r="AE39" i="1"/>
  <c r="AD39" i="1"/>
  <c r="AC39" i="1"/>
  <c r="AE38" i="1"/>
  <c r="AD38" i="1"/>
  <c r="AC38" i="1"/>
  <c r="AE37" i="1"/>
  <c r="AD37" i="1"/>
  <c r="AC37" i="1"/>
  <c r="AE36" i="1"/>
  <c r="AD36" i="1"/>
  <c r="AC36" i="1"/>
  <c r="AE35" i="1"/>
  <c r="AD35" i="1"/>
  <c r="AC35" i="1"/>
  <c r="AE34" i="1"/>
  <c r="AD34" i="1"/>
  <c r="AC34" i="1"/>
  <c r="AE33" i="1"/>
  <c r="AD33" i="1"/>
  <c r="AC33" i="1"/>
  <c r="AE32" i="1"/>
  <c r="AD32" i="1"/>
  <c r="AC32" i="1"/>
  <c r="AE31" i="1"/>
  <c r="AD31" i="1"/>
  <c r="AC31" i="1"/>
  <c r="AE28" i="1"/>
  <c r="AD28" i="1"/>
  <c r="AC28" i="1"/>
  <c r="AE27" i="1"/>
  <c r="AD27" i="1"/>
  <c r="AC27" i="1"/>
  <c r="AE26" i="1"/>
  <c r="AD26" i="1"/>
  <c r="AC26" i="1"/>
  <c r="AE25" i="1"/>
  <c r="AD25" i="1"/>
  <c r="AC25" i="1"/>
  <c r="AE24" i="1"/>
  <c r="AD24" i="1"/>
  <c r="AC24" i="1"/>
  <c r="AE23" i="1"/>
  <c r="AD23" i="1"/>
  <c r="AC23" i="1"/>
  <c r="AE22" i="1"/>
  <c r="AD22" i="1"/>
  <c r="AC22" i="1"/>
  <c r="AE21" i="1"/>
  <c r="AD21" i="1"/>
  <c r="AC21" i="1"/>
  <c r="AE20" i="1"/>
  <c r="AD20" i="1"/>
  <c r="AC20" i="1"/>
  <c r="AE19" i="1"/>
  <c r="AD19" i="1"/>
  <c r="AC19" i="1"/>
  <c r="AE16" i="1"/>
  <c r="AD16" i="1"/>
  <c r="AC16" i="1"/>
  <c r="AE15" i="1"/>
  <c r="AD15" i="1"/>
  <c r="AC15" i="1"/>
  <c r="AE14" i="1"/>
  <c r="AD14" i="1"/>
  <c r="AC14" i="1"/>
  <c r="AE13" i="1"/>
  <c r="AD13" i="1"/>
  <c r="AC13" i="1"/>
  <c r="AE12" i="1"/>
  <c r="AD12" i="1"/>
  <c r="AC12" i="1"/>
  <c r="AE11" i="1"/>
  <c r="AD11" i="1"/>
  <c r="AC11" i="1"/>
  <c r="AE10" i="1"/>
  <c r="AD10" i="1"/>
  <c r="AC10" i="1"/>
  <c r="AE9" i="1"/>
  <c r="AD9" i="1"/>
  <c r="AC9" i="1"/>
  <c r="AE8" i="1"/>
  <c r="AD8" i="1"/>
  <c r="AC8" i="1"/>
  <c r="AE7" i="1"/>
  <c r="AD7" i="1"/>
  <c r="AC7" i="1"/>
  <c r="W65" i="1"/>
  <c r="V65" i="1"/>
  <c r="U65" i="1"/>
  <c r="W64" i="1"/>
  <c r="V64" i="1"/>
  <c r="U64" i="1"/>
  <c r="W63" i="1"/>
  <c r="V63" i="1"/>
  <c r="U63" i="1"/>
  <c r="W62" i="1"/>
  <c r="V62" i="1"/>
  <c r="U62" i="1"/>
  <c r="W61" i="1"/>
  <c r="V61" i="1"/>
  <c r="U61" i="1"/>
  <c r="W60" i="1"/>
  <c r="V60" i="1"/>
  <c r="U60" i="1"/>
  <c r="W59" i="1"/>
  <c r="V59" i="1"/>
  <c r="U59" i="1"/>
  <c r="W58" i="1"/>
  <c r="V58" i="1"/>
  <c r="U58" i="1"/>
  <c r="W57" i="1"/>
  <c r="V57" i="1"/>
  <c r="U57" i="1"/>
  <c r="W56" i="1"/>
  <c r="V56" i="1"/>
  <c r="U56" i="1"/>
  <c r="W55" i="1"/>
  <c r="V55" i="1"/>
  <c r="U55" i="1"/>
  <c r="W53" i="1"/>
  <c r="V53" i="1"/>
  <c r="U53" i="1"/>
  <c r="W52" i="1"/>
  <c r="V52" i="1"/>
  <c r="U52" i="1"/>
  <c r="W51" i="1"/>
  <c r="V51" i="1"/>
  <c r="U51" i="1"/>
  <c r="W50" i="1"/>
  <c r="V50" i="1"/>
  <c r="U50" i="1"/>
  <c r="W49" i="1"/>
  <c r="V49" i="1"/>
  <c r="U49" i="1"/>
  <c r="W48" i="1"/>
  <c r="V48" i="1"/>
  <c r="U48" i="1"/>
  <c r="W47" i="1"/>
  <c r="V47" i="1"/>
  <c r="U47" i="1"/>
  <c r="W46" i="1"/>
  <c r="V46" i="1"/>
  <c r="U46" i="1"/>
  <c r="W45" i="1"/>
  <c r="V45" i="1"/>
  <c r="U45" i="1"/>
  <c r="W44" i="1"/>
  <c r="V44" i="1"/>
  <c r="U44" i="1"/>
  <c r="W43" i="1"/>
  <c r="V43" i="1"/>
  <c r="U43" i="1"/>
  <c r="W40" i="1"/>
  <c r="V40" i="1"/>
  <c r="U40" i="1"/>
  <c r="W39" i="1"/>
  <c r="V39" i="1"/>
  <c r="U39" i="1"/>
  <c r="W38" i="1"/>
  <c r="V38" i="1"/>
  <c r="U38" i="1"/>
  <c r="W37" i="1"/>
  <c r="V37" i="1"/>
  <c r="U37" i="1"/>
  <c r="W36" i="1"/>
  <c r="V36" i="1"/>
  <c r="U36" i="1"/>
  <c r="W35" i="1"/>
  <c r="V35" i="1"/>
  <c r="U35" i="1"/>
  <c r="W34" i="1"/>
  <c r="V34" i="1"/>
  <c r="U34" i="1"/>
  <c r="W33" i="1"/>
  <c r="V33" i="1"/>
  <c r="U33" i="1"/>
  <c r="W32" i="1"/>
  <c r="V32" i="1"/>
  <c r="U32" i="1"/>
  <c r="W31" i="1"/>
  <c r="V31" i="1"/>
  <c r="U31" i="1"/>
  <c r="W28" i="1"/>
  <c r="V28" i="1"/>
  <c r="U28" i="1"/>
  <c r="W27" i="1"/>
  <c r="V27" i="1"/>
  <c r="U27" i="1"/>
  <c r="W26" i="1"/>
  <c r="V26" i="1"/>
  <c r="U26" i="1"/>
  <c r="W25" i="1"/>
  <c r="V25" i="1"/>
  <c r="U25" i="1"/>
  <c r="W24" i="1"/>
  <c r="V24" i="1"/>
  <c r="U24" i="1"/>
  <c r="W23" i="1"/>
  <c r="V23" i="1"/>
  <c r="U23" i="1"/>
  <c r="W22" i="1"/>
  <c r="V22" i="1"/>
  <c r="U22" i="1"/>
  <c r="W21" i="1"/>
  <c r="V21" i="1"/>
  <c r="U21" i="1"/>
  <c r="W20" i="1"/>
  <c r="V20" i="1"/>
  <c r="U20" i="1"/>
  <c r="W19" i="1"/>
  <c r="V19" i="1"/>
  <c r="U19" i="1"/>
  <c r="W16" i="1"/>
  <c r="V16" i="1"/>
  <c r="U16" i="1"/>
  <c r="W15" i="1"/>
  <c r="V15" i="1"/>
  <c r="U15" i="1"/>
  <c r="W14" i="1"/>
  <c r="V14" i="1"/>
  <c r="U14" i="1"/>
  <c r="W13" i="1"/>
  <c r="V13" i="1"/>
  <c r="U13" i="1"/>
  <c r="W12" i="1"/>
  <c r="V12" i="1"/>
  <c r="U12" i="1"/>
  <c r="W11" i="1"/>
  <c r="V11" i="1"/>
  <c r="U11" i="1"/>
  <c r="W10" i="1"/>
  <c r="V10" i="1"/>
  <c r="U10" i="1"/>
  <c r="W9" i="1"/>
  <c r="V9" i="1"/>
  <c r="U9" i="1"/>
  <c r="W8" i="1"/>
  <c r="V8" i="1"/>
  <c r="U8" i="1"/>
  <c r="W7" i="1"/>
  <c r="V7" i="1"/>
  <c r="U7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</calcChain>
</file>

<file path=xl/sharedStrings.xml><?xml version="1.0" encoding="utf-8"?>
<sst xmlns="http://schemas.openxmlformats.org/spreadsheetml/2006/main" count="910" uniqueCount="48">
  <si>
    <t>24Q2W1</t>
  </si>
  <si>
    <t>24Q2W2</t>
  </si>
  <si>
    <t>24Q2W3</t>
  </si>
  <si>
    <t>24Q2W4</t>
  </si>
  <si>
    <t>24Q2W5</t>
  </si>
  <si>
    <t>24Q2W6</t>
  </si>
  <si>
    <t>24Q2W7</t>
  </si>
  <si>
    <t>24Q2W8</t>
  </si>
  <si>
    <t>24Q2W9</t>
  </si>
  <si>
    <t>24Q2W10</t>
  </si>
  <si>
    <t>24Q2W11</t>
  </si>
  <si>
    <t>24Q2W12</t>
  </si>
  <si>
    <t>24Q2W13</t>
  </si>
  <si>
    <t>12/31~01/06</t>
  </si>
  <si>
    <t>01/07~01/13</t>
  </si>
  <si>
    <t>01/14~01/20</t>
  </si>
  <si>
    <t>01/21~01/27</t>
  </si>
  <si>
    <t>01/28~02/03</t>
  </si>
  <si>
    <t>02/04~02/10</t>
  </si>
  <si>
    <t>02/11~02/17</t>
  </si>
  <si>
    <t>02/18~02/24</t>
  </si>
  <si>
    <t>02/25~03/02</t>
  </si>
  <si>
    <t>03/03~03/09</t>
  </si>
  <si>
    <t>03/10~03/16</t>
  </si>
  <si>
    <t>03/17~03/23</t>
  </si>
  <si>
    <t>03/24~03/30</t>
  </si>
  <si>
    <t>3rd Party</t>
  </si>
  <si>
    <t>Accy</t>
  </si>
  <si>
    <t>AirPods</t>
  </si>
  <si>
    <t>Apple Watch</t>
  </si>
  <si>
    <t>Audio</t>
  </si>
  <si>
    <t>Care</t>
  </si>
  <si>
    <t>CPU</t>
  </si>
  <si>
    <t>iPad</t>
  </si>
  <si>
    <t>iPhone</t>
  </si>
  <si>
    <t>76 合計</t>
  </si>
  <si>
    <t>77 合計</t>
  </si>
  <si>
    <t>81 合計</t>
  </si>
  <si>
    <t>84 合計</t>
  </si>
  <si>
    <t>總計</t>
  </si>
  <si>
    <t>store</t>
    <phoneticPr fontId="2" type="noConversion"/>
  </si>
  <si>
    <t>class</t>
    <phoneticPr fontId="2" type="noConversion"/>
  </si>
  <si>
    <t>Qty</t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</si>
  <si>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</si>
  <si>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</si>
  <si>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t>Traffic</t>
    <phoneticPr fontId="2" type="noConversion"/>
  </si>
  <si>
    <t>Trade in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</si>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</sst>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2"/>
      <color theme="1"/>
      <name val="Microsoft JhengHei"/>
      <family val="2"/>
    </font>
    <font>
      <b/>
      <sz val="12"/>
      <color rgb="FF000000"/>
      <name val="Arial"/>
      <family val="2"/>
    </font>
    <font>
      <b/>
      <sz val="12"/>
      <color theme="1"/>
      <name val="Arial Italic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>
      <alignment vertical="center"/>
    </xf>
    <xf numFmtId="0" fontId="4" fillId="0" borderId="0"/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177" fontId="12" fillId="0" borderId="0" xfId="0" applyNumberFormat="1" applyFont="1">
      <alignment vertical="center"/>
    </xf>
    <xf numFmtId="0" fontId="9" fillId="0" borderId="0" xfId="2" applyFont="1" applyAlignment="1">
      <alignment vertical="center"/>
    </xf>
    <xf numFmtId="9" fontId="3" fillId="0" borderId="0" xfId="1" applyFont="1">
      <alignment vertical="center"/>
    </xf>
    <xf numFmtId="0" fontId="16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9" fontId="6" fillId="0" borderId="0" xfId="0" applyNumberFormat="1" applyFont="1">
      <alignment vertical="center"/>
    </xf>
    <xf numFmtId="9" fontId="6" fillId="6" borderId="0" xfId="0" applyNumberFormat="1" applyFont="1" applyFill="1">
      <alignment vertical="center"/>
    </xf>
    <xf numFmtId="9" fontId="3" fillId="0" borderId="0" xfId="0" applyNumberFormat="1" applyFont="1">
      <alignment vertical="center"/>
    </xf>
    <xf numFmtId="0" fontId="4" fillId="7" borderId="0" xfId="0" applyFont="1" applyFill="1">
      <alignment vertical="center"/>
    </xf>
    <xf numFmtId="9" fontId="6" fillId="2" borderId="0" xfId="0" applyNumberFormat="1" applyFont="1" applyFill="1">
      <alignment vertical="center"/>
    </xf>
    <xf numFmtId="3" fontId="19" fillId="0" borderId="0" xfId="0" applyNumberFormat="1" applyFo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</cellXfs>
  <cellStyles count="3">
    <cellStyle name="一般" xfId="0" builtinId="0"/>
    <cellStyle name="一般 2" xfId="2" xr:uid="{00000000-0005-0000-0000-000002000000}"/>
    <cellStyle name="百分比" xfId="1" builtinId="5"/>
  </cellStyles>
  <dxfs count="3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84"/>
  <sheetViews>
    <sheetView tabSelected="1" workbookViewId="0">
      <selection activeCell="DA10" sqref="DA10"/>
    </sheetView>
  </sheetViews>
  <sheetFormatPr baseColWidth="10" defaultColWidth="8.83203125" defaultRowHeight="15"/>
  <cols>
    <col min="1" max="1" width="11" style="44" customWidth="1"/>
    <col min="3" max="3" width="11" style="44" customWidth="1"/>
    <col min="4" max="4" width="14.1640625" style="44" customWidth="1"/>
    <col min="5" max="5" width="11" style="44" customWidth="1"/>
    <col min="6" max="6" width="14.1640625" style="44" customWidth="1"/>
    <col min="7" max="7" width="11" style="44" customWidth="1"/>
    <col min="8" max="8" width="5" style="44" customWidth="1"/>
    <col min="9" max="9" width="11" style="44" customWidth="1"/>
    <col min="11" max="11" width="11" style="44" customWidth="1"/>
    <col min="12" max="12" width="14.1640625" style="44" customWidth="1"/>
    <col min="13" max="13" width="11" bestFit="1" customWidth="1"/>
    <col min="14" max="14" width="12.33203125" bestFit="1" customWidth="1"/>
    <col min="15" max="15" width="11" bestFit="1" customWidth="1"/>
    <col min="16" max="16" width="5" style="44" customWidth="1"/>
    <col min="17" max="17" width="11" style="44" customWidth="1"/>
    <col min="19" max="19" width="11" style="44" customWidth="1"/>
    <col min="20" max="20" width="14.1640625" style="44" customWidth="1"/>
    <col min="21" max="21" width="11" bestFit="1" customWidth="1"/>
    <col min="22" max="22" width="12.33203125" bestFit="1" customWidth="1"/>
    <col min="23" max="23" width="11" bestFit="1" customWidth="1"/>
    <col min="24" max="24" width="5" style="44" customWidth="1"/>
    <col min="25" max="25" width="11" style="44" customWidth="1"/>
    <col min="27" max="27" width="11" style="44" customWidth="1"/>
    <col min="28" max="28" width="14.1640625" style="44" customWidth="1"/>
    <col min="29" max="29" width="11" bestFit="1" customWidth="1"/>
    <col min="30" max="30" width="12.33203125" bestFit="1" customWidth="1"/>
    <col min="31" max="31" width="11" bestFit="1" customWidth="1"/>
    <col min="32" max="32" width="5" style="44" customWidth="1"/>
    <col min="33" max="33" width="11" style="44" customWidth="1"/>
    <col min="35" max="35" width="11" style="44" customWidth="1"/>
    <col min="36" max="36" width="14.1640625" style="44" customWidth="1"/>
    <col min="37" max="37" width="11" bestFit="1" customWidth="1"/>
    <col min="38" max="38" width="12.33203125" bestFit="1" customWidth="1"/>
    <col min="39" max="39" width="11" bestFit="1" customWidth="1"/>
    <col min="40" max="40" width="5" style="44" customWidth="1"/>
    <col min="41" max="41" width="11" style="44" customWidth="1"/>
    <col min="43" max="43" width="11" style="44" customWidth="1"/>
    <col min="44" max="44" width="14.1640625" style="44" customWidth="1"/>
    <col min="45" max="45" width="11" bestFit="1" customWidth="1"/>
    <col min="46" max="46" width="12.33203125" bestFit="1" customWidth="1"/>
    <col min="47" max="47" width="11" bestFit="1" customWidth="1"/>
    <col min="48" max="48" width="5" style="44" customWidth="1"/>
    <col min="49" max="49" width="11" style="44" customWidth="1"/>
    <col min="51" max="51" width="11" style="44" customWidth="1"/>
    <col min="52" max="52" width="14.1640625" style="44" customWidth="1"/>
    <col min="53" max="53" width="11" bestFit="1" customWidth="1"/>
    <col min="54" max="54" width="12.33203125" bestFit="1" customWidth="1"/>
    <col min="55" max="55" width="11" bestFit="1" customWidth="1"/>
    <col min="56" max="56" width="5" style="44" customWidth="1"/>
    <col min="57" max="57" width="13.1640625" style="44" customWidth="1"/>
    <col min="58" max="58" width="11.83203125" style="44" customWidth="1"/>
    <col min="59" max="59" width="15.5" style="44" customWidth="1"/>
    <col min="60" max="60" width="18.6640625" style="44" customWidth="1"/>
    <col min="61" max="61" width="11" bestFit="1" customWidth="1"/>
    <col min="62" max="62" width="12.33203125" bestFit="1" customWidth="1"/>
    <col min="63" max="63" width="11" bestFit="1" customWidth="1"/>
    <col min="64" max="64" width="5" style="44" customWidth="1"/>
    <col min="65" max="65" width="13.1640625" style="44" customWidth="1"/>
    <col min="67" max="67" width="11" style="44" customWidth="1"/>
    <col min="68" max="68" width="11.6640625" style="44" customWidth="1"/>
    <col min="69" max="69" width="11" bestFit="1" customWidth="1"/>
    <col min="70" max="70" width="12.33203125" bestFit="1" customWidth="1"/>
    <col min="71" max="71" width="11" bestFit="1" customWidth="1"/>
    <col min="72" max="72" width="6.1640625" style="44" customWidth="1"/>
    <col min="76" max="76" width="13" style="44" customWidth="1"/>
    <col min="77" max="77" width="11" bestFit="1" customWidth="1"/>
    <col min="78" max="78" width="12.33203125" bestFit="1" customWidth="1"/>
    <col min="79" max="79" width="11" bestFit="1" customWidth="1"/>
    <col min="80" max="80" width="6.1640625" style="44" customWidth="1"/>
    <col min="84" max="84" width="13" style="44" customWidth="1"/>
    <col min="85" max="85" width="11" bestFit="1" customWidth="1"/>
    <col min="86" max="86" width="12.33203125" bestFit="1" customWidth="1"/>
    <col min="87" max="87" width="11" bestFit="1" customWidth="1"/>
    <col min="88" max="88" width="6.1640625" style="44" customWidth="1"/>
    <col min="92" max="92" width="14.1640625" style="44" customWidth="1"/>
    <col min="93" max="93" width="11" bestFit="1" customWidth="1"/>
    <col min="94" max="94" width="12.33203125" bestFit="1" customWidth="1"/>
    <col min="95" max="95" width="11" bestFit="1" customWidth="1"/>
    <col min="96" max="96" width="6.1640625" style="44" customWidth="1"/>
    <col min="100" max="100" width="14.1640625" style="44" customWidth="1"/>
    <col min="101" max="101" width="11" bestFit="1" customWidth="1"/>
    <col min="102" max="102" width="12.33203125" bestFit="1" customWidth="1"/>
    <col min="103" max="103" width="11" bestFit="1" customWidth="1"/>
  </cols>
  <sheetData>
    <row r="1" spans="1:123" ht="22">
      <c r="A1" s="45" t="s">
        <v>0</v>
      </c>
      <c r="B1" s="45"/>
      <c r="D1" s="26"/>
      <c r="I1" s="45" t="s">
        <v>1</v>
      </c>
      <c r="J1" s="45"/>
      <c r="L1" s="26"/>
      <c r="M1" s="25"/>
      <c r="N1" s="25"/>
      <c r="O1" s="25"/>
      <c r="Q1" s="45" t="s">
        <v>2</v>
      </c>
      <c r="R1" s="45"/>
      <c r="T1" s="26"/>
      <c r="U1" s="25"/>
      <c r="V1" s="25"/>
      <c r="W1" s="25"/>
      <c r="Y1" s="45" t="s">
        <v>3</v>
      </c>
      <c r="Z1" s="45"/>
      <c r="AB1" s="26"/>
      <c r="AC1" s="25"/>
      <c r="AD1" s="25"/>
      <c r="AE1" s="25"/>
      <c r="AG1" s="45" t="s">
        <v>4</v>
      </c>
      <c r="AH1" s="45"/>
      <c r="AJ1" s="26"/>
      <c r="AK1" s="25"/>
      <c r="AL1" s="25"/>
      <c r="AM1" s="25"/>
      <c r="AO1" s="45" t="s">
        <v>5</v>
      </c>
      <c r="AP1" s="45"/>
      <c r="AR1" s="26"/>
      <c r="AS1" s="25"/>
      <c r="AT1" s="25"/>
      <c r="AU1" s="25"/>
      <c r="AW1" s="45" t="s">
        <v>6</v>
      </c>
      <c r="AX1" s="45"/>
      <c r="AZ1" s="26"/>
      <c r="BA1" s="25"/>
      <c r="BB1" s="25"/>
      <c r="BC1" s="25"/>
      <c r="BE1" s="45" t="s">
        <v>7</v>
      </c>
      <c r="BF1" s="45"/>
      <c r="BH1" s="26"/>
      <c r="BI1" s="25"/>
      <c r="BJ1" s="25"/>
      <c r="BK1" s="25"/>
      <c r="BM1" s="45" t="s">
        <v>8</v>
      </c>
      <c r="BN1" s="45"/>
      <c r="BP1" s="26"/>
      <c r="BQ1" s="25"/>
      <c r="BR1" s="25"/>
      <c r="BS1" s="25"/>
      <c r="BU1" s="45" t="s">
        <v>9</v>
      </c>
      <c r="BV1" s="45"/>
      <c r="BX1" s="26"/>
      <c r="BY1" s="25"/>
      <c r="BZ1" s="25"/>
      <c r="CA1" s="25"/>
      <c r="CC1" s="45" t="s">
        <v>10</v>
      </c>
      <c r="CD1" s="45"/>
      <c r="CF1" s="26"/>
      <c r="CG1" s="25"/>
      <c r="CH1" s="25"/>
      <c r="CI1" s="25"/>
      <c r="CK1" s="45" t="s">
        <v>11</v>
      </c>
      <c r="CL1" s="45"/>
      <c r="CN1" s="26"/>
      <c r="CO1" s="25"/>
      <c r="CP1" s="25"/>
      <c r="CQ1" s="25"/>
      <c r="CS1" s="45" t="s">
        <v>12</v>
      </c>
      <c r="CT1" s="45"/>
      <c r="CV1" s="26"/>
      <c r="CW1" s="25"/>
      <c r="CX1" s="25"/>
      <c r="CY1" s="25"/>
    </row>
    <row r="2" spans="1:123" ht="18">
      <c r="A2" s="37" t="s">
        <v>13</v>
      </c>
      <c r="B2" s="46"/>
      <c r="D2" s="23"/>
      <c r="I2" s="22" t="s">
        <v>14</v>
      </c>
      <c r="J2" s="23"/>
      <c r="M2" s="22"/>
      <c r="N2" s="22"/>
      <c r="O2" s="29"/>
      <c r="Q2" s="37" t="s">
        <v>15</v>
      </c>
      <c r="R2" s="46"/>
      <c r="T2" s="23"/>
      <c r="U2" s="22"/>
      <c r="V2" s="22"/>
      <c r="W2" s="29"/>
      <c r="Y2" s="22" t="s">
        <v>16</v>
      </c>
      <c r="Z2" s="23"/>
      <c r="AC2" s="22"/>
      <c r="AD2" s="22"/>
      <c r="AE2" s="29"/>
      <c r="AG2" s="37" t="s">
        <v>17</v>
      </c>
      <c r="AH2" s="46"/>
      <c r="AJ2" s="23"/>
      <c r="AK2" s="22"/>
      <c r="AL2" s="22"/>
      <c r="AM2" s="29"/>
      <c r="AO2" s="22" t="s">
        <v>18</v>
      </c>
      <c r="AP2" s="23"/>
      <c r="AS2" s="22"/>
      <c r="AT2" s="22"/>
      <c r="AU2" s="29"/>
      <c r="AW2" s="37" t="s">
        <v>19</v>
      </c>
      <c r="AX2" s="46"/>
      <c r="AZ2" s="23"/>
      <c r="BA2" s="22"/>
      <c r="BB2" s="22"/>
      <c r="BC2" s="29"/>
      <c r="BE2" s="22" t="s">
        <v>20</v>
      </c>
      <c r="BF2" s="23"/>
      <c r="BI2" s="22"/>
      <c r="BJ2" s="22"/>
      <c r="BK2" s="29"/>
      <c r="BM2" s="37" t="s">
        <v>21</v>
      </c>
      <c r="BN2" s="46"/>
      <c r="BP2" s="23"/>
      <c r="BQ2" s="22"/>
      <c r="BR2" s="22"/>
      <c r="BS2" s="29"/>
      <c r="BU2" s="22" t="s">
        <v>22</v>
      </c>
      <c r="BV2" s="23"/>
      <c r="BY2" s="22"/>
      <c r="BZ2" s="22"/>
      <c r="CA2" s="29"/>
      <c r="CC2" s="37" t="s">
        <v>23</v>
      </c>
      <c r="CD2" s="46"/>
      <c r="CF2" s="23"/>
      <c r="CG2" s="22"/>
      <c r="CH2" s="22"/>
      <c r="CI2" s="29"/>
      <c r="CK2" s="22" t="s">
        <v>24</v>
      </c>
      <c r="CL2" s="23"/>
      <c r="CO2" s="22"/>
      <c r="CP2" s="22"/>
      <c r="CQ2" s="29"/>
      <c r="CS2" s="37" t="s">
        <v>25</v>
      </c>
      <c r="CT2" s="46"/>
      <c r="CV2" s="23"/>
      <c r="CW2" s="22"/>
      <c r="CX2" s="22"/>
      <c r="CY2" s="29"/>
    </row>
    <row r="3" spans="1:123" ht="18">
      <c r="A3" s="24"/>
      <c r="B3" s="46"/>
      <c r="D3" s="23"/>
      <c r="I3" s="29"/>
      <c r="K3" s="24"/>
      <c r="M3" s="24"/>
      <c r="N3" s="22"/>
      <c r="O3" s="24"/>
      <c r="Q3" s="46"/>
      <c r="S3" s="24"/>
      <c r="U3" s="24"/>
      <c r="V3" s="22"/>
      <c r="W3" s="24"/>
      <c r="Z3" s="46"/>
      <c r="AB3" s="23"/>
      <c r="AC3" s="24"/>
      <c r="AD3" s="22"/>
      <c r="AE3" s="24"/>
      <c r="AK3" s="24"/>
      <c r="AL3" s="22"/>
      <c r="AM3" s="24"/>
      <c r="AN3" s="23"/>
      <c r="AQ3" s="46"/>
      <c r="AR3" s="46"/>
      <c r="AS3" s="24"/>
      <c r="AT3" s="22"/>
      <c r="AU3" s="24"/>
      <c r="AW3" s="46"/>
      <c r="AX3" s="46"/>
      <c r="AZ3" s="23"/>
      <c r="BA3" s="24"/>
      <c r="BB3" s="22"/>
      <c r="BC3" s="24"/>
      <c r="BF3" s="23"/>
      <c r="BH3" s="23"/>
      <c r="BI3" s="24"/>
      <c r="BJ3" s="22"/>
      <c r="BK3" s="24"/>
      <c r="BL3" s="23"/>
      <c r="BN3" s="46"/>
      <c r="BP3" s="23"/>
      <c r="BQ3" s="24"/>
      <c r="BR3" s="22"/>
      <c r="BS3" s="24"/>
      <c r="BU3" s="46"/>
      <c r="BV3" s="46"/>
      <c r="BX3" s="23"/>
      <c r="BY3" s="24"/>
      <c r="BZ3" s="22"/>
      <c r="CA3" s="24"/>
      <c r="CC3" s="46"/>
      <c r="CD3" s="46"/>
      <c r="CF3" s="23"/>
      <c r="CG3" s="24"/>
      <c r="CH3" s="22"/>
      <c r="CI3" s="24"/>
      <c r="CK3" s="46"/>
      <c r="CL3" s="46"/>
      <c r="CN3" s="23"/>
      <c r="CO3" s="24"/>
      <c r="CP3" s="22"/>
      <c r="CQ3" s="24"/>
      <c r="CS3" s="46"/>
      <c r="CT3" s="46"/>
      <c r="CV3" s="23"/>
      <c r="CW3" s="24"/>
      <c r="CX3" s="22"/>
      <c r="CY3" s="24"/>
    </row>
    <row r="4" spans="1:123" s="17" customFormat="1" ht="22" customHeight="1">
      <c r="A4" s="21" t="s">
        <v>40</v>
      </c>
      <c r="B4" s="21" t="s">
        <v>41</v>
      </c>
      <c r="C4" s="20" t="s">
        <v>42</v>
      </c>
      <c r="D4" s="19" t="s">
        <v>43</v>
      </c>
      <c r="E4" s="18" t="s">
        <v>44</v>
      </c>
      <c r="F4" s="18" t="s">
        <v>44</v>
      </c>
      <c r="G4" s="18" t="s">
        <v>44</v>
      </c>
      <c r="I4" s="21" t="s">
        <v>40</v>
      </c>
      <c r="J4" s="21" t="s">
        <v>41</v>
      </c>
      <c r="K4" s="20" t="s">
        <v>42</v>
      </c>
      <c r="L4" s="19" t="s">
        <v>43</v>
      </c>
      <c r="M4" s="18" t="s">
        <v>44</v>
      </c>
      <c r="N4" s="18" t="s">
        <v>44</v>
      </c>
      <c r="O4" s="18" t="s">
        <v>44</v>
      </c>
      <c r="Q4" s="21" t="s">
        <v>40</v>
      </c>
      <c r="R4" s="21" t="s">
        <v>41</v>
      </c>
      <c r="S4" s="20" t="s">
        <v>42</v>
      </c>
      <c r="T4" s="19" t="s">
        <v>43</v>
      </c>
      <c r="U4" s="18" t="s">
        <v>44</v>
      </c>
      <c r="V4" s="18" t="s">
        <v>44</v>
      </c>
      <c r="W4" s="18" t="s">
        <v>44</v>
      </c>
      <c r="Y4" s="21" t="s">
        <v>40</v>
      </c>
      <c r="Z4" s="21" t="s">
        <v>41</v>
      </c>
      <c r="AA4" s="20" t="s">
        <v>42</v>
      </c>
      <c r="AB4" s="19" t="s">
        <v>43</v>
      </c>
      <c r="AC4" s="18" t="s">
        <v>44</v>
      </c>
      <c r="AD4" s="18" t="s">
        <v>44</v>
      </c>
      <c r="AE4" s="18" t="s">
        <v>44</v>
      </c>
      <c r="AG4" s="21" t="s">
        <v>40</v>
      </c>
      <c r="AH4" s="21" t="s">
        <v>41</v>
      </c>
      <c r="AI4" s="20" t="s">
        <v>42</v>
      </c>
      <c r="AJ4" s="19" t="s">
        <v>43</v>
      </c>
      <c r="AK4" s="18" t="s">
        <v>44</v>
      </c>
      <c r="AL4" s="18" t="s">
        <v>44</v>
      </c>
      <c r="AM4" s="18" t="s">
        <v>44</v>
      </c>
      <c r="AO4" s="21" t="s">
        <v>40</v>
      </c>
      <c r="AP4" s="21" t="s">
        <v>41</v>
      </c>
      <c r="AQ4" s="20" t="s">
        <v>42</v>
      </c>
      <c r="AR4" s="19" t="s">
        <v>43</v>
      </c>
      <c r="AS4" s="18" t="s">
        <v>44</v>
      </c>
      <c r="AT4" s="18" t="s">
        <v>44</v>
      </c>
      <c r="AU4" s="18" t="s">
        <v>44</v>
      </c>
      <c r="AW4" s="21" t="s">
        <v>40</v>
      </c>
      <c r="AX4" s="21" t="s">
        <v>41</v>
      </c>
      <c r="AY4" s="20" t="s">
        <v>42</v>
      </c>
      <c r="AZ4" s="19" t="s">
        <v>43</v>
      </c>
      <c r="BA4" s="18" t="s">
        <v>44</v>
      </c>
      <c r="BB4" s="18" t="s">
        <v>44</v>
      </c>
      <c r="BC4" s="18" t="s">
        <v>44</v>
      </c>
      <c r="BE4" s="21" t="s">
        <v>40</v>
      </c>
      <c r="BF4" s="21" t="s">
        <v>41</v>
      </c>
      <c r="BG4" s="20" t="s">
        <v>42</v>
      </c>
      <c r="BH4" s="19" t="s">
        <v>43</v>
      </c>
      <c r="BI4" s="18" t="s">
        <v>44</v>
      </c>
      <c r="BJ4" s="18" t="s">
        <v>44</v>
      </c>
      <c r="BK4" s="18" t="s">
        <v>44</v>
      </c>
      <c r="BM4" s="21" t="s">
        <v>40</v>
      </c>
      <c r="BN4" s="21" t="s">
        <v>41</v>
      </c>
      <c r="BO4" s="20" t="s">
        <v>42</v>
      </c>
      <c r="BP4" s="19" t="s">
        <v>43</v>
      </c>
      <c r="BQ4" s="18" t="s">
        <v>44</v>
      </c>
      <c r="BR4" s="18" t="s">
        <v>44</v>
      </c>
      <c r="BS4" s="18" t="s">
        <v>44</v>
      </c>
      <c r="BU4" s="21" t="s">
        <v>40</v>
      </c>
      <c r="BV4" s="21" t="s">
        <v>41</v>
      </c>
      <c r="BW4" s="20" t="s">
        <v>42</v>
      </c>
      <c r="BX4" s="19" t="s">
        <v>43</v>
      </c>
      <c r="BY4" s="18" t="s">
        <v>44</v>
      </c>
      <c r="BZ4" s="18" t="s">
        <v>44</v>
      </c>
      <c r="CA4" s="18" t="s">
        <v>44</v>
      </c>
      <c r="CC4" s="21" t="s">
        <v>40</v>
      </c>
      <c r="CD4" s="21" t="s">
        <v>41</v>
      </c>
      <c r="CE4" s="20" t="s">
        <v>42</v>
      </c>
      <c r="CF4" s="19" t="s">
        <v>43</v>
      </c>
      <c r="CG4" s="18" t="s">
        <v>44</v>
      </c>
      <c r="CH4" s="18" t="s">
        <v>44</v>
      </c>
      <c r="CI4" s="18" t="s">
        <v>44</v>
      </c>
      <c r="CK4" s="21" t="s">
        <v>40</v>
      </c>
      <c r="CL4" s="21" t="s">
        <v>41</v>
      </c>
      <c r="CM4" s="20" t="s">
        <v>42</v>
      </c>
      <c r="CN4" s="19" t="s">
        <v>43</v>
      </c>
      <c r="CO4" s="18" t="s">
        <v>44</v>
      </c>
      <c r="CP4" s="18" t="s">
        <v>44</v>
      </c>
      <c r="CQ4" s="18" t="s">
        <v>44</v>
      </c>
      <c r="CS4" s="21" t="s">
        <v>40</v>
      </c>
      <c r="CT4" s="21" t="s">
        <v>41</v>
      </c>
      <c r="CU4" s="20" t="s">
        <v>42</v>
      </c>
      <c r="CV4" s="19" t="s">
        <v>43</v>
      </c>
      <c r="CW4" s="18" t="s">
        <v>44</v>
      </c>
      <c r="CX4" s="18" t="s">
        <v>44</v>
      </c>
      <c r="CY4" s="18" t="s">
        <v>44</v>
      </c>
    </row>
    <row r="5" spans="1:123" ht="18">
      <c r="A5" s="16">
        <v>75</v>
      </c>
      <c r="B5" s="30" t="s">
        <v>45</v>
      </c>
      <c r="C5" s="53">
        <v>9099</v>
      </c>
      <c r="D5" s="54"/>
      <c r="E5" s="54"/>
      <c r="F5" s="54"/>
      <c r="G5" s="54"/>
      <c r="H5" s="54"/>
      <c r="I5" s="16">
        <v>75</v>
      </c>
      <c r="J5" s="30" t="s">
        <v>45</v>
      </c>
      <c r="K5" s="53">
        <v>7286</v>
      </c>
      <c r="L5" s="54"/>
      <c r="M5" s="54"/>
      <c r="N5" s="54"/>
      <c r="O5" s="54"/>
      <c r="P5" s="54"/>
      <c r="Q5" s="16">
        <v>75</v>
      </c>
      <c r="R5" s="30" t="s">
        <v>45</v>
      </c>
      <c r="S5" s="53">
        <v>8365</v>
      </c>
      <c r="T5" s="54"/>
      <c r="U5" s="54"/>
      <c r="V5" s="54"/>
      <c r="W5" s="54"/>
      <c r="X5" s="54"/>
      <c r="Y5" s="16">
        <v>75</v>
      </c>
      <c r="Z5" s="30" t="s">
        <v>45</v>
      </c>
      <c r="AA5" s="53">
        <v>8792</v>
      </c>
      <c r="AB5" s="54"/>
      <c r="AC5" s="54"/>
      <c r="AD5" s="54"/>
      <c r="AE5" s="54"/>
      <c r="AF5" s="54"/>
      <c r="AG5" s="16">
        <v>75</v>
      </c>
      <c r="AH5" s="30" t="s">
        <v>45</v>
      </c>
      <c r="AI5" s="53">
        <v>8432</v>
      </c>
      <c r="AJ5" s="54"/>
      <c r="AK5" s="54"/>
      <c r="AL5" s="54"/>
      <c r="AM5" s="54"/>
      <c r="AN5" s="54"/>
      <c r="AO5" s="16">
        <v>75</v>
      </c>
      <c r="AP5" s="30" t="s">
        <v>45</v>
      </c>
      <c r="AQ5" s="53">
        <v>11542</v>
      </c>
      <c r="AR5" s="54"/>
      <c r="AS5" s="54"/>
      <c r="AT5" s="54"/>
      <c r="AU5" s="54"/>
      <c r="AV5" s="54"/>
      <c r="AW5" s="16">
        <v>75</v>
      </c>
      <c r="AX5" s="30" t="s">
        <v>45</v>
      </c>
      <c r="AY5" s="53">
        <v>13826</v>
      </c>
      <c r="AZ5" s="54"/>
      <c r="BA5" s="54"/>
      <c r="BB5" s="54"/>
      <c r="BC5" s="54"/>
      <c r="BD5" s="54"/>
      <c r="BE5" s="16">
        <v>75</v>
      </c>
      <c r="BF5" s="30" t="s">
        <v>45</v>
      </c>
      <c r="BG5" s="53">
        <v>7248</v>
      </c>
      <c r="BH5" s="54"/>
      <c r="BI5" s="54"/>
      <c r="BJ5" s="54"/>
      <c r="BK5" s="54"/>
      <c r="BL5" s="54"/>
      <c r="BM5" s="16">
        <v>75</v>
      </c>
      <c r="BN5" s="30" t="s">
        <v>45</v>
      </c>
      <c r="BO5" s="53">
        <v>7766</v>
      </c>
      <c r="BP5" s="54"/>
      <c r="BQ5" s="54"/>
      <c r="BR5" s="54"/>
      <c r="BS5" s="54"/>
      <c r="BT5" s="54"/>
      <c r="BU5" s="16">
        <v>75</v>
      </c>
      <c r="BV5" s="30" t="s">
        <v>45</v>
      </c>
      <c r="BW5" s="53">
        <v>6456</v>
      </c>
      <c r="BX5" s="54"/>
      <c r="BY5" s="54"/>
      <c r="BZ5" s="54"/>
      <c r="CA5" s="54"/>
      <c r="CB5" s="54"/>
      <c r="CC5" s="16">
        <v>75</v>
      </c>
      <c r="CD5" s="30" t="s">
        <v>45</v>
      </c>
      <c r="CE5" s="53">
        <v>6370</v>
      </c>
      <c r="CF5" s="54"/>
      <c r="CG5" s="54"/>
      <c r="CH5" s="54"/>
      <c r="CI5" s="54"/>
      <c r="CJ5" s="54"/>
      <c r="CK5" s="16">
        <v>75</v>
      </c>
      <c r="CL5" s="30" t="s">
        <v>45</v>
      </c>
      <c r="CM5" s="53">
        <v>5741</v>
      </c>
      <c r="CN5" s="54"/>
      <c r="CO5" s="54"/>
      <c r="CP5" s="54"/>
      <c r="CQ5" s="54"/>
      <c r="CR5" s="54"/>
      <c r="CS5" s="16">
        <v>75</v>
      </c>
      <c r="CT5" s="30" t="s">
        <v>45</v>
      </c>
      <c r="CU5" s="53">
        <v>6137</v>
      </c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</row>
    <row r="6" spans="1:123" ht="18">
      <c r="A6" s="16"/>
      <c r="B6" s="30" t="s">
        <v>46</v>
      </c>
      <c r="C6" s="55">
        <v>23</v>
      </c>
      <c r="D6" s="54"/>
      <c r="E6" s="54"/>
      <c r="F6" s="54"/>
      <c r="G6" s="54"/>
      <c r="H6" s="54"/>
      <c r="I6" s="16"/>
      <c r="J6" s="30" t="s">
        <v>46</v>
      </c>
      <c r="K6" s="55">
        <v>9</v>
      </c>
      <c r="L6" s="54"/>
      <c r="M6" s="54"/>
      <c r="N6" s="54"/>
      <c r="O6" s="54"/>
      <c r="P6" s="54"/>
      <c r="Q6" s="16"/>
      <c r="R6" s="30" t="s">
        <v>46</v>
      </c>
      <c r="S6" s="55">
        <v>19</v>
      </c>
      <c r="T6" s="54"/>
      <c r="U6" s="54"/>
      <c r="V6" s="54"/>
      <c r="W6" s="54"/>
      <c r="X6" s="54"/>
      <c r="Y6" s="16"/>
      <c r="Z6" s="30" t="s">
        <v>46</v>
      </c>
      <c r="AA6" s="55">
        <v>27</v>
      </c>
      <c r="AB6" s="54"/>
      <c r="AC6" s="54"/>
      <c r="AD6" s="54"/>
      <c r="AE6" s="54"/>
      <c r="AF6" s="54"/>
      <c r="AG6" s="16"/>
      <c r="AH6" s="30" t="s">
        <v>46</v>
      </c>
      <c r="AI6" s="55">
        <v>33</v>
      </c>
      <c r="AJ6" s="54"/>
      <c r="AK6" s="54"/>
      <c r="AL6" s="54"/>
      <c r="AM6" s="54"/>
      <c r="AN6" s="54"/>
      <c r="AO6" s="16"/>
      <c r="AP6" s="30" t="s">
        <v>46</v>
      </c>
      <c r="AQ6" s="55">
        <v>30</v>
      </c>
      <c r="AR6" s="54"/>
      <c r="AS6" s="54"/>
      <c r="AT6" s="54"/>
      <c r="AU6" s="54"/>
      <c r="AV6" s="54"/>
      <c r="AW6" s="16"/>
      <c r="AX6" s="30" t="s">
        <v>46</v>
      </c>
      <c r="AY6" s="55">
        <v>26</v>
      </c>
      <c r="AZ6" s="54"/>
      <c r="BA6" s="54"/>
      <c r="BB6" s="54"/>
      <c r="BC6" s="54"/>
      <c r="BD6" s="54"/>
      <c r="BE6" s="16"/>
      <c r="BF6" s="30" t="s">
        <v>46</v>
      </c>
      <c r="BG6" s="55">
        <v>14</v>
      </c>
      <c r="BH6" s="54"/>
      <c r="BI6" s="54"/>
      <c r="BJ6" s="54"/>
      <c r="BK6" s="54"/>
      <c r="BL6" s="54"/>
      <c r="BM6" s="16"/>
      <c r="BN6" s="30" t="s">
        <v>46</v>
      </c>
      <c r="BO6" s="55">
        <v>21</v>
      </c>
      <c r="BP6" s="54"/>
      <c r="BQ6" s="54"/>
      <c r="BR6" s="54"/>
      <c r="BS6" s="54"/>
      <c r="BT6" s="54"/>
      <c r="BU6" s="16"/>
      <c r="BV6" s="30" t="s">
        <v>46</v>
      </c>
      <c r="BW6" s="55">
        <v>10</v>
      </c>
      <c r="BX6" s="54"/>
      <c r="BY6" s="54"/>
      <c r="BZ6" s="54"/>
      <c r="CA6" s="54"/>
      <c r="CB6" s="54"/>
      <c r="CC6" s="16"/>
      <c r="CD6" s="30" t="s">
        <v>46</v>
      </c>
      <c r="CE6" s="55">
        <v>10</v>
      </c>
      <c r="CF6" s="54"/>
      <c r="CG6" s="54"/>
      <c r="CH6" s="54"/>
      <c r="CI6" s="54"/>
      <c r="CJ6" s="54"/>
      <c r="CK6" s="16"/>
      <c r="CL6" s="30" t="s">
        <v>46</v>
      </c>
      <c r="CM6" s="55">
        <v>9</v>
      </c>
      <c r="CN6" s="54"/>
      <c r="CO6" s="54"/>
      <c r="CP6" s="54"/>
      <c r="CQ6" s="54"/>
      <c r="CR6" s="54"/>
      <c r="CS6" s="16"/>
      <c r="CT6" s="30" t="s">
        <v>46</v>
      </c>
      <c r="CU6" s="55">
        <v>8</v>
      </c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</row>
    <row r="7" spans="1:123" ht="16">
      <c r="A7" s="16"/>
      <c r="B7" s="15" t="s">
        <v>26</v>
      </c>
      <c r="C7" s="12">
        <v>322</v>
      </c>
      <c r="D7" s="14">
        <v>306561</v>
      </c>
      <c r="F7" s="14"/>
      <c r="G7" s="48"/>
      <c r="I7" s="16"/>
      <c r="J7" s="15" t="s">
        <v>26</v>
      </c>
      <c r="K7" s="12">
        <v>323</v>
      </c>
      <c r="L7" s="14">
        <v>294806</v>
      </c>
      <c r="M7" s="12">
        <f t="shared" ref="M6:N16" si="0">K7-C7</f>
        <v>1</v>
      </c>
      <c r="N7" s="14">
        <f t="shared" si="0"/>
        <v>-11755</v>
      </c>
      <c r="O7" s="13">
        <f t="shared" ref="O6:O16" si="1">(L7-D7)/D7</f>
        <v>-3.8344734000737207E-2</v>
      </c>
      <c r="Q7" s="16"/>
      <c r="R7" s="15" t="s">
        <v>26</v>
      </c>
      <c r="S7" s="12">
        <v>382</v>
      </c>
      <c r="T7" s="14">
        <v>354538</v>
      </c>
      <c r="U7" s="12">
        <f t="shared" ref="U6:V16" si="2">S7-K7</f>
        <v>59</v>
      </c>
      <c r="V7" s="14">
        <f t="shared" si="2"/>
        <v>59732</v>
      </c>
      <c r="W7" s="13">
        <f t="shared" ref="W6:W16" si="3">(T7-L7)/L7</f>
        <v>0.20261460078831503</v>
      </c>
      <c r="Y7" s="16"/>
      <c r="Z7" s="15" t="s">
        <v>26</v>
      </c>
      <c r="AA7" s="12">
        <v>377</v>
      </c>
      <c r="AB7" s="14">
        <v>348212</v>
      </c>
      <c r="AC7" s="12">
        <f t="shared" ref="AC6:AC16" si="4">AA7-S7</f>
        <v>-5</v>
      </c>
      <c r="AD7" s="14">
        <f t="shared" ref="AD6:AD16" si="5">AB7-T7</f>
        <v>-6326</v>
      </c>
      <c r="AE7" s="13">
        <f t="shared" ref="AE6:AE16" si="6">(AB7-T7)/T7</f>
        <v>-1.7842939261799865E-2</v>
      </c>
      <c r="AG7" s="16"/>
      <c r="AH7" s="15" t="s">
        <v>26</v>
      </c>
      <c r="AI7" s="12">
        <v>382</v>
      </c>
      <c r="AJ7" s="14">
        <v>347171</v>
      </c>
      <c r="AK7" s="12">
        <f t="shared" ref="AK6:AK16" si="7">AI7-AA7</f>
        <v>5</v>
      </c>
      <c r="AL7" s="14">
        <f t="shared" ref="AL6:AL16" si="8">AJ7-AB7</f>
        <v>-1041</v>
      </c>
      <c r="AM7" s="13">
        <f t="shared" ref="AM6:AM16" si="9">(AJ7-AB7)/AB7</f>
        <v>-2.989558085304355E-3</v>
      </c>
      <c r="AO7" s="16"/>
      <c r="AP7" s="15" t="s">
        <v>26</v>
      </c>
      <c r="AQ7" s="12">
        <v>488</v>
      </c>
      <c r="AR7" s="14">
        <v>443176</v>
      </c>
      <c r="AS7" s="12">
        <f t="shared" ref="AS6:AS16" si="10">AQ7-AI7</f>
        <v>106</v>
      </c>
      <c r="AT7" s="14">
        <f t="shared" ref="AT6:AT16" si="11">AR7-AJ7</f>
        <v>96005</v>
      </c>
      <c r="AU7" s="13">
        <f t="shared" ref="AU6:AU16" si="12">(AR7-AJ7)/AJ7</f>
        <v>0.27653519447188851</v>
      </c>
      <c r="AW7" s="16"/>
      <c r="AX7" s="15" t="s">
        <v>26</v>
      </c>
      <c r="AY7" s="38">
        <v>473</v>
      </c>
      <c r="AZ7" s="38">
        <v>488164</v>
      </c>
      <c r="BA7" s="12">
        <f t="shared" ref="BA6:BA16" si="13">AY7-AQ7</f>
        <v>-15</v>
      </c>
      <c r="BB7" s="14">
        <f t="shared" ref="BB6:BB16" si="14">AZ7-AR7</f>
        <v>44988</v>
      </c>
      <c r="BC7" s="13">
        <f t="shared" ref="BC6:BC16" si="15">(AZ7-AR7)/AR7</f>
        <v>0.10151271729516038</v>
      </c>
      <c r="BE7" s="16"/>
      <c r="BF7" s="15" t="s">
        <v>26</v>
      </c>
      <c r="BG7" s="12">
        <v>298</v>
      </c>
      <c r="BH7" s="14">
        <v>311464</v>
      </c>
      <c r="BI7" s="12">
        <f t="shared" ref="BI6:BI16" si="16">BG7-AY7</f>
        <v>-175</v>
      </c>
      <c r="BJ7" s="14">
        <f t="shared" ref="BJ6:BJ16" si="17">BH7-AZ7</f>
        <v>-176700</v>
      </c>
      <c r="BK7" s="13">
        <f t="shared" ref="BK6:BK16" si="18">(BH7-AZ7)/AZ7</f>
        <v>-0.36196851877647673</v>
      </c>
      <c r="BL7" s="48"/>
      <c r="BM7" s="16"/>
      <c r="BN7" s="15" t="s">
        <v>26</v>
      </c>
      <c r="BO7" s="12">
        <v>285</v>
      </c>
      <c r="BP7" s="14">
        <v>283662</v>
      </c>
      <c r="BQ7" s="12">
        <f t="shared" ref="BQ6:BQ16" si="19">BO7-BG7</f>
        <v>-13</v>
      </c>
      <c r="BR7" s="14">
        <f t="shared" ref="BR6:BR16" si="20">BP7-BH7</f>
        <v>-27802</v>
      </c>
      <c r="BS7" s="13">
        <f t="shared" ref="BS6:BS16" si="21">(BP7-BH7)/BH7</f>
        <v>-8.9262322451390846E-2</v>
      </c>
      <c r="BU7" s="16"/>
      <c r="BV7" s="15" t="s">
        <v>26</v>
      </c>
      <c r="BW7" s="12">
        <v>207</v>
      </c>
      <c r="BX7" s="14">
        <v>195363</v>
      </c>
      <c r="BY7" s="12">
        <f t="shared" ref="BY6:BY16" si="22">BW7-BO7</f>
        <v>-78</v>
      </c>
      <c r="BZ7" s="14">
        <f t="shared" ref="BZ6:BZ16" si="23">BX7-BP7</f>
        <v>-88299</v>
      </c>
      <c r="CA7" s="13">
        <f t="shared" ref="CA6:CA16" si="24">(BX7-BP7)/BP7</f>
        <v>-0.3112824417793007</v>
      </c>
      <c r="CC7" s="16"/>
      <c r="CD7" s="15" t="s">
        <v>26</v>
      </c>
      <c r="CE7" s="12">
        <v>256</v>
      </c>
      <c r="CF7" s="14">
        <v>265472</v>
      </c>
      <c r="CG7" s="12">
        <f t="shared" ref="CG6:CG16" si="25">CE7-BW7</f>
        <v>49</v>
      </c>
      <c r="CH7" s="14">
        <f t="shared" ref="CH6:CH16" si="26">CF7-BX7</f>
        <v>70109</v>
      </c>
      <c r="CI7" s="13">
        <f t="shared" ref="CI6:CI16" si="27">(CF7-BX7)/BX7</f>
        <v>0.35886529179015475</v>
      </c>
      <c r="CK7" s="16"/>
      <c r="CL7" s="15" t="s">
        <v>26</v>
      </c>
      <c r="CM7" s="12">
        <v>216</v>
      </c>
      <c r="CN7" s="14">
        <v>206312</v>
      </c>
      <c r="CO7" s="12">
        <f t="shared" ref="CO6:CO16" si="28">CM7-CE7</f>
        <v>-40</v>
      </c>
      <c r="CP7" s="14">
        <f t="shared" ref="CP6:CP16" si="29">CN7-CF7</f>
        <v>-59160</v>
      </c>
      <c r="CQ7" s="13">
        <f t="shared" ref="CQ6:CQ16" si="30">(CN7-CF7)/CF7</f>
        <v>-0.22284836065573771</v>
      </c>
      <c r="CS7" s="16"/>
      <c r="CT7" s="15" t="s">
        <v>26</v>
      </c>
      <c r="CU7" s="12">
        <v>234</v>
      </c>
      <c r="CV7" s="14">
        <v>219416</v>
      </c>
      <c r="CW7" s="12">
        <f t="shared" ref="CW6:CW16" si="31">CU7-CM7</f>
        <v>18</v>
      </c>
      <c r="CX7" s="14">
        <f t="shared" ref="CX6:CX16" si="32">CV7-CN7</f>
        <v>13104</v>
      </c>
      <c r="CY7" s="13">
        <f t="shared" ref="CY6:CY16" si="33">(CV7-CN7)/CN7</f>
        <v>6.3515452324634528E-2</v>
      </c>
    </row>
    <row r="8" spans="1:123" ht="16">
      <c r="A8" s="16"/>
      <c r="B8" s="15" t="s">
        <v>27</v>
      </c>
      <c r="C8" s="12">
        <v>428</v>
      </c>
      <c r="D8" s="14">
        <v>480836</v>
      </c>
      <c r="F8" s="14"/>
      <c r="G8" s="48"/>
      <c r="I8" s="16"/>
      <c r="J8" s="15" t="s">
        <v>27</v>
      </c>
      <c r="K8" s="12">
        <v>472</v>
      </c>
      <c r="L8" s="14">
        <v>533502</v>
      </c>
      <c r="M8" s="12">
        <f t="shared" si="0"/>
        <v>44</v>
      </c>
      <c r="N8" s="14">
        <f t="shared" si="0"/>
        <v>52666</v>
      </c>
      <c r="O8" s="13">
        <f t="shared" si="1"/>
        <v>0.1095300684640917</v>
      </c>
      <c r="Q8" s="16"/>
      <c r="R8" s="15" t="s">
        <v>27</v>
      </c>
      <c r="S8" s="12">
        <v>487</v>
      </c>
      <c r="T8" s="14">
        <v>559220</v>
      </c>
      <c r="U8" s="12">
        <f t="shared" si="2"/>
        <v>15</v>
      </c>
      <c r="V8" s="14">
        <f t="shared" si="2"/>
        <v>25718</v>
      </c>
      <c r="W8" s="13">
        <f t="shared" si="3"/>
        <v>4.8206004850965885E-2</v>
      </c>
      <c r="Y8" s="16"/>
      <c r="Z8" s="15" t="s">
        <v>27</v>
      </c>
      <c r="AA8" s="12">
        <v>540</v>
      </c>
      <c r="AB8" s="14">
        <v>632645</v>
      </c>
      <c r="AC8" s="12">
        <f t="shared" si="4"/>
        <v>53</v>
      </c>
      <c r="AD8" s="14">
        <f t="shared" si="5"/>
        <v>73425</v>
      </c>
      <c r="AE8" s="13">
        <f t="shared" si="6"/>
        <v>0.13129895211187009</v>
      </c>
      <c r="AG8" s="16"/>
      <c r="AH8" s="15" t="s">
        <v>27</v>
      </c>
      <c r="AI8" s="12">
        <v>502</v>
      </c>
      <c r="AJ8" s="14">
        <v>582959</v>
      </c>
      <c r="AK8" s="12">
        <f t="shared" si="7"/>
        <v>-38</v>
      </c>
      <c r="AL8" s="14">
        <f t="shared" si="8"/>
        <v>-49686</v>
      </c>
      <c r="AM8" s="13">
        <f t="shared" si="9"/>
        <v>-7.8536936196445084E-2</v>
      </c>
      <c r="AO8" s="16"/>
      <c r="AP8" s="15" t="s">
        <v>27</v>
      </c>
      <c r="AQ8" s="12">
        <v>634</v>
      </c>
      <c r="AR8" s="14">
        <v>750171</v>
      </c>
      <c r="AS8" s="12">
        <f t="shared" si="10"/>
        <v>132</v>
      </c>
      <c r="AT8" s="14">
        <f t="shared" si="11"/>
        <v>167212</v>
      </c>
      <c r="AU8" s="13">
        <f t="shared" si="12"/>
        <v>0.28683320782422089</v>
      </c>
      <c r="AW8" s="16"/>
      <c r="AX8" s="15" t="s">
        <v>27</v>
      </c>
      <c r="AY8" s="38">
        <v>614</v>
      </c>
      <c r="AZ8" s="38">
        <v>684687</v>
      </c>
      <c r="BA8" s="12">
        <f t="shared" si="13"/>
        <v>-20</v>
      </c>
      <c r="BB8" s="14">
        <f t="shared" si="14"/>
        <v>-65484</v>
      </c>
      <c r="BC8" s="13">
        <f t="shared" si="15"/>
        <v>-8.729209740179239E-2</v>
      </c>
      <c r="BE8" s="16"/>
      <c r="BF8" s="15" t="s">
        <v>27</v>
      </c>
      <c r="BG8" s="12">
        <v>451</v>
      </c>
      <c r="BH8" s="14">
        <v>525208</v>
      </c>
      <c r="BI8" s="12">
        <f t="shared" si="16"/>
        <v>-163</v>
      </c>
      <c r="BJ8" s="14">
        <f t="shared" si="17"/>
        <v>-159479</v>
      </c>
      <c r="BK8" s="13">
        <f t="shared" si="18"/>
        <v>-0.23292248867000542</v>
      </c>
      <c r="BL8" s="48"/>
      <c r="BM8" s="16"/>
      <c r="BN8" s="15" t="s">
        <v>27</v>
      </c>
      <c r="BO8" s="12">
        <v>397</v>
      </c>
      <c r="BP8" s="14">
        <v>437214</v>
      </c>
      <c r="BQ8" s="12">
        <f t="shared" si="19"/>
        <v>-54</v>
      </c>
      <c r="BR8" s="14">
        <f t="shared" si="20"/>
        <v>-87994</v>
      </c>
      <c r="BS8" s="13">
        <f t="shared" si="21"/>
        <v>-0.16754124080364352</v>
      </c>
      <c r="BU8" s="16"/>
      <c r="BV8" s="15" t="s">
        <v>27</v>
      </c>
      <c r="BW8" s="12">
        <v>359</v>
      </c>
      <c r="BX8" s="14">
        <v>396750</v>
      </c>
      <c r="BY8" s="12">
        <f t="shared" si="22"/>
        <v>-38</v>
      </c>
      <c r="BZ8" s="14">
        <f t="shared" si="23"/>
        <v>-40464</v>
      </c>
      <c r="CA8" s="13">
        <f t="shared" si="24"/>
        <v>-9.2549643881485955E-2</v>
      </c>
      <c r="CC8" s="16"/>
      <c r="CD8" s="15" t="s">
        <v>27</v>
      </c>
      <c r="CE8" s="12">
        <v>359</v>
      </c>
      <c r="CF8" s="14">
        <v>420433</v>
      </c>
      <c r="CG8" s="12">
        <f t="shared" si="25"/>
        <v>0</v>
      </c>
      <c r="CH8" s="14">
        <f t="shared" si="26"/>
        <v>23683</v>
      </c>
      <c r="CI8" s="13">
        <f t="shared" si="27"/>
        <v>5.969250157529931E-2</v>
      </c>
      <c r="CK8" s="16"/>
      <c r="CL8" s="15" t="s">
        <v>27</v>
      </c>
      <c r="CM8" s="12">
        <v>352</v>
      </c>
      <c r="CN8" s="14">
        <v>419959</v>
      </c>
      <c r="CO8" s="12">
        <f t="shared" si="28"/>
        <v>-7</v>
      </c>
      <c r="CP8" s="14">
        <f t="shared" si="29"/>
        <v>-474</v>
      </c>
      <c r="CQ8" s="13">
        <f t="shared" si="30"/>
        <v>-1.1274091234512991E-3</v>
      </c>
      <c r="CS8" s="16"/>
      <c r="CT8" s="15" t="s">
        <v>27</v>
      </c>
      <c r="CU8" s="12">
        <v>358</v>
      </c>
      <c r="CV8" s="14">
        <v>450961</v>
      </c>
      <c r="CW8" s="12">
        <f t="shared" si="31"/>
        <v>6</v>
      </c>
      <c r="CX8" s="14">
        <f t="shared" si="32"/>
        <v>31002</v>
      </c>
      <c r="CY8" s="13">
        <f t="shared" si="33"/>
        <v>7.3821492098038136E-2</v>
      </c>
    </row>
    <row r="9" spans="1:123" ht="16">
      <c r="A9" s="16"/>
      <c r="B9" s="15" t="s">
        <v>28</v>
      </c>
      <c r="C9" s="12">
        <v>125</v>
      </c>
      <c r="D9" s="14">
        <v>816714</v>
      </c>
      <c r="F9" s="14"/>
      <c r="G9" s="48"/>
      <c r="I9" s="16"/>
      <c r="J9" s="15" t="s">
        <v>28</v>
      </c>
      <c r="K9" s="12">
        <v>94</v>
      </c>
      <c r="L9" s="14">
        <v>602914</v>
      </c>
      <c r="M9" s="12">
        <f t="shared" si="0"/>
        <v>-31</v>
      </c>
      <c r="N9" s="14">
        <f t="shared" si="0"/>
        <v>-213800</v>
      </c>
      <c r="O9" s="13">
        <f t="shared" si="1"/>
        <v>-0.26178074576902072</v>
      </c>
      <c r="Q9" s="16"/>
      <c r="R9" s="15" t="s">
        <v>28</v>
      </c>
      <c r="S9" s="12">
        <v>110</v>
      </c>
      <c r="T9" s="14">
        <v>672095</v>
      </c>
      <c r="U9" s="12">
        <f t="shared" si="2"/>
        <v>16</v>
      </c>
      <c r="V9" s="14">
        <f t="shared" si="2"/>
        <v>69181</v>
      </c>
      <c r="W9" s="13">
        <f t="shared" si="3"/>
        <v>0.11474439140573946</v>
      </c>
      <c r="Y9" s="16"/>
      <c r="Z9" s="15" t="s">
        <v>28</v>
      </c>
      <c r="AA9" s="12">
        <v>135</v>
      </c>
      <c r="AB9" s="14">
        <v>854048</v>
      </c>
      <c r="AC9" s="12">
        <f t="shared" si="4"/>
        <v>25</v>
      </c>
      <c r="AD9" s="14">
        <f t="shared" si="5"/>
        <v>181953</v>
      </c>
      <c r="AE9" s="13">
        <f t="shared" si="6"/>
        <v>0.27072512070466231</v>
      </c>
      <c r="AG9" s="16"/>
      <c r="AH9" s="15" t="s">
        <v>28</v>
      </c>
      <c r="AI9" s="12">
        <v>123</v>
      </c>
      <c r="AJ9" s="14">
        <v>810733</v>
      </c>
      <c r="AK9" s="12">
        <f t="shared" si="7"/>
        <v>-12</v>
      </c>
      <c r="AL9" s="14">
        <f t="shared" si="8"/>
        <v>-43315</v>
      </c>
      <c r="AM9" s="13">
        <f t="shared" si="9"/>
        <v>-5.0717289894713177E-2</v>
      </c>
      <c r="AO9" s="16"/>
      <c r="AP9" s="15" t="s">
        <v>28</v>
      </c>
      <c r="AQ9" s="12">
        <v>185</v>
      </c>
      <c r="AR9" s="14">
        <v>1183190</v>
      </c>
      <c r="AS9" s="12">
        <f t="shared" si="10"/>
        <v>62</v>
      </c>
      <c r="AT9" s="14">
        <f t="shared" si="11"/>
        <v>372457</v>
      </c>
      <c r="AU9" s="13">
        <f t="shared" si="12"/>
        <v>0.45940772116097406</v>
      </c>
      <c r="AW9" s="16"/>
      <c r="AX9" s="15" t="s">
        <v>28</v>
      </c>
      <c r="AY9" s="38">
        <v>161</v>
      </c>
      <c r="AZ9" s="38">
        <v>1015610</v>
      </c>
      <c r="BA9" s="12">
        <f t="shared" si="13"/>
        <v>-24</v>
      </c>
      <c r="BB9" s="14">
        <f t="shared" si="14"/>
        <v>-167580</v>
      </c>
      <c r="BC9" s="13">
        <f t="shared" si="15"/>
        <v>-0.14163405708297061</v>
      </c>
      <c r="BE9" s="16"/>
      <c r="BF9" s="15" t="s">
        <v>28</v>
      </c>
      <c r="BG9" s="12">
        <v>152</v>
      </c>
      <c r="BH9" s="14">
        <v>957600</v>
      </c>
      <c r="BI9" s="12">
        <f t="shared" si="16"/>
        <v>-9</v>
      </c>
      <c r="BJ9" s="14">
        <f t="shared" si="17"/>
        <v>-58010</v>
      </c>
      <c r="BK9" s="13">
        <f t="shared" si="18"/>
        <v>-5.7118382056104214E-2</v>
      </c>
      <c r="BL9" s="48"/>
      <c r="BM9" s="16"/>
      <c r="BN9" s="15" t="s">
        <v>28</v>
      </c>
      <c r="BO9" s="12">
        <v>76</v>
      </c>
      <c r="BP9" s="14">
        <v>480514</v>
      </c>
      <c r="BQ9" s="12">
        <f t="shared" si="19"/>
        <v>-76</v>
      </c>
      <c r="BR9" s="14">
        <f t="shared" si="20"/>
        <v>-477086</v>
      </c>
      <c r="BS9" s="13">
        <f t="shared" si="21"/>
        <v>-0.49821010860484544</v>
      </c>
      <c r="BU9" s="16"/>
      <c r="BV9" s="15" t="s">
        <v>28</v>
      </c>
      <c r="BW9" s="12">
        <v>83</v>
      </c>
      <c r="BX9" s="14">
        <v>496467</v>
      </c>
      <c r="BY9" s="12">
        <f t="shared" si="22"/>
        <v>7</v>
      </c>
      <c r="BZ9" s="14">
        <f t="shared" si="23"/>
        <v>15953</v>
      </c>
      <c r="CA9" s="13">
        <f t="shared" si="24"/>
        <v>3.3199865144407863E-2</v>
      </c>
      <c r="CC9" s="16"/>
      <c r="CD9" s="15" t="s">
        <v>28</v>
      </c>
      <c r="CE9" s="12">
        <v>87</v>
      </c>
      <c r="CF9" s="14">
        <v>573552</v>
      </c>
      <c r="CG9" s="12">
        <f t="shared" si="25"/>
        <v>4</v>
      </c>
      <c r="CH9" s="14">
        <f t="shared" si="26"/>
        <v>77085</v>
      </c>
      <c r="CI9" s="13">
        <f t="shared" si="27"/>
        <v>0.15526711745191524</v>
      </c>
      <c r="CK9" s="16"/>
      <c r="CL9" s="15" t="s">
        <v>28</v>
      </c>
      <c r="CM9" s="12">
        <v>71</v>
      </c>
      <c r="CN9" s="14">
        <v>449419</v>
      </c>
      <c r="CO9" s="12">
        <f t="shared" si="28"/>
        <v>-16</v>
      </c>
      <c r="CP9" s="14">
        <f t="shared" si="29"/>
        <v>-124133</v>
      </c>
      <c r="CQ9" s="13">
        <f t="shared" si="30"/>
        <v>-0.2164285016877284</v>
      </c>
      <c r="CS9" s="16"/>
      <c r="CT9" s="15" t="s">
        <v>28</v>
      </c>
      <c r="CU9" s="12">
        <v>71</v>
      </c>
      <c r="CV9" s="14">
        <v>451800</v>
      </c>
      <c r="CW9" s="12">
        <f t="shared" si="31"/>
        <v>0</v>
      </c>
      <c r="CX9" s="14">
        <f t="shared" si="32"/>
        <v>2381</v>
      </c>
      <c r="CY9" s="13">
        <f t="shared" si="33"/>
        <v>5.297951354971641E-3</v>
      </c>
    </row>
    <row r="10" spans="1:123" ht="16">
      <c r="A10" s="16"/>
      <c r="B10" s="15" t="s">
        <v>29</v>
      </c>
      <c r="C10" s="12">
        <v>57</v>
      </c>
      <c r="D10" s="14">
        <v>783524</v>
      </c>
      <c r="F10" s="14"/>
      <c r="G10" s="48"/>
      <c r="I10" s="16"/>
      <c r="J10" s="15" t="s">
        <v>29</v>
      </c>
      <c r="K10" s="12">
        <v>52</v>
      </c>
      <c r="L10" s="14">
        <v>659810</v>
      </c>
      <c r="M10" s="12">
        <f t="shared" si="0"/>
        <v>-5</v>
      </c>
      <c r="N10" s="14">
        <f t="shared" si="0"/>
        <v>-123714</v>
      </c>
      <c r="O10" s="13">
        <f t="shared" si="1"/>
        <v>-0.15789433380470796</v>
      </c>
      <c r="Q10" s="16"/>
      <c r="R10" s="15" t="s">
        <v>29</v>
      </c>
      <c r="S10" s="12">
        <v>89</v>
      </c>
      <c r="T10" s="14">
        <v>1137905</v>
      </c>
      <c r="U10" s="12">
        <f t="shared" si="2"/>
        <v>37</v>
      </c>
      <c r="V10" s="14">
        <f t="shared" si="2"/>
        <v>478095</v>
      </c>
      <c r="W10" s="13">
        <f t="shared" si="3"/>
        <v>0.72459495915490824</v>
      </c>
      <c r="Y10" s="16"/>
      <c r="Z10" s="15" t="s">
        <v>29</v>
      </c>
      <c r="AA10" s="12">
        <v>81</v>
      </c>
      <c r="AB10" s="14">
        <v>1107238</v>
      </c>
      <c r="AC10" s="12">
        <f t="shared" si="4"/>
        <v>-8</v>
      </c>
      <c r="AD10" s="14">
        <f t="shared" si="5"/>
        <v>-30667</v>
      </c>
      <c r="AE10" s="13">
        <f t="shared" si="6"/>
        <v>-2.6950404471375027E-2</v>
      </c>
      <c r="AG10" s="16"/>
      <c r="AH10" s="15" t="s">
        <v>29</v>
      </c>
      <c r="AI10" s="12">
        <v>69</v>
      </c>
      <c r="AJ10" s="14">
        <v>1025619</v>
      </c>
      <c r="AK10" s="12">
        <f t="shared" si="7"/>
        <v>-12</v>
      </c>
      <c r="AL10" s="14">
        <f t="shared" si="8"/>
        <v>-81619</v>
      </c>
      <c r="AM10" s="13">
        <f t="shared" si="9"/>
        <v>-7.3714052444009331E-2</v>
      </c>
      <c r="AO10" s="16"/>
      <c r="AP10" s="15" t="s">
        <v>29</v>
      </c>
      <c r="AQ10" s="12">
        <v>110</v>
      </c>
      <c r="AR10" s="14">
        <v>1445429</v>
      </c>
      <c r="AS10" s="12">
        <f t="shared" si="10"/>
        <v>41</v>
      </c>
      <c r="AT10" s="14">
        <f t="shared" si="11"/>
        <v>419810</v>
      </c>
      <c r="AU10" s="13">
        <f t="shared" si="12"/>
        <v>0.40932354022302631</v>
      </c>
      <c r="AW10" s="16"/>
      <c r="AX10" s="15" t="s">
        <v>29</v>
      </c>
      <c r="AY10" s="38">
        <v>84</v>
      </c>
      <c r="AZ10" s="38">
        <v>1027143</v>
      </c>
      <c r="BA10" s="12">
        <f t="shared" si="13"/>
        <v>-26</v>
      </c>
      <c r="BB10" s="14">
        <f t="shared" si="14"/>
        <v>-418286</v>
      </c>
      <c r="BC10" s="13">
        <f t="shared" si="15"/>
        <v>-0.2893853658671578</v>
      </c>
      <c r="BE10" s="16"/>
      <c r="BF10" s="15" t="s">
        <v>29</v>
      </c>
      <c r="BG10" s="12">
        <v>56</v>
      </c>
      <c r="BH10" s="14">
        <v>736381</v>
      </c>
      <c r="BI10" s="12">
        <f t="shared" si="16"/>
        <v>-28</v>
      </c>
      <c r="BJ10" s="14">
        <f t="shared" si="17"/>
        <v>-290762</v>
      </c>
      <c r="BK10" s="13">
        <f t="shared" si="18"/>
        <v>-0.28307840290981878</v>
      </c>
      <c r="BL10" s="48"/>
      <c r="BM10" s="16"/>
      <c r="BN10" s="15" t="s">
        <v>29</v>
      </c>
      <c r="BO10" s="12">
        <v>60</v>
      </c>
      <c r="BP10" s="14">
        <v>919238</v>
      </c>
      <c r="BQ10" s="12">
        <f t="shared" si="19"/>
        <v>4</v>
      </c>
      <c r="BR10" s="14">
        <f t="shared" si="20"/>
        <v>182857</v>
      </c>
      <c r="BS10" s="13">
        <f t="shared" si="21"/>
        <v>0.2483184655769228</v>
      </c>
      <c r="BU10" s="16"/>
      <c r="BV10" s="15" t="s">
        <v>29</v>
      </c>
      <c r="BW10" s="12">
        <v>46</v>
      </c>
      <c r="BX10" s="14">
        <v>635810</v>
      </c>
      <c r="BY10" s="12">
        <f t="shared" si="22"/>
        <v>-14</v>
      </c>
      <c r="BZ10" s="14">
        <f t="shared" si="23"/>
        <v>-283428</v>
      </c>
      <c r="CA10" s="13">
        <f t="shared" si="24"/>
        <v>-0.30832929012943328</v>
      </c>
      <c r="CC10" s="16"/>
      <c r="CD10" s="15" t="s">
        <v>29</v>
      </c>
      <c r="CE10" s="12">
        <v>47</v>
      </c>
      <c r="CF10" s="14">
        <v>652070</v>
      </c>
      <c r="CG10" s="12">
        <f t="shared" si="25"/>
        <v>1</v>
      </c>
      <c r="CH10" s="14">
        <f t="shared" si="26"/>
        <v>16260</v>
      </c>
      <c r="CI10" s="13">
        <f t="shared" si="27"/>
        <v>2.5573677671002343E-2</v>
      </c>
      <c r="CK10" s="16"/>
      <c r="CL10" s="15" t="s">
        <v>29</v>
      </c>
      <c r="CM10" s="12">
        <v>43</v>
      </c>
      <c r="CN10" s="14">
        <v>596150</v>
      </c>
      <c r="CO10" s="12">
        <f t="shared" si="28"/>
        <v>-4</v>
      </c>
      <c r="CP10" s="14">
        <f t="shared" si="29"/>
        <v>-55920</v>
      </c>
      <c r="CQ10" s="13">
        <f t="shared" si="30"/>
        <v>-8.5757664054472674E-2</v>
      </c>
      <c r="CS10" s="16"/>
      <c r="CT10" s="15" t="s">
        <v>29</v>
      </c>
      <c r="CU10" s="12">
        <v>56</v>
      </c>
      <c r="CV10" s="14">
        <v>830667</v>
      </c>
      <c r="CW10" s="12">
        <f t="shared" si="31"/>
        <v>13</v>
      </c>
      <c r="CX10" s="14">
        <f t="shared" si="32"/>
        <v>234517</v>
      </c>
      <c r="CY10" s="13">
        <f t="shared" si="33"/>
        <v>0.3933858928122117</v>
      </c>
    </row>
    <row r="11" spans="1:123" ht="16">
      <c r="A11" s="16"/>
      <c r="B11" s="15" t="s">
        <v>30</v>
      </c>
      <c r="C11" s="12">
        <v>6</v>
      </c>
      <c r="D11" s="14">
        <v>25990</v>
      </c>
      <c r="F11" s="14"/>
      <c r="G11" s="48"/>
      <c r="I11" s="16"/>
      <c r="J11" s="15" t="s">
        <v>30</v>
      </c>
      <c r="K11" s="12">
        <v>21</v>
      </c>
      <c r="L11" s="14">
        <v>108648</v>
      </c>
      <c r="M11" s="12">
        <f t="shared" si="0"/>
        <v>15</v>
      </c>
      <c r="N11" s="14">
        <f t="shared" si="0"/>
        <v>82658</v>
      </c>
      <c r="O11" s="13">
        <f t="shared" si="1"/>
        <v>3.1803770681031165</v>
      </c>
      <c r="Q11" s="16"/>
      <c r="R11" s="15" t="s">
        <v>30</v>
      </c>
      <c r="S11" s="12">
        <v>18</v>
      </c>
      <c r="T11" s="14">
        <v>84276</v>
      </c>
      <c r="U11" s="12">
        <f t="shared" si="2"/>
        <v>-3</v>
      </c>
      <c r="V11" s="14">
        <f t="shared" si="2"/>
        <v>-24372</v>
      </c>
      <c r="W11" s="13">
        <f t="shared" si="3"/>
        <v>-0.22432074221338635</v>
      </c>
      <c r="Y11" s="16"/>
      <c r="Z11" s="15" t="s">
        <v>30</v>
      </c>
      <c r="AA11" s="12">
        <v>14</v>
      </c>
      <c r="AB11" s="14">
        <v>79038</v>
      </c>
      <c r="AC11" s="12">
        <f t="shared" si="4"/>
        <v>-4</v>
      </c>
      <c r="AD11" s="14">
        <f t="shared" si="5"/>
        <v>-5238</v>
      </c>
      <c r="AE11" s="13">
        <f t="shared" si="6"/>
        <v>-6.2152926099957283E-2</v>
      </c>
      <c r="AG11" s="16"/>
      <c r="AH11" s="15" t="s">
        <v>30</v>
      </c>
      <c r="AI11" s="12">
        <v>9</v>
      </c>
      <c r="AJ11" s="14">
        <v>34257</v>
      </c>
      <c r="AK11" s="12">
        <f t="shared" si="7"/>
        <v>-5</v>
      </c>
      <c r="AL11" s="14">
        <f t="shared" si="8"/>
        <v>-44781</v>
      </c>
      <c r="AM11" s="13">
        <f t="shared" si="9"/>
        <v>-0.56657557124421165</v>
      </c>
      <c r="AO11" s="16"/>
      <c r="AP11" s="15" t="s">
        <v>30</v>
      </c>
      <c r="AQ11" s="12">
        <v>19</v>
      </c>
      <c r="AR11" s="14">
        <v>70924</v>
      </c>
      <c r="AS11" s="12">
        <f t="shared" si="10"/>
        <v>10</v>
      </c>
      <c r="AT11" s="14">
        <f t="shared" si="11"/>
        <v>36667</v>
      </c>
      <c r="AU11" s="13">
        <f t="shared" si="12"/>
        <v>1.0703505852818402</v>
      </c>
      <c r="AW11" s="16"/>
      <c r="AX11" s="15" t="s">
        <v>30</v>
      </c>
      <c r="AY11" s="38">
        <v>13</v>
      </c>
      <c r="AZ11" s="38">
        <v>45990</v>
      </c>
      <c r="BA11" s="12">
        <f t="shared" si="13"/>
        <v>-6</v>
      </c>
      <c r="BB11" s="14">
        <f t="shared" si="14"/>
        <v>-24934</v>
      </c>
      <c r="BC11" s="13">
        <f t="shared" si="15"/>
        <v>-0.35155941571259375</v>
      </c>
      <c r="BE11" s="16"/>
      <c r="BF11" s="15" t="s">
        <v>30</v>
      </c>
      <c r="BG11" s="12">
        <v>21</v>
      </c>
      <c r="BH11" s="14">
        <v>138000</v>
      </c>
      <c r="BI11" s="12">
        <f t="shared" si="16"/>
        <v>8</v>
      </c>
      <c r="BJ11" s="14">
        <f t="shared" si="17"/>
        <v>92010</v>
      </c>
      <c r="BK11" s="13">
        <f t="shared" si="18"/>
        <v>2.0006523157208087</v>
      </c>
      <c r="BL11" s="48"/>
      <c r="BM11" s="16"/>
      <c r="BN11" s="15" t="s">
        <v>30</v>
      </c>
      <c r="BO11" s="12">
        <v>4</v>
      </c>
      <c r="BP11" s="14">
        <v>11429</v>
      </c>
      <c r="BQ11" s="12">
        <f t="shared" si="19"/>
        <v>-17</v>
      </c>
      <c r="BR11" s="14">
        <f t="shared" si="20"/>
        <v>-126571</v>
      </c>
      <c r="BS11" s="13">
        <f t="shared" si="21"/>
        <v>-0.91718115942028988</v>
      </c>
      <c r="BU11" s="16"/>
      <c r="BV11" s="15" t="s">
        <v>30</v>
      </c>
      <c r="BW11" s="12">
        <v>16</v>
      </c>
      <c r="BX11" s="14">
        <v>59707</v>
      </c>
      <c r="BY11" s="12">
        <f t="shared" si="22"/>
        <v>12</v>
      </c>
      <c r="BZ11" s="14">
        <f t="shared" si="23"/>
        <v>48278</v>
      </c>
      <c r="CA11" s="13">
        <f t="shared" si="24"/>
        <v>4.2241665937527344</v>
      </c>
      <c r="CC11" s="16"/>
      <c r="CD11" s="15" t="s">
        <v>30</v>
      </c>
      <c r="CE11" s="12">
        <v>6</v>
      </c>
      <c r="CF11" s="14">
        <v>33150</v>
      </c>
      <c r="CG11" s="12">
        <f t="shared" si="25"/>
        <v>-10</v>
      </c>
      <c r="CH11" s="14">
        <f t="shared" si="26"/>
        <v>-26557</v>
      </c>
      <c r="CI11" s="13">
        <f t="shared" si="27"/>
        <v>-0.44478871824074229</v>
      </c>
      <c r="CK11" s="16"/>
      <c r="CL11" s="15" t="s">
        <v>30</v>
      </c>
      <c r="CM11" s="12">
        <v>5</v>
      </c>
      <c r="CN11" s="14">
        <v>23088</v>
      </c>
      <c r="CO11" s="12">
        <f t="shared" si="28"/>
        <v>-1</v>
      </c>
      <c r="CP11" s="14">
        <f t="shared" si="29"/>
        <v>-10062</v>
      </c>
      <c r="CQ11" s="13">
        <f t="shared" si="30"/>
        <v>-0.30352941176470588</v>
      </c>
      <c r="CS11" s="16"/>
      <c r="CT11" s="15" t="s">
        <v>30</v>
      </c>
      <c r="CU11" s="12">
        <v>15</v>
      </c>
      <c r="CV11" s="14">
        <v>78571</v>
      </c>
      <c r="CW11" s="12">
        <f t="shared" si="31"/>
        <v>10</v>
      </c>
      <c r="CX11" s="14">
        <f t="shared" si="32"/>
        <v>55483</v>
      </c>
      <c r="CY11" s="13">
        <f t="shared" si="33"/>
        <v>2.4031098406098406</v>
      </c>
    </row>
    <row r="12" spans="1:123" ht="16">
      <c r="A12" s="16"/>
      <c r="B12" s="15" t="s">
        <v>31</v>
      </c>
      <c r="C12" s="12">
        <v>16</v>
      </c>
      <c r="D12" s="14">
        <v>18370</v>
      </c>
      <c r="F12" s="14"/>
      <c r="G12" s="48"/>
      <c r="I12" s="16"/>
      <c r="J12" s="15" t="s">
        <v>31</v>
      </c>
      <c r="K12" s="12">
        <v>9</v>
      </c>
      <c r="L12" s="14">
        <v>24360</v>
      </c>
      <c r="M12" s="12">
        <f t="shared" si="0"/>
        <v>-7</v>
      </c>
      <c r="N12" s="14">
        <f t="shared" si="0"/>
        <v>5990</v>
      </c>
      <c r="O12" s="13">
        <f t="shared" si="1"/>
        <v>0.32607512248230813</v>
      </c>
      <c r="Q12" s="16"/>
      <c r="R12" s="15" t="s">
        <v>31</v>
      </c>
      <c r="S12" s="12">
        <v>29</v>
      </c>
      <c r="T12" s="14">
        <v>73970</v>
      </c>
      <c r="U12" s="12">
        <f t="shared" si="2"/>
        <v>20</v>
      </c>
      <c r="V12" s="14">
        <f t="shared" si="2"/>
        <v>49610</v>
      </c>
      <c r="W12" s="13">
        <f t="shared" si="3"/>
        <v>2.0365353037766831</v>
      </c>
      <c r="Y12" s="16"/>
      <c r="Z12" s="15" t="s">
        <v>31</v>
      </c>
      <c r="AA12" s="12">
        <v>25</v>
      </c>
      <c r="AB12" s="14">
        <v>24150</v>
      </c>
      <c r="AC12" s="12">
        <f t="shared" si="4"/>
        <v>-4</v>
      </c>
      <c r="AD12" s="14">
        <f t="shared" si="5"/>
        <v>-49820</v>
      </c>
      <c r="AE12" s="13">
        <f t="shared" si="6"/>
        <v>-0.6735162903879951</v>
      </c>
      <c r="AG12" s="16"/>
      <c r="AH12" s="15" t="s">
        <v>31</v>
      </c>
      <c r="AI12" s="12">
        <v>29</v>
      </c>
      <c r="AJ12" s="14">
        <v>44350</v>
      </c>
      <c r="AK12" s="12">
        <f t="shared" si="7"/>
        <v>4</v>
      </c>
      <c r="AL12" s="14">
        <f t="shared" si="8"/>
        <v>20200</v>
      </c>
      <c r="AM12" s="13">
        <f t="shared" si="9"/>
        <v>0.83643892339544512</v>
      </c>
      <c r="AO12" s="16"/>
      <c r="AP12" s="15" t="s">
        <v>31</v>
      </c>
      <c r="AQ12" s="12">
        <v>20</v>
      </c>
      <c r="AR12" s="14">
        <v>28540</v>
      </c>
      <c r="AS12" s="12">
        <f t="shared" si="10"/>
        <v>-9</v>
      </c>
      <c r="AT12" s="14">
        <f t="shared" si="11"/>
        <v>-15810</v>
      </c>
      <c r="AU12" s="13">
        <f t="shared" si="12"/>
        <v>-0.35648252536640362</v>
      </c>
      <c r="AW12" s="16"/>
      <c r="AX12" s="15" t="s">
        <v>31</v>
      </c>
      <c r="AY12" s="38">
        <v>21</v>
      </c>
      <c r="AZ12" s="38">
        <v>44730</v>
      </c>
      <c r="BA12" s="12">
        <f t="shared" si="13"/>
        <v>1</v>
      </c>
      <c r="BB12" s="14">
        <f t="shared" si="14"/>
        <v>16190</v>
      </c>
      <c r="BC12" s="13">
        <f t="shared" si="15"/>
        <v>0.56727400140154172</v>
      </c>
      <c r="BE12" s="16"/>
      <c r="BF12" s="15" t="s">
        <v>31</v>
      </c>
      <c r="BG12" s="12">
        <v>17</v>
      </c>
      <c r="BH12" s="14">
        <v>77680</v>
      </c>
      <c r="BI12" s="12">
        <f t="shared" si="16"/>
        <v>-4</v>
      </c>
      <c r="BJ12" s="14">
        <f t="shared" si="17"/>
        <v>32950</v>
      </c>
      <c r="BK12" s="13">
        <f t="shared" si="18"/>
        <v>0.73664207467024367</v>
      </c>
      <c r="BL12" s="48"/>
      <c r="BM12" s="16"/>
      <c r="BN12" s="15" t="s">
        <v>31</v>
      </c>
      <c r="BO12" s="12">
        <v>11</v>
      </c>
      <c r="BP12" s="14">
        <v>13780</v>
      </c>
      <c r="BQ12" s="12">
        <f t="shared" si="19"/>
        <v>-6</v>
      </c>
      <c r="BR12" s="14">
        <f t="shared" si="20"/>
        <v>-63900</v>
      </c>
      <c r="BS12" s="13">
        <f t="shared" si="21"/>
        <v>-0.82260556127703399</v>
      </c>
      <c r="BU12" s="16"/>
      <c r="BV12" s="15" t="s">
        <v>31</v>
      </c>
      <c r="BW12" s="12">
        <v>15</v>
      </c>
      <c r="BX12" s="14">
        <v>23160</v>
      </c>
      <c r="BY12" s="12">
        <f t="shared" si="22"/>
        <v>4</v>
      </c>
      <c r="BZ12" s="14">
        <f t="shared" si="23"/>
        <v>9380</v>
      </c>
      <c r="CA12" s="13">
        <f t="shared" si="24"/>
        <v>0.68069666182873734</v>
      </c>
      <c r="CC12" s="16"/>
      <c r="CD12" s="15" t="s">
        <v>31</v>
      </c>
      <c r="CE12" s="12">
        <v>11</v>
      </c>
      <c r="CF12" s="14">
        <v>9280</v>
      </c>
      <c r="CG12" s="12">
        <f t="shared" si="25"/>
        <v>-4</v>
      </c>
      <c r="CH12" s="14">
        <f t="shared" si="26"/>
        <v>-13880</v>
      </c>
      <c r="CI12" s="13">
        <f t="shared" si="27"/>
        <v>-0.59930915371329874</v>
      </c>
      <c r="CK12" s="16"/>
      <c r="CL12" s="15" t="s">
        <v>31</v>
      </c>
      <c r="CM12" s="12">
        <v>11</v>
      </c>
      <c r="CN12" s="14">
        <v>19960</v>
      </c>
      <c r="CO12" s="12">
        <f t="shared" si="28"/>
        <v>0</v>
      </c>
      <c r="CP12" s="14">
        <f t="shared" si="29"/>
        <v>10680</v>
      </c>
      <c r="CQ12" s="13">
        <f t="shared" si="30"/>
        <v>1.1508620689655173</v>
      </c>
      <c r="CS12" s="16"/>
      <c r="CT12" s="15" t="s">
        <v>31</v>
      </c>
      <c r="CU12" s="12">
        <v>17</v>
      </c>
      <c r="CV12" s="14">
        <v>57500</v>
      </c>
      <c r="CW12" s="12">
        <f t="shared" si="31"/>
        <v>6</v>
      </c>
      <c r="CX12" s="14">
        <f t="shared" si="32"/>
        <v>37540</v>
      </c>
      <c r="CY12" s="13">
        <f t="shared" si="33"/>
        <v>1.8807615230460921</v>
      </c>
    </row>
    <row r="13" spans="1:123" ht="16">
      <c r="A13" s="16"/>
      <c r="B13" s="15" t="s">
        <v>32</v>
      </c>
      <c r="C13" s="12">
        <v>23</v>
      </c>
      <c r="D13" s="14">
        <v>1188310</v>
      </c>
      <c r="F13" s="14"/>
      <c r="G13" s="48"/>
      <c r="I13" s="16"/>
      <c r="J13" s="15" t="s">
        <v>32</v>
      </c>
      <c r="K13" s="12">
        <v>19</v>
      </c>
      <c r="L13" s="14">
        <v>1008724</v>
      </c>
      <c r="M13" s="12">
        <f t="shared" si="0"/>
        <v>-4</v>
      </c>
      <c r="N13" s="14">
        <f t="shared" si="0"/>
        <v>-179586</v>
      </c>
      <c r="O13" s="13">
        <f t="shared" si="1"/>
        <v>-0.15112723110972726</v>
      </c>
      <c r="Q13" s="16"/>
      <c r="R13" s="15" t="s">
        <v>32</v>
      </c>
      <c r="S13" s="12">
        <v>26</v>
      </c>
      <c r="T13" s="14">
        <v>1317610</v>
      </c>
      <c r="U13" s="12">
        <f t="shared" si="2"/>
        <v>7</v>
      </c>
      <c r="V13" s="14">
        <f t="shared" si="2"/>
        <v>308886</v>
      </c>
      <c r="W13" s="13">
        <f t="shared" si="3"/>
        <v>0.3062145839694505</v>
      </c>
      <c r="Y13" s="16"/>
      <c r="Z13" s="15" t="s">
        <v>32</v>
      </c>
      <c r="AA13" s="12">
        <v>30</v>
      </c>
      <c r="AB13" s="14">
        <v>1460738</v>
      </c>
      <c r="AC13" s="12">
        <f t="shared" si="4"/>
        <v>4</v>
      </c>
      <c r="AD13" s="14">
        <f t="shared" si="5"/>
        <v>143128</v>
      </c>
      <c r="AE13" s="13">
        <f t="shared" si="6"/>
        <v>0.10862698370534528</v>
      </c>
      <c r="AG13" s="16"/>
      <c r="AH13" s="15" t="s">
        <v>32</v>
      </c>
      <c r="AI13" s="12">
        <v>22</v>
      </c>
      <c r="AJ13" s="14">
        <v>1251305</v>
      </c>
      <c r="AK13" s="12">
        <f t="shared" si="7"/>
        <v>-8</v>
      </c>
      <c r="AL13" s="14">
        <f t="shared" si="8"/>
        <v>-209433</v>
      </c>
      <c r="AM13" s="13">
        <f t="shared" si="9"/>
        <v>-0.14337478726506739</v>
      </c>
      <c r="AO13" s="16"/>
      <c r="AP13" s="15" t="s">
        <v>32</v>
      </c>
      <c r="AQ13" s="12">
        <v>37</v>
      </c>
      <c r="AR13" s="14">
        <v>1831400</v>
      </c>
      <c r="AS13" s="12">
        <f t="shared" si="10"/>
        <v>15</v>
      </c>
      <c r="AT13" s="14">
        <f t="shared" si="11"/>
        <v>580095</v>
      </c>
      <c r="AU13" s="13">
        <f t="shared" si="12"/>
        <v>0.46359200994162097</v>
      </c>
      <c r="AW13" s="16"/>
      <c r="AX13" s="15" t="s">
        <v>32</v>
      </c>
      <c r="AY13" s="38">
        <v>33</v>
      </c>
      <c r="AZ13" s="38">
        <v>1455171</v>
      </c>
      <c r="BA13" s="12">
        <f t="shared" si="13"/>
        <v>-4</v>
      </c>
      <c r="BB13" s="14">
        <f t="shared" si="14"/>
        <v>-376229</v>
      </c>
      <c r="BC13" s="13">
        <f t="shared" si="15"/>
        <v>-0.20543245604455607</v>
      </c>
      <c r="BE13" s="16"/>
      <c r="BF13" s="15" t="s">
        <v>32</v>
      </c>
      <c r="BG13" s="12">
        <v>37</v>
      </c>
      <c r="BH13" s="14">
        <v>1605419</v>
      </c>
      <c r="BI13" s="12">
        <f t="shared" si="16"/>
        <v>4</v>
      </c>
      <c r="BJ13" s="14">
        <f t="shared" si="17"/>
        <v>150248</v>
      </c>
      <c r="BK13" s="13">
        <f t="shared" si="18"/>
        <v>0.10325109557570897</v>
      </c>
      <c r="BL13" s="48"/>
      <c r="BM13" s="16"/>
      <c r="BN13" s="15" t="s">
        <v>32</v>
      </c>
      <c r="BO13" s="12">
        <v>37</v>
      </c>
      <c r="BP13" s="14">
        <v>1440976</v>
      </c>
      <c r="BQ13" s="12">
        <f t="shared" si="19"/>
        <v>0</v>
      </c>
      <c r="BR13" s="14">
        <f t="shared" si="20"/>
        <v>-164443</v>
      </c>
      <c r="BS13" s="13">
        <f t="shared" si="21"/>
        <v>-0.10242995753756495</v>
      </c>
      <c r="BU13" s="16"/>
      <c r="BV13" s="15" t="s">
        <v>32</v>
      </c>
      <c r="BW13" s="12">
        <v>19</v>
      </c>
      <c r="BX13" s="14">
        <v>724877</v>
      </c>
      <c r="BY13" s="12">
        <f t="shared" si="22"/>
        <v>-18</v>
      </c>
      <c r="BZ13" s="14">
        <f t="shared" si="23"/>
        <v>-716099</v>
      </c>
      <c r="CA13" s="13">
        <f t="shared" si="24"/>
        <v>-0.49695414774430663</v>
      </c>
      <c r="CC13" s="16"/>
      <c r="CD13" s="15" t="s">
        <v>32</v>
      </c>
      <c r="CE13" s="12">
        <v>21</v>
      </c>
      <c r="CF13" s="14">
        <v>889633</v>
      </c>
      <c r="CG13" s="12">
        <f t="shared" si="25"/>
        <v>2</v>
      </c>
      <c r="CH13" s="14">
        <f t="shared" si="26"/>
        <v>164756</v>
      </c>
      <c r="CI13" s="13">
        <f t="shared" si="27"/>
        <v>0.22728821579385192</v>
      </c>
      <c r="CK13" s="16"/>
      <c r="CL13" s="15" t="s">
        <v>32</v>
      </c>
      <c r="CM13" s="12">
        <v>16</v>
      </c>
      <c r="CN13" s="14">
        <v>779029</v>
      </c>
      <c r="CO13" s="12">
        <f t="shared" si="28"/>
        <v>-5</v>
      </c>
      <c r="CP13" s="14">
        <f t="shared" si="29"/>
        <v>-110604</v>
      </c>
      <c r="CQ13" s="13">
        <f t="shared" si="30"/>
        <v>-0.12432542407936756</v>
      </c>
      <c r="CS13" s="16"/>
      <c r="CT13" s="15" t="s">
        <v>32</v>
      </c>
      <c r="CU13" s="12">
        <v>44</v>
      </c>
      <c r="CV13" s="14">
        <v>2142422</v>
      </c>
      <c r="CW13" s="12">
        <f t="shared" si="31"/>
        <v>28</v>
      </c>
      <c r="CX13" s="14">
        <f t="shared" si="32"/>
        <v>1363393</v>
      </c>
      <c r="CY13" s="13">
        <f t="shared" si="33"/>
        <v>1.7501184166443098</v>
      </c>
    </row>
    <row r="14" spans="1:123" ht="16">
      <c r="A14" s="16"/>
      <c r="B14" s="15" t="s">
        <v>33</v>
      </c>
      <c r="C14" s="12">
        <v>49</v>
      </c>
      <c r="D14" s="14">
        <v>932038</v>
      </c>
      <c r="F14" s="14"/>
      <c r="G14" s="48"/>
      <c r="I14" s="16"/>
      <c r="J14" s="15" t="s">
        <v>33</v>
      </c>
      <c r="K14" s="12">
        <v>56</v>
      </c>
      <c r="L14" s="14">
        <v>1037676</v>
      </c>
      <c r="M14" s="12">
        <f t="shared" si="0"/>
        <v>7</v>
      </c>
      <c r="N14" s="14">
        <f t="shared" si="0"/>
        <v>105638</v>
      </c>
      <c r="O14" s="13">
        <f t="shared" si="1"/>
        <v>0.11334087236786483</v>
      </c>
      <c r="Q14" s="16"/>
      <c r="R14" s="15" t="s">
        <v>33</v>
      </c>
      <c r="S14" s="12">
        <v>98</v>
      </c>
      <c r="T14" s="14">
        <v>1999924</v>
      </c>
      <c r="U14" s="12">
        <f t="shared" si="2"/>
        <v>42</v>
      </c>
      <c r="V14" s="14">
        <f t="shared" si="2"/>
        <v>962248</v>
      </c>
      <c r="W14" s="13">
        <f t="shared" si="3"/>
        <v>0.927310644170242</v>
      </c>
      <c r="Y14" s="16"/>
      <c r="Z14" s="15" t="s">
        <v>33</v>
      </c>
      <c r="AA14" s="12">
        <v>79</v>
      </c>
      <c r="AB14" s="14">
        <v>1659238</v>
      </c>
      <c r="AC14" s="12">
        <f t="shared" si="4"/>
        <v>-19</v>
      </c>
      <c r="AD14" s="14">
        <f t="shared" si="5"/>
        <v>-340686</v>
      </c>
      <c r="AE14" s="13">
        <f t="shared" si="6"/>
        <v>-0.17034947327998465</v>
      </c>
      <c r="AG14" s="16"/>
      <c r="AH14" s="15" t="s">
        <v>33</v>
      </c>
      <c r="AI14" s="12">
        <v>87</v>
      </c>
      <c r="AJ14" s="14">
        <v>1668286</v>
      </c>
      <c r="AK14" s="12">
        <f t="shared" si="7"/>
        <v>8</v>
      </c>
      <c r="AL14" s="14">
        <f t="shared" si="8"/>
        <v>9048</v>
      </c>
      <c r="AM14" s="13">
        <f t="shared" si="9"/>
        <v>5.453105582200986E-3</v>
      </c>
      <c r="AO14" s="16"/>
      <c r="AP14" s="15" t="s">
        <v>33</v>
      </c>
      <c r="AQ14" s="12">
        <v>96</v>
      </c>
      <c r="AR14" s="14">
        <v>1960095</v>
      </c>
      <c r="AS14" s="12">
        <f t="shared" si="10"/>
        <v>9</v>
      </c>
      <c r="AT14" s="14">
        <f t="shared" si="11"/>
        <v>291809</v>
      </c>
      <c r="AU14" s="13">
        <f t="shared" si="12"/>
        <v>0.17491545214669427</v>
      </c>
      <c r="AW14" s="16"/>
      <c r="AX14" s="15" t="s">
        <v>33</v>
      </c>
      <c r="AY14" s="38">
        <v>84</v>
      </c>
      <c r="AZ14" s="38">
        <v>1572029</v>
      </c>
      <c r="BA14" s="12">
        <f t="shared" si="13"/>
        <v>-12</v>
      </c>
      <c r="BB14" s="14">
        <f t="shared" si="14"/>
        <v>-388066</v>
      </c>
      <c r="BC14" s="13">
        <f t="shared" si="15"/>
        <v>-0.19798326101540997</v>
      </c>
      <c r="BE14" s="16"/>
      <c r="BF14" s="15" t="s">
        <v>33</v>
      </c>
      <c r="BG14" s="12">
        <v>68</v>
      </c>
      <c r="BH14" s="14">
        <v>1338476</v>
      </c>
      <c r="BI14" s="12">
        <f t="shared" si="16"/>
        <v>-16</v>
      </c>
      <c r="BJ14" s="14">
        <f t="shared" si="17"/>
        <v>-233553</v>
      </c>
      <c r="BK14" s="13">
        <f t="shared" si="18"/>
        <v>-0.14856786993115267</v>
      </c>
      <c r="BL14" s="48"/>
      <c r="BM14" s="16"/>
      <c r="BN14" s="15" t="s">
        <v>33</v>
      </c>
      <c r="BO14" s="12">
        <v>51</v>
      </c>
      <c r="BP14" s="14">
        <v>958000</v>
      </c>
      <c r="BQ14" s="12">
        <f t="shared" si="19"/>
        <v>-17</v>
      </c>
      <c r="BR14" s="14">
        <f t="shared" si="20"/>
        <v>-380476</v>
      </c>
      <c r="BS14" s="13">
        <f t="shared" si="21"/>
        <v>-0.28426060683942034</v>
      </c>
      <c r="BU14" s="16"/>
      <c r="BV14" s="15" t="s">
        <v>33</v>
      </c>
      <c r="BW14" s="12">
        <v>34</v>
      </c>
      <c r="BX14" s="14">
        <v>718571</v>
      </c>
      <c r="BY14" s="12">
        <f t="shared" si="22"/>
        <v>-17</v>
      </c>
      <c r="BZ14" s="14">
        <f t="shared" si="23"/>
        <v>-239429</v>
      </c>
      <c r="CA14" s="13">
        <f t="shared" si="24"/>
        <v>-0.2499258872651357</v>
      </c>
      <c r="CC14" s="16"/>
      <c r="CD14" s="15" t="s">
        <v>33</v>
      </c>
      <c r="CE14" s="12">
        <v>55</v>
      </c>
      <c r="CF14" s="14">
        <v>1024952</v>
      </c>
      <c r="CG14" s="12">
        <f t="shared" si="25"/>
        <v>21</v>
      </c>
      <c r="CH14" s="14">
        <f t="shared" si="26"/>
        <v>306381</v>
      </c>
      <c r="CI14" s="13">
        <f t="shared" si="27"/>
        <v>0.42637540340481317</v>
      </c>
      <c r="CK14" s="16"/>
      <c r="CL14" s="15" t="s">
        <v>33</v>
      </c>
      <c r="CM14" s="12">
        <v>40</v>
      </c>
      <c r="CN14" s="14">
        <v>822762</v>
      </c>
      <c r="CO14" s="12">
        <f t="shared" si="28"/>
        <v>-15</v>
      </c>
      <c r="CP14" s="14">
        <f t="shared" si="29"/>
        <v>-202190</v>
      </c>
      <c r="CQ14" s="13">
        <f t="shared" si="30"/>
        <v>-0.19726777449090299</v>
      </c>
      <c r="CS14" s="16"/>
      <c r="CT14" s="15" t="s">
        <v>33</v>
      </c>
      <c r="CU14" s="12">
        <v>75</v>
      </c>
      <c r="CV14" s="14">
        <v>1462712</v>
      </c>
      <c r="CW14" s="12">
        <f t="shared" si="31"/>
        <v>35</v>
      </c>
      <c r="CX14" s="14">
        <f t="shared" si="32"/>
        <v>639950</v>
      </c>
      <c r="CY14" s="13">
        <f t="shared" si="33"/>
        <v>0.77780694781723025</v>
      </c>
    </row>
    <row r="15" spans="1:123" ht="16">
      <c r="A15" s="16"/>
      <c r="B15" s="15" t="s">
        <v>34</v>
      </c>
      <c r="C15" s="12">
        <v>125</v>
      </c>
      <c r="D15" s="14">
        <v>4791905</v>
      </c>
      <c r="F15" s="14"/>
      <c r="G15" s="48"/>
      <c r="I15" s="16"/>
      <c r="J15" s="15" t="s">
        <v>34</v>
      </c>
      <c r="K15" s="12">
        <v>141</v>
      </c>
      <c r="L15" s="14">
        <v>5310381</v>
      </c>
      <c r="M15" s="12">
        <f t="shared" si="0"/>
        <v>16</v>
      </c>
      <c r="N15" s="14">
        <f t="shared" si="0"/>
        <v>518476</v>
      </c>
      <c r="O15" s="13">
        <f t="shared" si="1"/>
        <v>0.10819830526690324</v>
      </c>
      <c r="Q15" s="16"/>
      <c r="R15" s="15" t="s">
        <v>34</v>
      </c>
      <c r="S15" s="12">
        <v>256</v>
      </c>
      <c r="T15" s="14">
        <v>9458952</v>
      </c>
      <c r="U15" s="12">
        <f t="shared" si="2"/>
        <v>115</v>
      </c>
      <c r="V15" s="14">
        <f t="shared" si="2"/>
        <v>4148571</v>
      </c>
      <c r="W15" s="13">
        <f t="shared" si="3"/>
        <v>0.78121908766998072</v>
      </c>
      <c r="Y15" s="16"/>
      <c r="Z15" s="15" t="s">
        <v>34</v>
      </c>
      <c r="AA15" s="12">
        <v>178</v>
      </c>
      <c r="AB15" s="14">
        <v>6600648</v>
      </c>
      <c r="AC15" s="12">
        <f t="shared" si="4"/>
        <v>-78</v>
      </c>
      <c r="AD15" s="14">
        <f t="shared" si="5"/>
        <v>-2858304</v>
      </c>
      <c r="AE15" s="13">
        <f t="shared" si="6"/>
        <v>-0.30217977636423149</v>
      </c>
      <c r="AG15" s="16"/>
      <c r="AH15" s="15" t="s">
        <v>34</v>
      </c>
      <c r="AI15" s="12">
        <v>161</v>
      </c>
      <c r="AJ15" s="14">
        <v>6074348</v>
      </c>
      <c r="AK15" s="12">
        <f t="shared" si="7"/>
        <v>-17</v>
      </c>
      <c r="AL15" s="14">
        <f t="shared" si="8"/>
        <v>-526300</v>
      </c>
      <c r="AM15" s="13">
        <f t="shared" si="9"/>
        <v>-7.9734595754841042E-2</v>
      </c>
      <c r="AO15" s="16"/>
      <c r="AP15" s="15" t="s">
        <v>34</v>
      </c>
      <c r="AQ15" s="12">
        <v>221</v>
      </c>
      <c r="AR15" s="14">
        <v>8243274</v>
      </c>
      <c r="AS15" s="12">
        <f t="shared" si="10"/>
        <v>60</v>
      </c>
      <c r="AT15" s="14">
        <f t="shared" si="11"/>
        <v>2168926</v>
      </c>
      <c r="AU15" s="13">
        <f t="shared" si="12"/>
        <v>0.35706317780937147</v>
      </c>
      <c r="AW15" s="16"/>
      <c r="AX15" s="15" t="s">
        <v>34</v>
      </c>
      <c r="AY15" s="38">
        <v>169</v>
      </c>
      <c r="AZ15" s="38">
        <v>6439851</v>
      </c>
      <c r="BA15" s="12">
        <f t="shared" si="13"/>
        <v>-52</v>
      </c>
      <c r="BB15" s="14">
        <f t="shared" si="14"/>
        <v>-1803423</v>
      </c>
      <c r="BC15" s="13">
        <f t="shared" si="15"/>
        <v>-0.21877508863589878</v>
      </c>
      <c r="BE15" s="16"/>
      <c r="BF15" s="15" t="s">
        <v>34</v>
      </c>
      <c r="BG15" s="12">
        <v>156</v>
      </c>
      <c r="BH15" s="14">
        <v>5880885</v>
      </c>
      <c r="BI15" s="12">
        <f t="shared" si="16"/>
        <v>-13</v>
      </c>
      <c r="BJ15" s="14">
        <f t="shared" si="17"/>
        <v>-558966</v>
      </c>
      <c r="BK15" s="13">
        <f t="shared" si="18"/>
        <v>-8.6797970946843342E-2</v>
      </c>
      <c r="BL15" s="48"/>
      <c r="BM15" s="16"/>
      <c r="BN15" s="15" t="s">
        <v>34</v>
      </c>
      <c r="BO15" s="12">
        <v>79</v>
      </c>
      <c r="BP15" s="14">
        <v>2837501</v>
      </c>
      <c r="BQ15" s="12">
        <f t="shared" si="19"/>
        <v>-77</v>
      </c>
      <c r="BR15" s="14">
        <f t="shared" si="20"/>
        <v>-3043384</v>
      </c>
      <c r="BS15" s="13">
        <f t="shared" si="21"/>
        <v>-0.51750442322881673</v>
      </c>
      <c r="BU15" s="16"/>
      <c r="BV15" s="15" t="s">
        <v>34</v>
      </c>
      <c r="BW15" s="12">
        <v>69</v>
      </c>
      <c r="BX15" s="14">
        <v>2472048</v>
      </c>
      <c r="BY15" s="12">
        <f t="shared" si="22"/>
        <v>-10</v>
      </c>
      <c r="BZ15" s="14">
        <f t="shared" si="23"/>
        <v>-365453</v>
      </c>
      <c r="CA15" s="13">
        <f t="shared" si="24"/>
        <v>-0.12879396342062963</v>
      </c>
      <c r="CC15" s="16"/>
      <c r="CD15" s="15" t="s">
        <v>34</v>
      </c>
      <c r="CE15" s="12">
        <v>68</v>
      </c>
      <c r="CF15" s="14">
        <v>2445750</v>
      </c>
      <c r="CG15" s="12">
        <f t="shared" si="25"/>
        <v>-1</v>
      </c>
      <c r="CH15" s="14">
        <f t="shared" si="26"/>
        <v>-26298</v>
      </c>
      <c r="CI15" s="13">
        <f t="shared" si="27"/>
        <v>-1.0638142948680608E-2</v>
      </c>
      <c r="CK15" s="16"/>
      <c r="CL15" s="15" t="s">
        <v>34</v>
      </c>
      <c r="CM15" s="12">
        <v>51</v>
      </c>
      <c r="CN15" s="14">
        <v>1854811</v>
      </c>
      <c r="CO15" s="12">
        <f t="shared" si="28"/>
        <v>-17</v>
      </c>
      <c r="CP15" s="14">
        <f t="shared" si="29"/>
        <v>-590939</v>
      </c>
      <c r="CQ15" s="13">
        <f t="shared" si="30"/>
        <v>-0.24161872636205664</v>
      </c>
      <c r="CS15" s="16"/>
      <c r="CT15" s="15" t="s">
        <v>34</v>
      </c>
      <c r="CU15" s="12">
        <v>174</v>
      </c>
      <c r="CV15" s="14">
        <v>6143238</v>
      </c>
      <c r="CW15" s="12">
        <f t="shared" si="31"/>
        <v>123</v>
      </c>
      <c r="CX15" s="14">
        <f t="shared" si="32"/>
        <v>4288427</v>
      </c>
      <c r="CY15" s="13">
        <f t="shared" si="33"/>
        <v>2.3120560531504286</v>
      </c>
    </row>
    <row r="16" spans="1:123" ht="16">
      <c r="A16" s="11" t="s">
        <v>47</v>
      </c>
      <c r="B16" s="11"/>
      <c r="C16" s="10">
        <v>1151</v>
      </c>
      <c r="D16" s="9">
        <v>9344248</v>
      </c>
      <c r="E16" s="27"/>
      <c r="F16" s="28"/>
      <c r="G16" s="49"/>
      <c r="I16" s="11" t="s">
        <v>47</v>
      </c>
      <c r="J16" s="11"/>
      <c r="K16" s="10">
        <v>1187</v>
      </c>
      <c r="L16" s="9">
        <v>9580821</v>
      </c>
      <c r="M16" s="10">
        <f t="shared" si="0"/>
        <v>36</v>
      </c>
      <c r="N16" s="9">
        <f t="shared" si="0"/>
        <v>236573</v>
      </c>
      <c r="O16" s="8">
        <f t="shared" si="1"/>
        <v>2.5317500134842311E-2</v>
      </c>
      <c r="Q16" s="11" t="s">
        <v>47</v>
      </c>
      <c r="R16" s="11"/>
      <c r="S16" s="10">
        <v>1495</v>
      </c>
      <c r="T16" s="9">
        <v>15658490</v>
      </c>
      <c r="U16" s="10">
        <f t="shared" si="2"/>
        <v>308</v>
      </c>
      <c r="V16" s="9">
        <f t="shared" si="2"/>
        <v>6077669</v>
      </c>
      <c r="W16" s="8">
        <f t="shared" si="3"/>
        <v>0.6343578488732855</v>
      </c>
      <c r="Y16" s="11" t="s">
        <v>47</v>
      </c>
      <c r="Z16" s="11"/>
      <c r="AA16" s="10">
        <v>1459</v>
      </c>
      <c r="AB16" s="9">
        <v>12765955</v>
      </c>
      <c r="AC16" s="10">
        <f t="shared" si="4"/>
        <v>-36</v>
      </c>
      <c r="AD16" s="9">
        <f t="shared" si="5"/>
        <v>-2892535</v>
      </c>
      <c r="AE16" s="8">
        <f t="shared" si="6"/>
        <v>-0.18472630502685763</v>
      </c>
      <c r="AG16" s="11" t="s">
        <v>47</v>
      </c>
      <c r="AH16" s="11"/>
      <c r="AI16" s="10">
        <v>1384</v>
      </c>
      <c r="AJ16" s="9">
        <v>11839028</v>
      </c>
      <c r="AK16" s="10">
        <f t="shared" si="7"/>
        <v>-75</v>
      </c>
      <c r="AL16" s="9">
        <f t="shared" si="8"/>
        <v>-926927</v>
      </c>
      <c r="AM16" s="8">
        <f t="shared" si="9"/>
        <v>-7.2609295583448322E-2</v>
      </c>
      <c r="AO16" s="11" t="s">
        <v>47</v>
      </c>
      <c r="AP16" s="11"/>
      <c r="AQ16" s="10">
        <v>1810</v>
      </c>
      <c r="AR16" s="9">
        <v>15956199</v>
      </c>
      <c r="AS16" s="10">
        <f t="shared" si="10"/>
        <v>426</v>
      </c>
      <c r="AT16" s="9">
        <f t="shared" si="11"/>
        <v>4117171</v>
      </c>
      <c r="AU16" s="8">
        <f t="shared" si="12"/>
        <v>0.34776258659072351</v>
      </c>
      <c r="AW16" s="11" t="s">
        <v>47</v>
      </c>
      <c r="AX16" s="11"/>
      <c r="AY16" s="39">
        <v>1652</v>
      </c>
      <c r="AZ16" s="39">
        <v>12773375</v>
      </c>
      <c r="BA16" s="10">
        <f t="shared" si="13"/>
        <v>-158</v>
      </c>
      <c r="BB16" s="9">
        <f t="shared" si="14"/>
        <v>-3182824</v>
      </c>
      <c r="BC16" s="8">
        <f t="shared" si="15"/>
        <v>-0.19947256862364277</v>
      </c>
      <c r="BE16" s="11" t="s">
        <v>47</v>
      </c>
      <c r="BF16" s="11"/>
      <c r="BG16" s="10">
        <v>1256</v>
      </c>
      <c r="BH16" s="9">
        <v>11571113</v>
      </c>
      <c r="BI16" s="10">
        <f t="shared" si="16"/>
        <v>-396</v>
      </c>
      <c r="BJ16" s="9">
        <f t="shared" si="17"/>
        <v>-1202262</v>
      </c>
      <c r="BK16" s="8">
        <f t="shared" si="18"/>
        <v>-9.4122500905203202E-2</v>
      </c>
      <c r="BL16" s="50"/>
      <c r="BM16" s="11" t="s">
        <v>47</v>
      </c>
      <c r="BN16" s="11"/>
      <c r="BO16" s="10">
        <v>1000</v>
      </c>
      <c r="BP16" s="9">
        <v>7382314</v>
      </c>
      <c r="BQ16" s="10">
        <f t="shared" si="19"/>
        <v>-256</v>
      </c>
      <c r="BR16" s="9">
        <f t="shared" si="20"/>
        <v>-4188799</v>
      </c>
      <c r="BS16" s="8">
        <f t="shared" si="21"/>
        <v>-0.36200484776183589</v>
      </c>
      <c r="BU16" s="11" t="s">
        <v>47</v>
      </c>
      <c r="BV16" s="11"/>
      <c r="BW16" s="10">
        <v>848</v>
      </c>
      <c r="BX16" s="9">
        <v>5722753</v>
      </c>
      <c r="BY16" s="10">
        <f t="shared" si="22"/>
        <v>-152</v>
      </c>
      <c r="BZ16" s="9">
        <f t="shared" si="23"/>
        <v>-1659561</v>
      </c>
      <c r="CA16" s="8">
        <f t="shared" si="24"/>
        <v>-0.22480227744308898</v>
      </c>
      <c r="CC16" s="11" t="s">
        <v>47</v>
      </c>
      <c r="CD16" s="11"/>
      <c r="CE16" s="10">
        <v>910</v>
      </c>
      <c r="CF16" s="9">
        <v>6314292</v>
      </c>
      <c r="CG16" s="10">
        <f t="shared" si="25"/>
        <v>62</v>
      </c>
      <c r="CH16" s="9">
        <f t="shared" si="26"/>
        <v>591539</v>
      </c>
      <c r="CI16" s="8">
        <f t="shared" si="27"/>
        <v>0.1033661596088456</v>
      </c>
      <c r="CK16" s="11" t="s">
        <v>47</v>
      </c>
      <c r="CL16" s="11"/>
      <c r="CM16" s="10">
        <v>805</v>
      </c>
      <c r="CN16" s="10">
        <v>5171490</v>
      </c>
      <c r="CO16" s="10">
        <f t="shared" si="28"/>
        <v>-105</v>
      </c>
      <c r="CP16" s="9">
        <f t="shared" si="29"/>
        <v>-1142802</v>
      </c>
      <c r="CQ16" s="8">
        <f t="shared" si="30"/>
        <v>-0.18098656191382978</v>
      </c>
      <c r="CS16" s="11" t="s">
        <v>47</v>
      </c>
      <c r="CT16" s="11"/>
      <c r="CU16" s="10">
        <v>1044</v>
      </c>
      <c r="CV16" s="10">
        <v>11837287</v>
      </c>
      <c r="CW16" s="10">
        <f t="shared" si="31"/>
        <v>239</v>
      </c>
      <c r="CX16" s="9">
        <f t="shared" si="32"/>
        <v>6665797</v>
      </c>
      <c r="CY16" s="8">
        <f t="shared" si="33"/>
        <v>1.2889509599747848</v>
      </c>
    </row>
    <row r="17" spans="1:123" ht="18">
      <c r="A17" s="16">
        <v>76</v>
      </c>
      <c r="B17" s="30" t="s">
        <v>45</v>
      </c>
      <c r="C17" s="53">
        <v>5945</v>
      </c>
      <c r="D17" s="54"/>
      <c r="E17" s="54"/>
      <c r="F17" s="54"/>
      <c r="G17" s="54"/>
      <c r="H17" s="54"/>
      <c r="I17" s="16">
        <v>76</v>
      </c>
      <c r="J17" s="30" t="s">
        <v>45</v>
      </c>
      <c r="K17" s="53">
        <v>4495</v>
      </c>
      <c r="L17" s="54"/>
      <c r="M17" s="54"/>
      <c r="N17" s="54"/>
      <c r="O17" s="54"/>
      <c r="P17" s="54"/>
      <c r="Q17" s="16">
        <v>76</v>
      </c>
      <c r="R17" s="30" t="s">
        <v>45</v>
      </c>
      <c r="S17" s="53">
        <v>5423</v>
      </c>
      <c r="T17" s="54"/>
      <c r="U17" s="54"/>
      <c r="V17" s="54"/>
      <c r="W17" s="54"/>
      <c r="X17" s="54"/>
      <c r="Y17" s="16">
        <v>76</v>
      </c>
      <c r="Z17" s="30" t="s">
        <v>45</v>
      </c>
      <c r="AA17" s="53">
        <v>5576</v>
      </c>
      <c r="AB17" s="54"/>
      <c r="AC17" s="54"/>
      <c r="AD17" s="54"/>
      <c r="AE17" s="54"/>
      <c r="AF17" s="54"/>
      <c r="AG17" s="16">
        <v>76</v>
      </c>
      <c r="AH17" s="30" t="s">
        <v>45</v>
      </c>
      <c r="AI17" s="53">
        <v>5566</v>
      </c>
      <c r="AJ17" s="54"/>
      <c r="AK17" s="54"/>
      <c r="AL17" s="54"/>
      <c r="AM17" s="54"/>
      <c r="AN17" s="54"/>
      <c r="AO17" s="16">
        <v>76</v>
      </c>
      <c r="AP17" s="30" t="s">
        <v>45</v>
      </c>
      <c r="AQ17" s="53">
        <v>7644</v>
      </c>
      <c r="AR17" s="54"/>
      <c r="AS17" s="54"/>
      <c r="AT17" s="54"/>
      <c r="AU17" s="54"/>
      <c r="AV17" s="54"/>
      <c r="AW17" s="16">
        <v>76</v>
      </c>
      <c r="AX17" s="30" t="s">
        <v>45</v>
      </c>
      <c r="AY17" s="53">
        <v>9607</v>
      </c>
      <c r="AZ17" s="54"/>
      <c r="BA17" s="54"/>
      <c r="BB17" s="54"/>
      <c r="BC17" s="54"/>
      <c r="BD17" s="54"/>
      <c r="BE17" s="16">
        <v>76</v>
      </c>
      <c r="BF17" s="30" t="s">
        <v>45</v>
      </c>
      <c r="BG17" s="53">
        <v>5259</v>
      </c>
      <c r="BH17" s="54"/>
      <c r="BI17" s="54"/>
      <c r="BJ17" s="54"/>
      <c r="BK17" s="54"/>
      <c r="BL17" s="54"/>
      <c r="BM17" s="16">
        <v>76</v>
      </c>
      <c r="BN17" s="30" t="s">
        <v>45</v>
      </c>
      <c r="BO17" s="53">
        <v>5635</v>
      </c>
      <c r="BP17" s="54"/>
      <c r="BQ17" s="54"/>
      <c r="BR17" s="54"/>
      <c r="BS17" s="54"/>
      <c r="BT17" s="54"/>
      <c r="BU17" s="16">
        <v>76</v>
      </c>
      <c r="BV17" s="30" t="s">
        <v>45</v>
      </c>
      <c r="BW17" s="53">
        <v>4681</v>
      </c>
      <c r="BX17" s="54"/>
      <c r="BY17" s="54"/>
      <c r="BZ17" s="54"/>
      <c r="CA17" s="54"/>
      <c r="CB17" s="54"/>
      <c r="CC17" s="16">
        <v>76</v>
      </c>
      <c r="CD17" s="30" t="s">
        <v>45</v>
      </c>
      <c r="CE17" s="53">
        <v>5444</v>
      </c>
      <c r="CF17" s="54"/>
      <c r="CG17" s="54"/>
      <c r="CH17" s="54"/>
      <c r="CI17" s="54"/>
      <c r="CJ17" s="54"/>
      <c r="CK17" s="16">
        <v>76</v>
      </c>
      <c r="CL17" s="30" t="s">
        <v>45</v>
      </c>
      <c r="CM17" s="53">
        <v>5491</v>
      </c>
      <c r="CN17" s="54"/>
      <c r="CO17" s="54"/>
      <c r="CP17" s="54"/>
      <c r="CQ17" s="54"/>
      <c r="CR17" s="54"/>
      <c r="CS17" s="16">
        <v>76</v>
      </c>
      <c r="CT17" s="30" t="s">
        <v>45</v>
      </c>
      <c r="CU17" s="53">
        <v>4488</v>
      </c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</row>
    <row r="18" spans="1:123" ht="18">
      <c r="A18" s="16"/>
      <c r="B18" s="30" t="s">
        <v>46</v>
      </c>
      <c r="C18" s="55">
        <v>9</v>
      </c>
      <c r="D18" s="54"/>
      <c r="E18" s="54"/>
      <c r="F18" s="54"/>
      <c r="G18" s="54"/>
      <c r="H18" s="54"/>
      <c r="I18" s="16"/>
      <c r="J18" s="30" t="s">
        <v>46</v>
      </c>
      <c r="K18" s="55">
        <v>13</v>
      </c>
      <c r="L18" s="54"/>
      <c r="M18" s="54"/>
      <c r="N18" s="54"/>
      <c r="O18" s="54"/>
      <c r="P18" s="54"/>
      <c r="Q18" s="16"/>
      <c r="R18" s="30" t="s">
        <v>46</v>
      </c>
      <c r="S18" s="55">
        <v>12</v>
      </c>
      <c r="T18" s="54"/>
      <c r="U18" s="54"/>
      <c r="V18" s="54"/>
      <c r="W18" s="54"/>
      <c r="X18" s="54"/>
      <c r="Y18" s="16"/>
      <c r="Z18" s="30" t="s">
        <v>46</v>
      </c>
      <c r="AA18" s="55">
        <v>10</v>
      </c>
      <c r="AB18" s="54"/>
      <c r="AC18" s="54"/>
      <c r="AD18" s="54"/>
      <c r="AE18" s="54"/>
      <c r="AF18" s="54"/>
      <c r="AG18" s="16"/>
      <c r="AH18" s="30" t="s">
        <v>46</v>
      </c>
      <c r="AI18" s="55">
        <v>15</v>
      </c>
      <c r="AJ18" s="54"/>
      <c r="AK18" s="54"/>
      <c r="AL18" s="54"/>
      <c r="AM18" s="54"/>
      <c r="AN18" s="54"/>
      <c r="AO18" s="16"/>
      <c r="AP18" s="30" t="s">
        <v>46</v>
      </c>
      <c r="AQ18" s="55">
        <v>20</v>
      </c>
      <c r="AR18" s="54"/>
      <c r="AS18" s="54"/>
      <c r="AT18" s="54"/>
      <c r="AU18" s="54"/>
      <c r="AV18" s="54"/>
      <c r="AW18" s="16"/>
      <c r="AX18" s="30" t="s">
        <v>46</v>
      </c>
      <c r="AY18" s="55">
        <v>21</v>
      </c>
      <c r="AZ18" s="54"/>
      <c r="BA18" s="54"/>
      <c r="BB18" s="54"/>
      <c r="BC18" s="54"/>
      <c r="BD18" s="54"/>
      <c r="BE18" s="16"/>
      <c r="BF18" s="30" t="s">
        <v>46</v>
      </c>
      <c r="BG18" s="55">
        <v>14</v>
      </c>
      <c r="BH18" s="54"/>
      <c r="BI18" s="54"/>
      <c r="BJ18" s="54"/>
      <c r="BK18" s="54"/>
      <c r="BL18" s="54"/>
      <c r="BM18" s="16"/>
      <c r="BN18" s="30" t="s">
        <v>46</v>
      </c>
      <c r="BO18" s="55">
        <v>17</v>
      </c>
      <c r="BP18" s="54"/>
      <c r="BQ18" s="54"/>
      <c r="BR18" s="54"/>
      <c r="BS18" s="54"/>
      <c r="BT18" s="54"/>
      <c r="BU18" s="16"/>
      <c r="BV18" s="30" t="s">
        <v>46</v>
      </c>
      <c r="BW18" s="55">
        <v>7</v>
      </c>
      <c r="BX18" s="54"/>
      <c r="BY18" s="54"/>
      <c r="BZ18" s="54"/>
      <c r="CA18" s="54"/>
      <c r="CB18" s="54"/>
      <c r="CC18" s="16"/>
      <c r="CD18" s="30" t="s">
        <v>46</v>
      </c>
      <c r="CE18" s="55">
        <v>24</v>
      </c>
      <c r="CF18" s="54"/>
      <c r="CG18" s="54"/>
      <c r="CH18" s="54"/>
      <c r="CI18" s="54"/>
      <c r="CJ18" s="54"/>
      <c r="CK18" s="16"/>
      <c r="CL18" s="30" t="s">
        <v>46</v>
      </c>
      <c r="CM18" s="55">
        <v>23</v>
      </c>
      <c r="CN18" s="54"/>
      <c r="CO18" s="54"/>
      <c r="CP18" s="54"/>
      <c r="CQ18" s="54"/>
      <c r="CR18" s="54"/>
      <c r="CS18" s="16"/>
      <c r="CT18" s="30" t="s">
        <v>46</v>
      </c>
      <c r="CU18" s="55">
        <v>17</v>
      </c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</row>
    <row r="19" spans="1:123" ht="16">
      <c r="A19" s="16"/>
      <c r="B19" s="15" t="s">
        <v>26</v>
      </c>
      <c r="C19" s="12">
        <v>190</v>
      </c>
      <c r="D19" s="14">
        <v>174764</v>
      </c>
      <c r="F19" s="14"/>
      <c r="G19" s="48"/>
      <c r="I19" s="16"/>
      <c r="J19" s="15" t="s">
        <v>26</v>
      </c>
      <c r="K19" s="12">
        <v>219</v>
      </c>
      <c r="L19" s="14">
        <v>185330</v>
      </c>
      <c r="M19" s="12">
        <f t="shared" ref="M19:N28" si="34">K19-C19</f>
        <v>29</v>
      </c>
      <c r="N19" s="14">
        <f t="shared" si="34"/>
        <v>10566</v>
      </c>
      <c r="O19" s="13">
        <f t="shared" ref="O19:O28" si="35">(L19-D19)/D19</f>
        <v>6.0458675699800873E-2</v>
      </c>
      <c r="Q19" s="16"/>
      <c r="R19" s="15" t="s">
        <v>26</v>
      </c>
      <c r="S19" s="12">
        <v>239</v>
      </c>
      <c r="T19" s="14">
        <v>215110</v>
      </c>
      <c r="U19" s="12">
        <f t="shared" ref="U19:V28" si="36">S19-K19</f>
        <v>20</v>
      </c>
      <c r="V19" s="14">
        <f t="shared" si="36"/>
        <v>29780</v>
      </c>
      <c r="W19" s="13">
        <f t="shared" ref="W19:W28" si="37">(T19-L19)/L19</f>
        <v>0.16068634327955539</v>
      </c>
      <c r="Y19" s="16"/>
      <c r="Z19" s="15" t="s">
        <v>26</v>
      </c>
      <c r="AA19" s="12">
        <v>222</v>
      </c>
      <c r="AB19" s="14">
        <v>191226</v>
      </c>
      <c r="AC19" s="12">
        <f t="shared" ref="AC19:AC28" si="38">AA19-S19</f>
        <v>-17</v>
      </c>
      <c r="AD19" s="14">
        <f t="shared" ref="AD19:AD28" si="39">AB19-T19</f>
        <v>-23884</v>
      </c>
      <c r="AE19" s="13">
        <f t="shared" ref="AE19:AE28" si="40">(AB19-T19)/T19</f>
        <v>-0.11103156524568825</v>
      </c>
      <c r="AG19" s="16"/>
      <c r="AH19" s="15" t="s">
        <v>26</v>
      </c>
      <c r="AI19" s="12">
        <v>250</v>
      </c>
      <c r="AJ19" s="14">
        <v>220169</v>
      </c>
      <c r="AK19" s="12">
        <f t="shared" ref="AK19:AK28" si="41">AI19-AA19</f>
        <v>28</v>
      </c>
      <c r="AL19" s="14">
        <f t="shared" ref="AL19:AL28" si="42">AJ19-AB19</f>
        <v>28943</v>
      </c>
      <c r="AM19" s="13">
        <f t="shared" ref="AM19:AM28" si="43">(AJ19-AB19)/AB19</f>
        <v>0.15135494127367619</v>
      </c>
      <c r="AO19" s="16"/>
      <c r="AP19" s="15" t="s">
        <v>26</v>
      </c>
      <c r="AQ19" s="12">
        <v>356</v>
      </c>
      <c r="AR19" s="14">
        <v>313188</v>
      </c>
      <c r="AS19" s="12">
        <f t="shared" ref="AS19:AS28" si="44">AQ19-AI19</f>
        <v>106</v>
      </c>
      <c r="AT19" s="14">
        <f t="shared" ref="AT19:AT28" si="45">AR19-AJ19</f>
        <v>93019</v>
      </c>
      <c r="AU19" s="13">
        <f t="shared" ref="AU19:AU28" si="46">(AR19-AJ19)/AJ19</f>
        <v>0.4224890879279099</v>
      </c>
      <c r="AW19" s="16"/>
      <c r="AX19" s="15" t="s">
        <v>26</v>
      </c>
      <c r="AY19" s="38">
        <v>334</v>
      </c>
      <c r="AZ19" s="38">
        <v>310674</v>
      </c>
      <c r="BA19" s="12">
        <f t="shared" ref="BA19:BA28" si="47">AY19-AQ19</f>
        <v>-22</v>
      </c>
      <c r="BB19" s="14">
        <f t="shared" ref="BB19:BB28" si="48">AZ19-AR19</f>
        <v>-2514</v>
      </c>
      <c r="BC19" s="13">
        <f t="shared" ref="BC19:BC28" si="49">(AZ19-AR19)/AR19</f>
        <v>-8.0271274761485115E-3</v>
      </c>
      <c r="BE19" s="16"/>
      <c r="BF19" s="15" t="s">
        <v>26</v>
      </c>
      <c r="BG19" s="12">
        <v>227</v>
      </c>
      <c r="BH19" s="14">
        <v>198181</v>
      </c>
      <c r="BI19" s="12">
        <f t="shared" ref="BI19:BI28" si="50">BG19-AY19</f>
        <v>-107</v>
      </c>
      <c r="BJ19" s="14">
        <f t="shared" ref="BJ19:BJ28" si="51">BH19-AZ19</f>
        <v>-112493</v>
      </c>
      <c r="BK19" s="13">
        <f t="shared" ref="BK19:BK28" si="52">(BH19-AZ19)/AZ19</f>
        <v>-0.36209338406174962</v>
      </c>
      <c r="BL19" s="48"/>
      <c r="BM19" s="16"/>
      <c r="BN19" s="15" t="s">
        <v>26</v>
      </c>
      <c r="BO19" s="12">
        <v>232</v>
      </c>
      <c r="BP19" s="14">
        <v>196436</v>
      </c>
      <c r="BQ19" s="12">
        <f t="shared" ref="BQ19:BQ28" si="53">BO19-BG19</f>
        <v>5</v>
      </c>
      <c r="BR19" s="14">
        <f t="shared" ref="BR19:BR28" si="54">BP19-BH19</f>
        <v>-1745</v>
      </c>
      <c r="BS19" s="13">
        <f t="shared" ref="BS19:BS28" si="55">(BP19-BH19)/BH19</f>
        <v>-8.8050822228165158E-3</v>
      </c>
      <c r="BU19" s="16"/>
      <c r="BV19" s="15" t="s">
        <v>26</v>
      </c>
      <c r="BW19" s="12">
        <v>154</v>
      </c>
      <c r="BX19" s="14">
        <v>143286</v>
      </c>
      <c r="BY19" s="12">
        <f t="shared" ref="BY19:BY28" si="56">BW19-BO19</f>
        <v>-78</v>
      </c>
      <c r="BZ19" s="14">
        <f t="shared" ref="BZ19:BZ28" si="57">BX19-BP19</f>
        <v>-53150</v>
      </c>
      <c r="CA19" s="13">
        <f t="shared" ref="CA19:CA28" si="58">(BX19-BP19)/BP19</f>
        <v>-0.270571585656397</v>
      </c>
      <c r="CC19" s="16"/>
      <c r="CD19" s="15" t="s">
        <v>26</v>
      </c>
      <c r="CE19" s="12">
        <v>191</v>
      </c>
      <c r="CF19" s="14">
        <v>168693</v>
      </c>
      <c r="CG19" s="12">
        <f t="shared" ref="CG19:CG28" si="59">CE19-BW19</f>
        <v>37</v>
      </c>
      <c r="CH19" s="14">
        <f t="shared" ref="CH19:CH28" si="60">CF19-BX19</f>
        <v>25407</v>
      </c>
      <c r="CI19" s="13">
        <f t="shared" ref="CI19:CI28" si="61">(CF19-BX19)/BX19</f>
        <v>0.17731669528076713</v>
      </c>
      <c r="CK19" s="16"/>
      <c r="CL19" s="15" t="s">
        <v>26</v>
      </c>
      <c r="CM19" s="12">
        <v>257</v>
      </c>
      <c r="CN19" s="14">
        <v>237865</v>
      </c>
      <c r="CO19" s="12">
        <f t="shared" ref="CO19:CO28" si="62">CM19-CE19</f>
        <v>66</v>
      </c>
      <c r="CP19" s="14">
        <f t="shared" ref="CP19:CP28" si="63">CN19-CF19</f>
        <v>69172</v>
      </c>
      <c r="CQ19" s="13">
        <f t="shared" ref="CQ19:CQ28" si="64">(CN19-CF19)/CF19</f>
        <v>0.41004665279531455</v>
      </c>
      <c r="CS19" s="16"/>
      <c r="CT19" s="15" t="s">
        <v>26</v>
      </c>
      <c r="CU19" s="12">
        <v>190</v>
      </c>
      <c r="CV19" s="14">
        <v>169149</v>
      </c>
      <c r="CW19" s="12">
        <f t="shared" ref="CW19:CW28" si="65">CU19-CM19</f>
        <v>-67</v>
      </c>
      <c r="CX19" s="14">
        <f t="shared" ref="CX19:CX28" si="66">CV19-CN19</f>
        <v>-68716</v>
      </c>
      <c r="CY19" s="13">
        <f t="shared" ref="CY19:CY28" si="67">(CV19-CN19)/CN19</f>
        <v>-0.28888655329703822</v>
      </c>
    </row>
    <row r="20" spans="1:123" ht="16">
      <c r="A20" s="16"/>
      <c r="B20" s="15" t="s">
        <v>27</v>
      </c>
      <c r="C20" s="12">
        <v>294</v>
      </c>
      <c r="D20" s="14">
        <v>260242</v>
      </c>
      <c r="F20" s="14"/>
      <c r="G20" s="48"/>
      <c r="I20" s="16"/>
      <c r="J20" s="15" t="s">
        <v>27</v>
      </c>
      <c r="K20" s="12">
        <v>305</v>
      </c>
      <c r="L20" s="14">
        <v>307658</v>
      </c>
      <c r="M20" s="12">
        <f t="shared" si="34"/>
        <v>11</v>
      </c>
      <c r="N20" s="14">
        <f t="shared" si="34"/>
        <v>47416</v>
      </c>
      <c r="O20" s="13">
        <f t="shared" si="35"/>
        <v>0.18219964494585808</v>
      </c>
      <c r="Q20" s="16"/>
      <c r="R20" s="15" t="s">
        <v>27</v>
      </c>
      <c r="S20" s="12">
        <v>319</v>
      </c>
      <c r="T20" s="14">
        <v>303010</v>
      </c>
      <c r="U20" s="12">
        <f t="shared" si="36"/>
        <v>14</v>
      </c>
      <c r="V20" s="14">
        <f t="shared" si="36"/>
        <v>-4648</v>
      </c>
      <c r="W20" s="13">
        <f t="shared" si="37"/>
        <v>-1.5107684506822511E-2</v>
      </c>
      <c r="Y20" s="16"/>
      <c r="Z20" s="15" t="s">
        <v>27</v>
      </c>
      <c r="AA20" s="12">
        <v>333</v>
      </c>
      <c r="AB20" s="14">
        <v>322963</v>
      </c>
      <c r="AC20" s="12">
        <f t="shared" si="38"/>
        <v>14</v>
      </c>
      <c r="AD20" s="14">
        <f t="shared" si="39"/>
        <v>19953</v>
      </c>
      <c r="AE20" s="13">
        <f t="shared" si="40"/>
        <v>6.5849311903897562E-2</v>
      </c>
      <c r="AG20" s="16"/>
      <c r="AH20" s="15" t="s">
        <v>27</v>
      </c>
      <c r="AI20" s="12">
        <v>330</v>
      </c>
      <c r="AJ20" s="14">
        <v>304669</v>
      </c>
      <c r="AK20" s="12">
        <f t="shared" si="41"/>
        <v>-3</v>
      </c>
      <c r="AL20" s="14">
        <f t="shared" si="42"/>
        <v>-18294</v>
      </c>
      <c r="AM20" s="13">
        <f t="shared" si="43"/>
        <v>-5.6644259559144546E-2</v>
      </c>
      <c r="AO20" s="16"/>
      <c r="AP20" s="15" t="s">
        <v>27</v>
      </c>
      <c r="AQ20" s="12">
        <v>465</v>
      </c>
      <c r="AR20" s="14">
        <v>471372</v>
      </c>
      <c r="AS20" s="12">
        <f t="shared" si="44"/>
        <v>135</v>
      </c>
      <c r="AT20" s="14">
        <f t="shared" si="45"/>
        <v>166703</v>
      </c>
      <c r="AU20" s="13">
        <f t="shared" si="46"/>
        <v>0.54716101736638778</v>
      </c>
      <c r="AW20" s="16"/>
      <c r="AX20" s="15" t="s">
        <v>27</v>
      </c>
      <c r="AY20" s="38">
        <v>463</v>
      </c>
      <c r="AZ20" s="38">
        <v>426310</v>
      </c>
      <c r="BA20" s="12">
        <f t="shared" si="47"/>
        <v>-2</v>
      </c>
      <c r="BB20" s="14">
        <f t="shared" si="48"/>
        <v>-45062</v>
      </c>
      <c r="BC20" s="13">
        <f t="shared" si="49"/>
        <v>-9.5597532309937797E-2</v>
      </c>
      <c r="BE20" s="16"/>
      <c r="BF20" s="15" t="s">
        <v>27</v>
      </c>
      <c r="BG20" s="12">
        <v>295</v>
      </c>
      <c r="BH20" s="14">
        <v>295076</v>
      </c>
      <c r="BI20" s="12">
        <f t="shared" si="50"/>
        <v>-168</v>
      </c>
      <c r="BJ20" s="14">
        <f t="shared" si="51"/>
        <v>-131234</v>
      </c>
      <c r="BK20" s="13">
        <f t="shared" si="52"/>
        <v>-0.30783702000891372</v>
      </c>
      <c r="BL20" s="48"/>
      <c r="BM20" s="16"/>
      <c r="BN20" s="15" t="s">
        <v>27</v>
      </c>
      <c r="BO20" s="12">
        <v>323</v>
      </c>
      <c r="BP20" s="14">
        <v>309924</v>
      </c>
      <c r="BQ20" s="12">
        <f t="shared" si="53"/>
        <v>28</v>
      </c>
      <c r="BR20" s="14">
        <f t="shared" si="54"/>
        <v>14848</v>
      </c>
      <c r="BS20" s="13">
        <f t="shared" si="55"/>
        <v>5.0319239789071289E-2</v>
      </c>
      <c r="BU20" s="16"/>
      <c r="BV20" s="15" t="s">
        <v>27</v>
      </c>
      <c r="BW20" s="12">
        <v>290</v>
      </c>
      <c r="BX20" s="14">
        <v>317242</v>
      </c>
      <c r="BY20" s="12">
        <f t="shared" si="56"/>
        <v>-33</v>
      </c>
      <c r="BZ20" s="14">
        <f t="shared" si="57"/>
        <v>7318</v>
      </c>
      <c r="CA20" s="13">
        <f t="shared" si="58"/>
        <v>2.3612240420232057E-2</v>
      </c>
      <c r="CC20" s="16"/>
      <c r="CD20" s="15" t="s">
        <v>27</v>
      </c>
      <c r="CE20" s="12">
        <v>314</v>
      </c>
      <c r="CF20" s="14">
        <v>320219</v>
      </c>
      <c r="CG20" s="12">
        <f t="shared" si="59"/>
        <v>24</v>
      </c>
      <c r="CH20" s="14">
        <f t="shared" si="60"/>
        <v>2977</v>
      </c>
      <c r="CI20" s="13">
        <f t="shared" si="61"/>
        <v>9.3840033791238227E-3</v>
      </c>
      <c r="CK20" s="16"/>
      <c r="CL20" s="15" t="s">
        <v>27</v>
      </c>
      <c r="CM20" s="12">
        <v>308</v>
      </c>
      <c r="CN20" s="14">
        <v>301250</v>
      </c>
      <c r="CO20" s="12">
        <f t="shared" si="62"/>
        <v>-6</v>
      </c>
      <c r="CP20" s="14">
        <f t="shared" si="63"/>
        <v>-18969</v>
      </c>
      <c r="CQ20" s="13">
        <f t="shared" si="64"/>
        <v>-5.9237584278259564E-2</v>
      </c>
      <c r="CS20" s="16"/>
      <c r="CT20" s="15" t="s">
        <v>27</v>
      </c>
      <c r="CU20" s="12">
        <v>267</v>
      </c>
      <c r="CV20" s="14">
        <v>249254</v>
      </c>
      <c r="CW20" s="12">
        <f t="shared" si="65"/>
        <v>-41</v>
      </c>
      <c r="CX20" s="14">
        <f t="shared" si="66"/>
        <v>-51996</v>
      </c>
      <c r="CY20" s="13">
        <f t="shared" si="67"/>
        <v>-0.17260082987551867</v>
      </c>
    </row>
    <row r="21" spans="1:123" ht="16">
      <c r="A21" s="16"/>
      <c r="B21" s="15" t="s">
        <v>28</v>
      </c>
      <c r="C21" s="12">
        <v>61</v>
      </c>
      <c r="D21" s="14">
        <v>400467</v>
      </c>
      <c r="F21" s="14"/>
      <c r="G21" s="48"/>
      <c r="I21" s="16"/>
      <c r="J21" s="15" t="s">
        <v>28</v>
      </c>
      <c r="K21" s="12">
        <v>55</v>
      </c>
      <c r="L21" s="14">
        <v>345095</v>
      </c>
      <c r="M21" s="12">
        <f t="shared" si="34"/>
        <v>-6</v>
      </c>
      <c r="N21" s="14">
        <f t="shared" si="34"/>
        <v>-55372</v>
      </c>
      <c r="O21" s="13">
        <f t="shared" si="35"/>
        <v>-0.13826857144284049</v>
      </c>
      <c r="Q21" s="16"/>
      <c r="R21" s="15" t="s">
        <v>28</v>
      </c>
      <c r="S21" s="12">
        <v>73</v>
      </c>
      <c r="T21" s="14">
        <v>450829</v>
      </c>
      <c r="U21" s="12">
        <f t="shared" si="36"/>
        <v>18</v>
      </c>
      <c r="V21" s="14">
        <f t="shared" si="36"/>
        <v>105734</v>
      </c>
      <c r="W21" s="13">
        <f t="shared" si="37"/>
        <v>0.30639099378432028</v>
      </c>
      <c r="Y21" s="16"/>
      <c r="Z21" s="15" t="s">
        <v>28</v>
      </c>
      <c r="AA21" s="12">
        <v>56</v>
      </c>
      <c r="AB21" s="14">
        <v>343848</v>
      </c>
      <c r="AC21" s="12">
        <f t="shared" si="38"/>
        <v>-17</v>
      </c>
      <c r="AD21" s="14">
        <f t="shared" si="39"/>
        <v>-106981</v>
      </c>
      <c r="AE21" s="13">
        <f t="shared" si="40"/>
        <v>-0.23729839917130441</v>
      </c>
      <c r="AG21" s="16"/>
      <c r="AH21" s="15" t="s">
        <v>28</v>
      </c>
      <c r="AI21" s="12">
        <v>64</v>
      </c>
      <c r="AJ21" s="14">
        <v>395581</v>
      </c>
      <c r="AK21" s="12">
        <f t="shared" si="41"/>
        <v>8</v>
      </c>
      <c r="AL21" s="14">
        <f t="shared" si="42"/>
        <v>51733</v>
      </c>
      <c r="AM21" s="13">
        <f t="shared" si="43"/>
        <v>0.15045310718689653</v>
      </c>
      <c r="AO21" s="16"/>
      <c r="AP21" s="15" t="s">
        <v>28</v>
      </c>
      <c r="AQ21" s="12">
        <v>126</v>
      </c>
      <c r="AR21" s="14">
        <v>775562</v>
      </c>
      <c r="AS21" s="12">
        <f t="shared" si="44"/>
        <v>62</v>
      </c>
      <c r="AT21" s="14">
        <f t="shared" si="45"/>
        <v>379981</v>
      </c>
      <c r="AU21" s="13">
        <f t="shared" si="46"/>
        <v>0.96056433448522549</v>
      </c>
      <c r="AW21" s="16"/>
      <c r="AX21" s="15" t="s">
        <v>28</v>
      </c>
      <c r="AY21" s="38">
        <v>151</v>
      </c>
      <c r="AZ21" s="38">
        <v>926562</v>
      </c>
      <c r="BA21" s="12">
        <f t="shared" si="47"/>
        <v>25</v>
      </c>
      <c r="BB21" s="14">
        <f t="shared" si="48"/>
        <v>151000</v>
      </c>
      <c r="BC21" s="13">
        <f t="shared" si="49"/>
        <v>0.19469752257072936</v>
      </c>
      <c r="BE21" s="16"/>
      <c r="BF21" s="15" t="s">
        <v>28</v>
      </c>
      <c r="BG21" s="12">
        <v>67</v>
      </c>
      <c r="BH21" s="14">
        <v>405362</v>
      </c>
      <c r="BI21" s="12">
        <f t="shared" si="50"/>
        <v>-84</v>
      </c>
      <c r="BJ21" s="14">
        <f t="shared" si="51"/>
        <v>-521200</v>
      </c>
      <c r="BK21" s="13">
        <f t="shared" si="52"/>
        <v>-0.56250957842000859</v>
      </c>
      <c r="BL21" s="48"/>
      <c r="BM21" s="16"/>
      <c r="BN21" s="15" t="s">
        <v>28</v>
      </c>
      <c r="BO21" s="12">
        <v>61</v>
      </c>
      <c r="BP21" s="14">
        <v>377133</v>
      </c>
      <c r="BQ21" s="12">
        <f t="shared" si="53"/>
        <v>-6</v>
      </c>
      <c r="BR21" s="14">
        <f t="shared" si="54"/>
        <v>-28229</v>
      </c>
      <c r="BS21" s="13">
        <f t="shared" si="55"/>
        <v>-6.9638989347792835E-2</v>
      </c>
      <c r="BU21" s="16"/>
      <c r="BV21" s="15" t="s">
        <v>28</v>
      </c>
      <c r="BW21" s="12">
        <v>69</v>
      </c>
      <c r="BX21" s="14">
        <v>417076</v>
      </c>
      <c r="BY21" s="12">
        <f t="shared" si="56"/>
        <v>8</v>
      </c>
      <c r="BZ21" s="14">
        <f t="shared" si="57"/>
        <v>39943</v>
      </c>
      <c r="CA21" s="13">
        <f t="shared" si="58"/>
        <v>0.10591223785773189</v>
      </c>
      <c r="CC21" s="16"/>
      <c r="CD21" s="15" t="s">
        <v>28</v>
      </c>
      <c r="CE21" s="12">
        <v>97</v>
      </c>
      <c r="CF21" s="14">
        <v>587171</v>
      </c>
      <c r="CG21" s="12">
        <f t="shared" si="59"/>
        <v>28</v>
      </c>
      <c r="CH21" s="14">
        <f t="shared" si="60"/>
        <v>170095</v>
      </c>
      <c r="CI21" s="13">
        <f t="shared" si="61"/>
        <v>0.4078273504109563</v>
      </c>
      <c r="CK21" s="16"/>
      <c r="CL21" s="15" t="s">
        <v>28</v>
      </c>
      <c r="CM21" s="12">
        <v>75</v>
      </c>
      <c r="CN21" s="14">
        <v>479381</v>
      </c>
      <c r="CO21" s="12">
        <f t="shared" si="62"/>
        <v>-22</v>
      </c>
      <c r="CP21" s="14">
        <f t="shared" si="63"/>
        <v>-107790</v>
      </c>
      <c r="CQ21" s="13">
        <f t="shared" si="64"/>
        <v>-0.18357514250533491</v>
      </c>
      <c r="CS21" s="16"/>
      <c r="CT21" s="15" t="s">
        <v>28</v>
      </c>
      <c r="CU21" s="12">
        <v>54</v>
      </c>
      <c r="CV21" s="14">
        <v>357105</v>
      </c>
      <c r="CW21" s="12">
        <f t="shared" si="65"/>
        <v>-21</v>
      </c>
      <c r="CX21" s="14">
        <f t="shared" si="66"/>
        <v>-122276</v>
      </c>
      <c r="CY21" s="13">
        <f t="shared" si="67"/>
        <v>-0.25507060146313681</v>
      </c>
    </row>
    <row r="22" spans="1:123" ht="16">
      <c r="A22" s="16"/>
      <c r="B22" s="15" t="s">
        <v>29</v>
      </c>
      <c r="C22" s="12">
        <v>29</v>
      </c>
      <c r="D22" s="14">
        <v>344381</v>
      </c>
      <c r="F22" s="14"/>
      <c r="G22" s="48"/>
      <c r="I22" s="16"/>
      <c r="J22" s="15" t="s">
        <v>29</v>
      </c>
      <c r="K22" s="12">
        <v>41</v>
      </c>
      <c r="L22" s="14">
        <v>454286</v>
      </c>
      <c r="M22" s="12">
        <f t="shared" si="34"/>
        <v>12</v>
      </c>
      <c r="N22" s="14">
        <f t="shared" si="34"/>
        <v>109905</v>
      </c>
      <c r="O22" s="13">
        <f t="shared" si="35"/>
        <v>0.3191378153847047</v>
      </c>
      <c r="Q22" s="16"/>
      <c r="R22" s="15" t="s">
        <v>29</v>
      </c>
      <c r="S22" s="12">
        <v>45</v>
      </c>
      <c r="T22" s="14">
        <v>577905</v>
      </c>
      <c r="U22" s="12">
        <f t="shared" si="36"/>
        <v>4</v>
      </c>
      <c r="V22" s="14">
        <f t="shared" si="36"/>
        <v>123619</v>
      </c>
      <c r="W22" s="13">
        <f t="shared" si="37"/>
        <v>0.2721171244546387</v>
      </c>
      <c r="Y22" s="16"/>
      <c r="Z22" s="15" t="s">
        <v>29</v>
      </c>
      <c r="AA22" s="12">
        <v>41</v>
      </c>
      <c r="AB22" s="14">
        <v>486762</v>
      </c>
      <c r="AC22" s="12">
        <f t="shared" si="38"/>
        <v>-4</v>
      </c>
      <c r="AD22" s="14">
        <f t="shared" si="39"/>
        <v>-91143</v>
      </c>
      <c r="AE22" s="13">
        <f t="shared" si="40"/>
        <v>-0.15771277286059127</v>
      </c>
      <c r="AG22" s="16"/>
      <c r="AH22" s="15" t="s">
        <v>29</v>
      </c>
      <c r="AI22" s="12">
        <v>49</v>
      </c>
      <c r="AJ22" s="14">
        <v>605524</v>
      </c>
      <c r="AK22" s="12">
        <f t="shared" si="41"/>
        <v>8</v>
      </c>
      <c r="AL22" s="14">
        <f t="shared" si="42"/>
        <v>118762</v>
      </c>
      <c r="AM22" s="13">
        <f t="shared" si="43"/>
        <v>0.24398371277955141</v>
      </c>
      <c r="AO22" s="16"/>
      <c r="AP22" s="15" t="s">
        <v>29</v>
      </c>
      <c r="AQ22" s="12">
        <v>73</v>
      </c>
      <c r="AR22" s="14">
        <v>875924</v>
      </c>
      <c r="AS22" s="12">
        <f t="shared" si="44"/>
        <v>24</v>
      </c>
      <c r="AT22" s="14">
        <f t="shared" si="45"/>
        <v>270400</v>
      </c>
      <c r="AU22" s="13">
        <f t="shared" si="46"/>
        <v>0.44655538013357027</v>
      </c>
      <c r="AW22" s="16"/>
      <c r="AX22" s="15" t="s">
        <v>29</v>
      </c>
      <c r="AY22" s="38">
        <v>102</v>
      </c>
      <c r="AZ22" s="38">
        <v>1315267</v>
      </c>
      <c r="BA22" s="12">
        <f t="shared" si="47"/>
        <v>29</v>
      </c>
      <c r="BB22" s="14">
        <f t="shared" si="48"/>
        <v>439343</v>
      </c>
      <c r="BC22" s="13">
        <f t="shared" si="49"/>
        <v>0.50157662080271803</v>
      </c>
      <c r="BE22" s="16"/>
      <c r="BF22" s="15" t="s">
        <v>29</v>
      </c>
      <c r="BG22" s="12">
        <v>30</v>
      </c>
      <c r="BH22" s="14">
        <v>366476</v>
      </c>
      <c r="BI22" s="12">
        <f t="shared" si="50"/>
        <v>-72</v>
      </c>
      <c r="BJ22" s="14">
        <f t="shared" si="51"/>
        <v>-948791</v>
      </c>
      <c r="BK22" s="13">
        <f t="shared" si="52"/>
        <v>-0.72136760064686489</v>
      </c>
      <c r="BL22" s="48"/>
      <c r="BM22" s="16"/>
      <c r="BN22" s="15" t="s">
        <v>29</v>
      </c>
      <c r="BO22" s="12">
        <v>38</v>
      </c>
      <c r="BP22" s="14">
        <v>464762</v>
      </c>
      <c r="BQ22" s="12">
        <f t="shared" si="53"/>
        <v>8</v>
      </c>
      <c r="BR22" s="14">
        <f t="shared" si="54"/>
        <v>98286</v>
      </c>
      <c r="BS22" s="13">
        <f t="shared" si="55"/>
        <v>0.26819218721007654</v>
      </c>
      <c r="BU22" s="16"/>
      <c r="BV22" s="15" t="s">
        <v>29</v>
      </c>
      <c r="BW22" s="12">
        <v>46</v>
      </c>
      <c r="BX22" s="14">
        <v>551225</v>
      </c>
      <c r="BY22" s="12">
        <f t="shared" si="56"/>
        <v>8</v>
      </c>
      <c r="BZ22" s="14">
        <f t="shared" si="57"/>
        <v>86463</v>
      </c>
      <c r="CA22" s="13">
        <f t="shared" si="58"/>
        <v>0.18603715450058309</v>
      </c>
      <c r="CC22" s="16"/>
      <c r="CD22" s="15" t="s">
        <v>29</v>
      </c>
      <c r="CE22" s="12">
        <v>52</v>
      </c>
      <c r="CF22" s="14">
        <v>757158</v>
      </c>
      <c r="CG22" s="12">
        <f t="shared" si="59"/>
        <v>6</v>
      </c>
      <c r="CH22" s="14">
        <f t="shared" si="60"/>
        <v>205933</v>
      </c>
      <c r="CI22" s="13">
        <f t="shared" si="61"/>
        <v>0.37359154610186401</v>
      </c>
      <c r="CK22" s="16"/>
      <c r="CL22" s="15" t="s">
        <v>29</v>
      </c>
      <c r="CM22" s="12">
        <v>50</v>
      </c>
      <c r="CN22" s="14">
        <v>734531</v>
      </c>
      <c r="CO22" s="12">
        <f t="shared" si="62"/>
        <v>-2</v>
      </c>
      <c r="CP22" s="14">
        <f t="shared" si="63"/>
        <v>-22627</v>
      </c>
      <c r="CQ22" s="13">
        <f t="shared" si="64"/>
        <v>-2.9884119298746101E-2</v>
      </c>
      <c r="CS22" s="16"/>
      <c r="CT22" s="15" t="s">
        <v>29</v>
      </c>
      <c r="CU22" s="12">
        <v>36</v>
      </c>
      <c r="CV22" s="14">
        <v>457905</v>
      </c>
      <c r="CW22" s="12">
        <f t="shared" si="65"/>
        <v>-14</v>
      </c>
      <c r="CX22" s="14">
        <f t="shared" si="66"/>
        <v>-276626</v>
      </c>
      <c r="CY22" s="13">
        <f t="shared" si="67"/>
        <v>-0.37660221284057444</v>
      </c>
    </row>
    <row r="23" spans="1:123" ht="16">
      <c r="A23" s="16"/>
      <c r="B23" s="15" t="s">
        <v>30</v>
      </c>
      <c r="C23" s="12">
        <v>14</v>
      </c>
      <c r="D23" s="14">
        <v>40000</v>
      </c>
      <c r="F23" s="14"/>
      <c r="G23" s="48"/>
      <c r="I23" s="16"/>
      <c r="J23" s="15" t="s">
        <v>30</v>
      </c>
      <c r="K23" s="12">
        <v>5</v>
      </c>
      <c r="L23" s="14">
        <v>26171</v>
      </c>
      <c r="M23" s="12">
        <f t="shared" si="34"/>
        <v>-9</v>
      </c>
      <c r="N23" s="14">
        <f t="shared" si="34"/>
        <v>-13829</v>
      </c>
      <c r="O23" s="13">
        <f t="shared" si="35"/>
        <v>-0.345725</v>
      </c>
      <c r="Q23" s="16"/>
      <c r="R23" s="15" t="s">
        <v>30</v>
      </c>
      <c r="S23" s="12">
        <v>13</v>
      </c>
      <c r="T23" s="14">
        <v>58943</v>
      </c>
      <c r="U23" s="12">
        <f t="shared" si="36"/>
        <v>8</v>
      </c>
      <c r="V23" s="14">
        <f t="shared" si="36"/>
        <v>32772</v>
      </c>
      <c r="W23" s="13">
        <f t="shared" si="37"/>
        <v>1.2522257460547934</v>
      </c>
      <c r="Y23" s="16"/>
      <c r="Z23" s="15" t="s">
        <v>30</v>
      </c>
      <c r="AA23" s="12">
        <v>5</v>
      </c>
      <c r="AB23" s="14">
        <v>29324</v>
      </c>
      <c r="AC23" s="12">
        <f t="shared" si="38"/>
        <v>-8</v>
      </c>
      <c r="AD23" s="14">
        <f t="shared" si="39"/>
        <v>-29619</v>
      </c>
      <c r="AE23" s="13">
        <f t="shared" si="40"/>
        <v>-0.50250241758987502</v>
      </c>
      <c r="AG23" s="16"/>
      <c r="AH23" s="15" t="s">
        <v>30</v>
      </c>
      <c r="AI23" s="12">
        <v>4</v>
      </c>
      <c r="AJ23" s="14">
        <v>17429</v>
      </c>
      <c r="AK23" s="12">
        <f t="shared" si="41"/>
        <v>-1</v>
      </c>
      <c r="AL23" s="14">
        <f t="shared" si="42"/>
        <v>-11895</v>
      </c>
      <c r="AM23" s="13">
        <f t="shared" si="43"/>
        <v>-0.40564043104624198</v>
      </c>
      <c r="AO23" s="16"/>
      <c r="AP23" s="15" t="s">
        <v>30</v>
      </c>
      <c r="AQ23" s="12">
        <v>5</v>
      </c>
      <c r="AR23" s="14">
        <v>20286</v>
      </c>
      <c r="AS23" s="12">
        <f t="shared" si="44"/>
        <v>1</v>
      </c>
      <c r="AT23" s="14">
        <f t="shared" si="45"/>
        <v>2857</v>
      </c>
      <c r="AU23" s="13">
        <f t="shared" si="46"/>
        <v>0.16392219863445981</v>
      </c>
      <c r="AW23" s="16"/>
      <c r="AX23" s="15" t="s">
        <v>30</v>
      </c>
      <c r="AY23" s="38">
        <v>7</v>
      </c>
      <c r="AZ23" s="38">
        <v>32000</v>
      </c>
      <c r="BA23" s="12">
        <f t="shared" si="47"/>
        <v>2</v>
      </c>
      <c r="BB23" s="14">
        <f t="shared" si="48"/>
        <v>11714</v>
      </c>
      <c r="BC23" s="13">
        <f t="shared" si="49"/>
        <v>0.57744257123139109</v>
      </c>
      <c r="BE23" s="16"/>
      <c r="BF23" s="15" t="s">
        <v>30</v>
      </c>
      <c r="BG23" s="12">
        <v>10</v>
      </c>
      <c r="BH23" s="14">
        <v>36171</v>
      </c>
      <c r="BI23" s="12">
        <f t="shared" si="50"/>
        <v>3</v>
      </c>
      <c r="BJ23" s="14">
        <f t="shared" si="51"/>
        <v>4171</v>
      </c>
      <c r="BK23" s="13">
        <f t="shared" si="52"/>
        <v>0.13034375000000001</v>
      </c>
      <c r="BL23" s="48"/>
      <c r="BM23" s="16"/>
      <c r="BN23" s="15" t="s">
        <v>30</v>
      </c>
      <c r="BO23" s="12">
        <v>3</v>
      </c>
      <c r="BP23" s="14">
        <v>14571</v>
      </c>
      <c r="BQ23" s="12">
        <f t="shared" si="53"/>
        <v>-7</v>
      </c>
      <c r="BR23" s="14">
        <f t="shared" si="54"/>
        <v>-21600</v>
      </c>
      <c r="BS23" s="13">
        <f t="shared" si="55"/>
        <v>-0.59716347350087085</v>
      </c>
      <c r="BU23" s="16"/>
      <c r="BV23" s="15" t="s">
        <v>30</v>
      </c>
      <c r="BW23" s="12">
        <v>4</v>
      </c>
      <c r="BX23" s="14">
        <v>11429</v>
      </c>
      <c r="BY23" s="12">
        <f t="shared" si="56"/>
        <v>1</v>
      </c>
      <c r="BZ23" s="14">
        <f t="shared" si="57"/>
        <v>-3142</v>
      </c>
      <c r="CA23" s="13">
        <f t="shared" si="58"/>
        <v>-0.21563379315077894</v>
      </c>
      <c r="CC23" s="16"/>
      <c r="CD23" s="15" t="s">
        <v>30</v>
      </c>
      <c r="CE23" s="12">
        <v>6</v>
      </c>
      <c r="CF23" s="14">
        <v>26181</v>
      </c>
      <c r="CG23" s="12">
        <f t="shared" si="59"/>
        <v>2</v>
      </c>
      <c r="CH23" s="14">
        <f t="shared" si="60"/>
        <v>14752</v>
      </c>
      <c r="CI23" s="13">
        <f t="shared" si="61"/>
        <v>1.2907515968151195</v>
      </c>
      <c r="CK23" s="16"/>
      <c r="CL23" s="15" t="s">
        <v>30</v>
      </c>
      <c r="CM23" s="12">
        <v>9</v>
      </c>
      <c r="CN23" s="14">
        <v>40516</v>
      </c>
      <c r="CO23" s="12">
        <f t="shared" si="62"/>
        <v>3</v>
      </c>
      <c r="CP23" s="14">
        <f t="shared" si="63"/>
        <v>14335</v>
      </c>
      <c r="CQ23" s="13">
        <f t="shared" si="64"/>
        <v>0.54753447156334745</v>
      </c>
      <c r="CS23" s="16"/>
      <c r="CT23" s="15" t="s">
        <v>30</v>
      </c>
      <c r="CU23" s="12">
        <v>5</v>
      </c>
      <c r="CV23" s="14">
        <v>26286</v>
      </c>
      <c r="CW23" s="12">
        <f t="shared" si="65"/>
        <v>-4</v>
      </c>
      <c r="CX23" s="14">
        <f t="shared" si="66"/>
        <v>-14230</v>
      </c>
      <c r="CY23" s="13">
        <f t="shared" si="67"/>
        <v>-0.35121927139895348</v>
      </c>
    </row>
    <row r="24" spans="1:123" ht="18">
      <c r="A24" s="16"/>
      <c r="B24" s="15" t="s">
        <v>31</v>
      </c>
      <c r="C24" s="12">
        <v>6</v>
      </c>
      <c r="D24" s="14">
        <v>30160</v>
      </c>
      <c r="F24" s="14"/>
      <c r="G24" s="48"/>
      <c r="I24" s="16"/>
      <c r="J24" s="15" t="s">
        <v>31</v>
      </c>
      <c r="K24" s="12">
        <v>11</v>
      </c>
      <c r="L24" s="14">
        <v>52100</v>
      </c>
      <c r="M24" s="12">
        <f t="shared" si="34"/>
        <v>5</v>
      </c>
      <c r="N24" s="14">
        <f t="shared" si="34"/>
        <v>21940</v>
      </c>
      <c r="O24" s="13">
        <f t="shared" si="35"/>
        <v>0.72745358090185674</v>
      </c>
      <c r="Q24" s="16"/>
      <c r="R24" s="15" t="s">
        <v>31</v>
      </c>
      <c r="S24" s="12">
        <v>4</v>
      </c>
      <c r="T24" s="14">
        <v>32060</v>
      </c>
      <c r="U24" s="12">
        <f t="shared" si="36"/>
        <v>-7</v>
      </c>
      <c r="V24" s="14">
        <f t="shared" si="36"/>
        <v>-20040</v>
      </c>
      <c r="W24" s="13">
        <f t="shared" si="37"/>
        <v>-0.38464491362763914</v>
      </c>
      <c r="Y24" s="16"/>
      <c r="Z24" s="15" t="s">
        <v>31</v>
      </c>
      <c r="AA24" s="12">
        <v>10</v>
      </c>
      <c r="AB24" s="14">
        <v>43410</v>
      </c>
      <c r="AC24" s="12">
        <f t="shared" si="38"/>
        <v>6</v>
      </c>
      <c r="AD24" s="14">
        <f t="shared" si="39"/>
        <v>11350</v>
      </c>
      <c r="AE24" s="13">
        <f t="shared" si="40"/>
        <v>0.35402370555208984</v>
      </c>
      <c r="AG24" s="16"/>
      <c r="AH24" s="15" t="s">
        <v>31</v>
      </c>
      <c r="AI24" s="12">
        <v>7</v>
      </c>
      <c r="AJ24" s="14">
        <v>41230</v>
      </c>
      <c r="AK24" s="12">
        <f t="shared" si="41"/>
        <v>-3</v>
      </c>
      <c r="AL24" s="14">
        <f t="shared" si="42"/>
        <v>-2180</v>
      </c>
      <c r="AM24" s="13">
        <f t="shared" si="43"/>
        <v>-5.0218843584427554E-2</v>
      </c>
      <c r="AO24" s="16"/>
      <c r="AP24" s="15" t="s">
        <v>31</v>
      </c>
      <c r="AQ24" s="32">
        <v>8</v>
      </c>
      <c r="AR24" s="40">
        <v>26430</v>
      </c>
      <c r="AS24" s="12">
        <f t="shared" si="44"/>
        <v>1</v>
      </c>
      <c r="AT24" s="14">
        <f t="shared" si="45"/>
        <v>-14800</v>
      </c>
      <c r="AU24" s="13">
        <f t="shared" si="46"/>
        <v>-0.35896192093136065</v>
      </c>
      <c r="AW24" s="16"/>
      <c r="AX24" s="15" t="s">
        <v>31</v>
      </c>
      <c r="AY24" s="38">
        <v>11</v>
      </c>
      <c r="AZ24" s="38">
        <v>48090</v>
      </c>
      <c r="BA24" s="12">
        <f t="shared" si="47"/>
        <v>3</v>
      </c>
      <c r="BB24" s="14">
        <f t="shared" si="48"/>
        <v>21660</v>
      </c>
      <c r="BC24" s="13">
        <f t="shared" si="49"/>
        <v>0.81952326901248584</v>
      </c>
      <c r="BE24" s="16"/>
      <c r="BF24" s="15" t="s">
        <v>31</v>
      </c>
      <c r="BG24" s="12">
        <v>10</v>
      </c>
      <c r="BH24" s="14">
        <v>46010</v>
      </c>
      <c r="BI24" s="12">
        <f t="shared" si="50"/>
        <v>-1</v>
      </c>
      <c r="BJ24" s="14">
        <f t="shared" si="51"/>
        <v>-2080</v>
      </c>
      <c r="BK24" s="13">
        <f t="shared" si="52"/>
        <v>-4.3252235391973384E-2</v>
      </c>
      <c r="BL24" s="48"/>
      <c r="BM24" s="16"/>
      <c r="BN24" s="15" t="s">
        <v>31</v>
      </c>
      <c r="BO24" s="12">
        <v>7</v>
      </c>
      <c r="BP24" s="14">
        <v>40130</v>
      </c>
      <c r="BQ24" s="12">
        <f t="shared" si="53"/>
        <v>-3</v>
      </c>
      <c r="BR24" s="14">
        <f t="shared" si="54"/>
        <v>-5880</v>
      </c>
      <c r="BS24" s="13">
        <f t="shared" si="55"/>
        <v>-0.127798304716366</v>
      </c>
      <c r="BU24" s="16"/>
      <c r="BV24" s="15" t="s">
        <v>31</v>
      </c>
      <c r="BW24" s="12">
        <v>5</v>
      </c>
      <c r="BX24" s="14">
        <v>21250</v>
      </c>
      <c r="BY24" s="12">
        <f t="shared" si="56"/>
        <v>-2</v>
      </c>
      <c r="BZ24" s="14">
        <f t="shared" si="57"/>
        <v>-18880</v>
      </c>
      <c r="CA24" s="13">
        <f t="shared" si="58"/>
        <v>-0.47047096934961374</v>
      </c>
      <c r="CC24" s="16"/>
      <c r="CD24" s="15" t="s">
        <v>31</v>
      </c>
      <c r="CE24" s="12">
        <v>12</v>
      </c>
      <c r="CF24" s="14">
        <v>31830</v>
      </c>
      <c r="CG24" s="12">
        <f t="shared" si="59"/>
        <v>7</v>
      </c>
      <c r="CH24" s="14">
        <f t="shared" si="60"/>
        <v>10580</v>
      </c>
      <c r="CI24" s="13">
        <f t="shared" si="61"/>
        <v>0.4978823529411765</v>
      </c>
      <c r="CK24" s="16"/>
      <c r="CL24" s="15" t="s">
        <v>31</v>
      </c>
      <c r="CM24" s="12">
        <v>14</v>
      </c>
      <c r="CN24" s="14">
        <v>61260</v>
      </c>
      <c r="CO24" s="12">
        <f t="shared" si="62"/>
        <v>2</v>
      </c>
      <c r="CP24" s="14">
        <f t="shared" si="63"/>
        <v>29430</v>
      </c>
      <c r="CQ24" s="13">
        <f t="shared" si="64"/>
        <v>0.92459943449575877</v>
      </c>
      <c r="CS24" s="16"/>
      <c r="CT24" s="15" t="s">
        <v>31</v>
      </c>
      <c r="CU24" s="12">
        <v>3</v>
      </c>
      <c r="CV24" s="14">
        <v>10070</v>
      </c>
      <c r="CW24" s="12">
        <f t="shared" si="65"/>
        <v>-11</v>
      </c>
      <c r="CX24" s="14">
        <f t="shared" si="66"/>
        <v>-51190</v>
      </c>
      <c r="CY24" s="13">
        <f t="shared" si="67"/>
        <v>-0.83561867450212213</v>
      </c>
    </row>
    <row r="25" spans="1:123" ht="16">
      <c r="A25" s="16"/>
      <c r="B25" s="15" t="s">
        <v>32</v>
      </c>
      <c r="C25" s="12">
        <v>9</v>
      </c>
      <c r="D25" s="14">
        <v>405721</v>
      </c>
      <c r="F25" s="14"/>
      <c r="G25" s="48"/>
      <c r="I25" s="16"/>
      <c r="J25" s="15" t="s">
        <v>32</v>
      </c>
      <c r="K25" s="12">
        <v>12</v>
      </c>
      <c r="L25" s="14">
        <v>513213</v>
      </c>
      <c r="M25" s="12">
        <f t="shared" si="34"/>
        <v>3</v>
      </c>
      <c r="N25" s="14">
        <f t="shared" si="34"/>
        <v>107492</v>
      </c>
      <c r="O25" s="13">
        <f t="shared" si="35"/>
        <v>0.26494068584076247</v>
      </c>
      <c r="Q25" s="16"/>
      <c r="R25" s="15" t="s">
        <v>32</v>
      </c>
      <c r="S25" s="12">
        <v>7</v>
      </c>
      <c r="T25" s="14">
        <v>284070</v>
      </c>
      <c r="U25" s="12">
        <f t="shared" si="36"/>
        <v>-5</v>
      </c>
      <c r="V25" s="14">
        <f t="shared" si="36"/>
        <v>-229143</v>
      </c>
      <c r="W25" s="13">
        <f t="shared" si="37"/>
        <v>-0.44648713107423232</v>
      </c>
      <c r="Y25" s="16"/>
      <c r="Z25" s="15" t="s">
        <v>32</v>
      </c>
      <c r="AA25" s="12">
        <v>5</v>
      </c>
      <c r="AB25" s="14">
        <v>182464</v>
      </c>
      <c r="AC25" s="12">
        <f t="shared" si="38"/>
        <v>-2</v>
      </c>
      <c r="AD25" s="14">
        <f t="shared" si="39"/>
        <v>-101606</v>
      </c>
      <c r="AE25" s="13">
        <f t="shared" si="40"/>
        <v>-0.35767944520716727</v>
      </c>
      <c r="AG25" s="16"/>
      <c r="AH25" s="15" t="s">
        <v>32</v>
      </c>
      <c r="AI25" s="12">
        <v>7</v>
      </c>
      <c r="AJ25" s="14">
        <v>302896</v>
      </c>
      <c r="AK25" s="12">
        <f t="shared" si="41"/>
        <v>2</v>
      </c>
      <c r="AL25" s="14">
        <f t="shared" si="42"/>
        <v>120432</v>
      </c>
      <c r="AM25" s="13">
        <f t="shared" si="43"/>
        <v>0.66003156787092243</v>
      </c>
      <c r="AO25" s="16"/>
      <c r="AP25" s="15" t="s">
        <v>32</v>
      </c>
      <c r="AQ25" s="12">
        <v>6</v>
      </c>
      <c r="AR25" s="14">
        <v>368988</v>
      </c>
      <c r="AS25" s="12">
        <f t="shared" si="44"/>
        <v>-1</v>
      </c>
      <c r="AT25" s="14">
        <f t="shared" si="45"/>
        <v>66092</v>
      </c>
      <c r="AU25" s="13">
        <f t="shared" si="46"/>
        <v>0.21820030637578575</v>
      </c>
      <c r="AW25" s="16"/>
      <c r="AX25" s="15" t="s">
        <v>32</v>
      </c>
      <c r="AY25" s="38">
        <v>11</v>
      </c>
      <c r="AZ25" s="38">
        <v>471570</v>
      </c>
      <c r="BA25" s="12">
        <f t="shared" si="47"/>
        <v>5</v>
      </c>
      <c r="BB25" s="14">
        <f t="shared" si="48"/>
        <v>102582</v>
      </c>
      <c r="BC25" s="13">
        <f t="shared" si="49"/>
        <v>0.27800904094442097</v>
      </c>
      <c r="BE25" s="16"/>
      <c r="BF25" s="15" t="s">
        <v>32</v>
      </c>
      <c r="BG25" s="12">
        <v>9</v>
      </c>
      <c r="BH25" s="14">
        <v>373084</v>
      </c>
      <c r="BI25" s="12">
        <f t="shared" si="50"/>
        <v>-2</v>
      </c>
      <c r="BJ25" s="14">
        <f t="shared" si="51"/>
        <v>-98486</v>
      </c>
      <c r="BK25" s="13">
        <f t="shared" si="52"/>
        <v>-0.20884704285683992</v>
      </c>
      <c r="BL25" s="48"/>
      <c r="BM25" s="16"/>
      <c r="BN25" s="15" t="s">
        <v>32</v>
      </c>
      <c r="BO25" s="12">
        <v>13</v>
      </c>
      <c r="BP25" s="14">
        <v>484830</v>
      </c>
      <c r="BQ25" s="12">
        <f t="shared" si="53"/>
        <v>4</v>
      </c>
      <c r="BR25" s="14">
        <f t="shared" si="54"/>
        <v>111746</v>
      </c>
      <c r="BS25" s="13">
        <f t="shared" si="55"/>
        <v>0.29951967921433242</v>
      </c>
      <c r="BU25" s="16"/>
      <c r="BV25" s="15" t="s">
        <v>32</v>
      </c>
      <c r="BW25" s="12">
        <v>7</v>
      </c>
      <c r="BX25" s="14">
        <v>302388</v>
      </c>
      <c r="BY25" s="12">
        <f t="shared" si="56"/>
        <v>-6</v>
      </c>
      <c r="BZ25" s="14">
        <f t="shared" si="57"/>
        <v>-182442</v>
      </c>
      <c r="CA25" s="13">
        <f t="shared" si="58"/>
        <v>-0.37630097147453745</v>
      </c>
      <c r="CC25" s="16"/>
      <c r="CD25" s="15" t="s">
        <v>32</v>
      </c>
      <c r="CE25" s="12">
        <v>18</v>
      </c>
      <c r="CF25" s="14">
        <v>616670</v>
      </c>
      <c r="CG25" s="12">
        <f t="shared" si="59"/>
        <v>11</v>
      </c>
      <c r="CH25" s="14">
        <f t="shared" si="60"/>
        <v>314282</v>
      </c>
      <c r="CI25" s="13">
        <f t="shared" si="61"/>
        <v>1.0393335714380201</v>
      </c>
      <c r="CK25" s="16"/>
      <c r="CL25" s="15" t="s">
        <v>32</v>
      </c>
      <c r="CM25" s="12">
        <v>18</v>
      </c>
      <c r="CN25" s="14">
        <v>685194</v>
      </c>
      <c r="CO25" s="12">
        <f t="shared" si="62"/>
        <v>0</v>
      </c>
      <c r="CP25" s="14">
        <f t="shared" si="63"/>
        <v>68524</v>
      </c>
      <c r="CQ25" s="13">
        <f t="shared" si="64"/>
        <v>0.11111939935459808</v>
      </c>
      <c r="CS25" s="16"/>
      <c r="CT25" s="15" t="s">
        <v>32</v>
      </c>
      <c r="CU25" s="12">
        <v>9</v>
      </c>
      <c r="CV25" s="14">
        <v>322000</v>
      </c>
      <c r="CW25" s="12">
        <f t="shared" si="65"/>
        <v>-9</v>
      </c>
      <c r="CX25" s="14">
        <f t="shared" si="66"/>
        <v>-363194</v>
      </c>
      <c r="CY25" s="13">
        <f t="shared" si="67"/>
        <v>-0.53006009976736512</v>
      </c>
    </row>
    <row r="26" spans="1:123" ht="16">
      <c r="A26" s="16"/>
      <c r="B26" s="15" t="s">
        <v>33</v>
      </c>
      <c r="C26" s="12">
        <v>30</v>
      </c>
      <c r="D26" s="14">
        <v>569086</v>
      </c>
      <c r="F26" s="14"/>
      <c r="G26" s="48"/>
      <c r="I26" s="16"/>
      <c r="J26" s="15" t="s">
        <v>33</v>
      </c>
      <c r="K26" s="12">
        <v>29</v>
      </c>
      <c r="L26" s="14">
        <v>515352</v>
      </c>
      <c r="M26" s="12">
        <f t="shared" si="34"/>
        <v>-1</v>
      </c>
      <c r="N26" s="14">
        <f t="shared" si="34"/>
        <v>-53734</v>
      </c>
      <c r="O26" s="13">
        <f t="shared" si="35"/>
        <v>-9.4421581272426308E-2</v>
      </c>
      <c r="Q26" s="16"/>
      <c r="R26" s="15" t="s">
        <v>33</v>
      </c>
      <c r="S26" s="12">
        <v>29</v>
      </c>
      <c r="T26" s="14">
        <v>602410</v>
      </c>
      <c r="U26" s="12">
        <f t="shared" si="36"/>
        <v>0</v>
      </c>
      <c r="V26" s="14">
        <f t="shared" si="36"/>
        <v>87058</v>
      </c>
      <c r="W26" s="13">
        <f t="shared" si="37"/>
        <v>0.16892919790744967</v>
      </c>
      <c r="Y26" s="16"/>
      <c r="Z26" s="15" t="s">
        <v>33</v>
      </c>
      <c r="AA26" s="12">
        <v>36</v>
      </c>
      <c r="AB26" s="14">
        <v>693333</v>
      </c>
      <c r="AC26" s="12">
        <f t="shared" si="38"/>
        <v>7</v>
      </c>
      <c r="AD26" s="14">
        <f t="shared" si="39"/>
        <v>90923</v>
      </c>
      <c r="AE26" s="13">
        <f t="shared" si="40"/>
        <v>0.15093208944074635</v>
      </c>
      <c r="AG26" s="16"/>
      <c r="AH26" s="15" t="s">
        <v>33</v>
      </c>
      <c r="AI26" s="12">
        <v>31</v>
      </c>
      <c r="AJ26" s="14">
        <v>611333</v>
      </c>
      <c r="AK26" s="12">
        <f t="shared" si="41"/>
        <v>-5</v>
      </c>
      <c r="AL26" s="14">
        <f t="shared" si="42"/>
        <v>-82000</v>
      </c>
      <c r="AM26" s="13">
        <f t="shared" si="43"/>
        <v>-0.1182692876294652</v>
      </c>
      <c r="AO26" s="16"/>
      <c r="AP26" s="15" t="s">
        <v>33</v>
      </c>
      <c r="AQ26" s="12">
        <v>49</v>
      </c>
      <c r="AR26" s="14">
        <v>937238</v>
      </c>
      <c r="AS26" s="12">
        <f t="shared" si="44"/>
        <v>18</v>
      </c>
      <c r="AT26" s="14">
        <f t="shared" si="45"/>
        <v>325905</v>
      </c>
      <c r="AU26" s="13">
        <f t="shared" si="46"/>
        <v>0.53310552513932663</v>
      </c>
      <c r="AW26" s="16"/>
      <c r="AX26" s="15" t="s">
        <v>33</v>
      </c>
      <c r="AY26" s="38">
        <v>69</v>
      </c>
      <c r="AZ26" s="38">
        <v>1284667</v>
      </c>
      <c r="BA26" s="12">
        <f t="shared" si="47"/>
        <v>20</v>
      </c>
      <c r="BB26" s="14">
        <f t="shared" si="48"/>
        <v>347429</v>
      </c>
      <c r="BC26" s="13">
        <f t="shared" si="49"/>
        <v>0.3706945300980114</v>
      </c>
      <c r="BE26" s="16"/>
      <c r="BF26" s="15" t="s">
        <v>33</v>
      </c>
      <c r="BG26" s="12">
        <v>33</v>
      </c>
      <c r="BH26" s="14">
        <v>634381</v>
      </c>
      <c r="BI26" s="12">
        <f t="shared" si="50"/>
        <v>-36</v>
      </c>
      <c r="BJ26" s="14">
        <f t="shared" si="51"/>
        <v>-650286</v>
      </c>
      <c r="BK26" s="13">
        <f t="shared" si="52"/>
        <v>-0.50619032013743637</v>
      </c>
      <c r="BL26" s="48"/>
      <c r="BM26" s="16"/>
      <c r="BN26" s="15" t="s">
        <v>33</v>
      </c>
      <c r="BO26" s="12">
        <v>18</v>
      </c>
      <c r="BP26" s="14">
        <v>393619</v>
      </c>
      <c r="BQ26" s="12">
        <f t="shared" si="53"/>
        <v>-15</v>
      </c>
      <c r="BR26" s="14">
        <f t="shared" si="54"/>
        <v>-240762</v>
      </c>
      <c r="BS26" s="13">
        <f t="shared" si="55"/>
        <v>-0.37952271584426395</v>
      </c>
      <c r="BU26" s="16"/>
      <c r="BV26" s="15" t="s">
        <v>33</v>
      </c>
      <c r="BW26" s="12">
        <v>18</v>
      </c>
      <c r="BX26" s="14">
        <v>347905</v>
      </c>
      <c r="BY26" s="12">
        <f t="shared" si="56"/>
        <v>0</v>
      </c>
      <c r="BZ26" s="14">
        <f t="shared" si="57"/>
        <v>-45714</v>
      </c>
      <c r="CA26" s="13">
        <f t="shared" si="58"/>
        <v>-0.11613768644298167</v>
      </c>
      <c r="CC26" s="16"/>
      <c r="CD26" s="15" t="s">
        <v>33</v>
      </c>
      <c r="CE26" s="12">
        <v>37</v>
      </c>
      <c r="CF26" s="14">
        <v>702667</v>
      </c>
      <c r="CG26" s="12">
        <f t="shared" si="59"/>
        <v>19</v>
      </c>
      <c r="CH26" s="14">
        <f t="shared" si="60"/>
        <v>354762</v>
      </c>
      <c r="CI26" s="13">
        <f t="shared" si="61"/>
        <v>1.019709403429097</v>
      </c>
      <c r="CK26" s="16"/>
      <c r="CL26" s="15" t="s">
        <v>33</v>
      </c>
      <c r="CM26" s="12">
        <v>57</v>
      </c>
      <c r="CN26" s="14">
        <v>1124381</v>
      </c>
      <c r="CO26" s="12">
        <f t="shared" si="62"/>
        <v>20</v>
      </c>
      <c r="CP26" s="14">
        <f t="shared" si="63"/>
        <v>421714</v>
      </c>
      <c r="CQ26" s="13">
        <f t="shared" si="64"/>
        <v>0.60016195438237463</v>
      </c>
      <c r="CS26" s="16"/>
      <c r="CT26" s="15" t="s">
        <v>33</v>
      </c>
      <c r="CU26" s="12">
        <v>38</v>
      </c>
      <c r="CV26" s="14">
        <v>742476</v>
      </c>
      <c r="CW26" s="12">
        <f t="shared" si="65"/>
        <v>-19</v>
      </c>
      <c r="CX26" s="14">
        <f t="shared" si="66"/>
        <v>-381905</v>
      </c>
      <c r="CY26" s="13">
        <f t="shared" si="67"/>
        <v>-0.33965799848983574</v>
      </c>
    </row>
    <row r="27" spans="1:123" ht="16">
      <c r="A27" s="16"/>
      <c r="B27" s="15" t="s">
        <v>34</v>
      </c>
      <c r="C27" s="12">
        <v>58</v>
      </c>
      <c r="D27" s="14">
        <v>2247333</v>
      </c>
      <c r="F27" s="14"/>
      <c r="G27" s="48"/>
      <c r="I27" s="16"/>
      <c r="J27" s="15" t="s">
        <v>34</v>
      </c>
      <c r="K27" s="12">
        <v>83</v>
      </c>
      <c r="L27" s="14">
        <v>3019714</v>
      </c>
      <c r="M27" s="12">
        <f t="shared" si="34"/>
        <v>25</v>
      </c>
      <c r="N27" s="14">
        <f t="shared" si="34"/>
        <v>772381</v>
      </c>
      <c r="O27" s="13">
        <f t="shared" si="35"/>
        <v>0.34368782908451928</v>
      </c>
      <c r="Q27" s="16"/>
      <c r="R27" s="15" t="s">
        <v>34</v>
      </c>
      <c r="S27" s="12">
        <v>63</v>
      </c>
      <c r="T27" s="14">
        <v>2328762</v>
      </c>
      <c r="U27" s="12">
        <f t="shared" si="36"/>
        <v>-20</v>
      </c>
      <c r="V27" s="14">
        <f t="shared" si="36"/>
        <v>-690952</v>
      </c>
      <c r="W27" s="13">
        <f t="shared" si="37"/>
        <v>-0.22881372209421158</v>
      </c>
      <c r="Y27" s="16"/>
      <c r="Z27" s="15" t="s">
        <v>34</v>
      </c>
      <c r="AA27" s="12">
        <v>87</v>
      </c>
      <c r="AB27" s="14">
        <v>3273619</v>
      </c>
      <c r="AC27" s="12">
        <f t="shared" si="38"/>
        <v>24</v>
      </c>
      <c r="AD27" s="14">
        <f t="shared" si="39"/>
        <v>944857</v>
      </c>
      <c r="AE27" s="13">
        <f t="shared" si="40"/>
        <v>0.40573360437863554</v>
      </c>
      <c r="AG27" s="16"/>
      <c r="AH27" s="15" t="s">
        <v>34</v>
      </c>
      <c r="AI27" s="12">
        <v>85</v>
      </c>
      <c r="AJ27" s="14">
        <v>3176190</v>
      </c>
      <c r="AK27" s="12">
        <f t="shared" si="41"/>
        <v>-2</v>
      </c>
      <c r="AL27" s="14">
        <f t="shared" si="42"/>
        <v>-97429</v>
      </c>
      <c r="AM27" s="13">
        <f t="shared" si="43"/>
        <v>-2.9761862941289137E-2</v>
      </c>
      <c r="AO27" s="16"/>
      <c r="AP27" s="15" t="s">
        <v>34</v>
      </c>
      <c r="AQ27" s="12">
        <v>122</v>
      </c>
      <c r="AR27" s="14">
        <v>4260762</v>
      </c>
      <c r="AS27" s="12">
        <f t="shared" si="44"/>
        <v>37</v>
      </c>
      <c r="AT27" s="14">
        <f t="shared" si="45"/>
        <v>1084572</v>
      </c>
      <c r="AU27" s="13">
        <f t="shared" si="46"/>
        <v>0.34146949647218838</v>
      </c>
      <c r="AW27" s="16"/>
      <c r="AX27" s="15" t="s">
        <v>34</v>
      </c>
      <c r="AY27" s="38">
        <v>101</v>
      </c>
      <c r="AZ27" s="38">
        <v>3599709</v>
      </c>
      <c r="BA27" s="12">
        <f t="shared" si="47"/>
        <v>-21</v>
      </c>
      <c r="BB27" s="14">
        <f t="shared" si="48"/>
        <v>-661053</v>
      </c>
      <c r="BC27" s="13">
        <f t="shared" si="49"/>
        <v>-0.1551490085576242</v>
      </c>
      <c r="BE27" s="16"/>
      <c r="BF27" s="15" t="s">
        <v>34</v>
      </c>
      <c r="BG27" s="12">
        <v>61</v>
      </c>
      <c r="BH27" s="14">
        <v>2153714</v>
      </c>
      <c r="BI27" s="12">
        <f t="shared" si="50"/>
        <v>-40</v>
      </c>
      <c r="BJ27" s="14">
        <f t="shared" si="51"/>
        <v>-1445995</v>
      </c>
      <c r="BK27" s="13">
        <f t="shared" si="52"/>
        <v>-0.40169774834576905</v>
      </c>
      <c r="BL27" s="48"/>
      <c r="BM27" s="16"/>
      <c r="BN27" s="15" t="s">
        <v>34</v>
      </c>
      <c r="BO27" s="12">
        <v>68</v>
      </c>
      <c r="BP27" s="14">
        <v>2395429</v>
      </c>
      <c r="BQ27" s="12">
        <f t="shared" si="53"/>
        <v>7</v>
      </c>
      <c r="BR27" s="14">
        <f t="shared" si="54"/>
        <v>241715</v>
      </c>
      <c r="BS27" s="13">
        <f t="shared" si="55"/>
        <v>0.11223170764549054</v>
      </c>
      <c r="BU27" s="16"/>
      <c r="BV27" s="15" t="s">
        <v>34</v>
      </c>
      <c r="BW27" s="12">
        <v>40</v>
      </c>
      <c r="BX27" s="14">
        <v>1444139</v>
      </c>
      <c r="BY27" s="12">
        <f t="shared" si="56"/>
        <v>-28</v>
      </c>
      <c r="BZ27" s="14">
        <f t="shared" si="57"/>
        <v>-951290</v>
      </c>
      <c r="CA27" s="13">
        <f t="shared" si="58"/>
        <v>-0.39712719517046841</v>
      </c>
      <c r="CC27" s="16"/>
      <c r="CD27" s="15" t="s">
        <v>34</v>
      </c>
      <c r="CE27" s="12">
        <v>82</v>
      </c>
      <c r="CF27" s="14">
        <v>2848888</v>
      </c>
      <c r="CG27" s="12">
        <f t="shared" si="59"/>
        <v>42</v>
      </c>
      <c r="CH27" s="14">
        <f t="shared" si="60"/>
        <v>1404749</v>
      </c>
      <c r="CI27" s="13">
        <f t="shared" si="61"/>
        <v>0.97272423222418336</v>
      </c>
      <c r="CK27" s="16"/>
      <c r="CL27" s="15" t="s">
        <v>34</v>
      </c>
      <c r="CM27" s="12">
        <v>104</v>
      </c>
      <c r="CN27" s="14">
        <v>3810290</v>
      </c>
      <c r="CO27" s="12">
        <f t="shared" si="62"/>
        <v>22</v>
      </c>
      <c r="CP27" s="14">
        <f t="shared" si="63"/>
        <v>961402</v>
      </c>
      <c r="CQ27" s="13">
        <f t="shared" si="64"/>
        <v>0.33746570591753694</v>
      </c>
      <c r="CS27" s="16"/>
      <c r="CT27" s="15" t="s">
        <v>34</v>
      </c>
      <c r="CU27" s="12">
        <v>68</v>
      </c>
      <c r="CV27" s="14">
        <v>2462286</v>
      </c>
      <c r="CW27" s="12">
        <f t="shared" si="65"/>
        <v>-36</v>
      </c>
      <c r="CX27" s="14">
        <f t="shared" si="66"/>
        <v>-1348004</v>
      </c>
      <c r="CY27" s="13">
        <f t="shared" si="67"/>
        <v>-0.35377989601841331</v>
      </c>
    </row>
    <row r="28" spans="1:123" ht="16">
      <c r="A28" s="11" t="s">
        <v>35</v>
      </c>
      <c r="B28" s="11"/>
      <c r="C28" s="10">
        <v>691</v>
      </c>
      <c r="D28" s="9">
        <v>4472154</v>
      </c>
      <c r="E28" s="27"/>
      <c r="F28" s="28"/>
      <c r="G28" s="49"/>
      <c r="I28" s="11" t="s">
        <v>35</v>
      </c>
      <c r="J28" s="11"/>
      <c r="K28" s="10">
        <v>760</v>
      </c>
      <c r="L28" s="9">
        <v>5418919</v>
      </c>
      <c r="M28" s="10">
        <f t="shared" si="34"/>
        <v>69</v>
      </c>
      <c r="N28" s="9">
        <f t="shared" si="34"/>
        <v>946765</v>
      </c>
      <c r="O28" s="8">
        <f t="shared" si="35"/>
        <v>0.21170223565646443</v>
      </c>
      <c r="Q28" s="11" t="s">
        <v>35</v>
      </c>
      <c r="R28" s="11"/>
      <c r="S28" s="10">
        <v>792</v>
      </c>
      <c r="T28" s="9">
        <v>4853099</v>
      </c>
      <c r="U28" s="10">
        <f t="shared" si="36"/>
        <v>32</v>
      </c>
      <c r="V28" s="9">
        <f t="shared" si="36"/>
        <v>-565820</v>
      </c>
      <c r="W28" s="8">
        <f t="shared" si="37"/>
        <v>-0.10441565928555123</v>
      </c>
      <c r="Y28" s="11" t="s">
        <v>35</v>
      </c>
      <c r="Z28" s="11"/>
      <c r="AA28" s="10">
        <v>795</v>
      </c>
      <c r="AB28" s="9">
        <v>5566949</v>
      </c>
      <c r="AC28" s="10">
        <f t="shared" si="38"/>
        <v>3</v>
      </c>
      <c r="AD28" s="9">
        <f t="shared" si="39"/>
        <v>713850</v>
      </c>
      <c r="AE28" s="8">
        <f t="shared" si="40"/>
        <v>0.14709158003988793</v>
      </c>
      <c r="AG28" s="11" t="s">
        <v>35</v>
      </c>
      <c r="AH28" s="11"/>
      <c r="AI28" s="10">
        <v>827</v>
      </c>
      <c r="AJ28" s="9">
        <v>5675021</v>
      </c>
      <c r="AK28" s="10">
        <f t="shared" si="41"/>
        <v>32</v>
      </c>
      <c r="AL28" s="9">
        <f t="shared" si="42"/>
        <v>108072</v>
      </c>
      <c r="AM28" s="8">
        <f t="shared" si="43"/>
        <v>1.9413147129603667E-2</v>
      </c>
      <c r="AO28" s="11" t="s">
        <v>35</v>
      </c>
      <c r="AP28" s="11"/>
      <c r="AQ28" s="10">
        <v>1210</v>
      </c>
      <c r="AR28" s="9">
        <v>8049750</v>
      </c>
      <c r="AS28" s="10">
        <f t="shared" si="44"/>
        <v>383</v>
      </c>
      <c r="AT28" s="9">
        <f t="shared" si="45"/>
        <v>2374729</v>
      </c>
      <c r="AU28" s="8">
        <f t="shared" si="46"/>
        <v>0.41845290087913334</v>
      </c>
      <c r="AW28" s="11" t="s">
        <v>35</v>
      </c>
      <c r="AX28" s="11"/>
      <c r="AY28" s="39">
        <v>1249</v>
      </c>
      <c r="AZ28" s="39">
        <v>8414849</v>
      </c>
      <c r="BA28" s="10">
        <f t="shared" si="47"/>
        <v>39</v>
      </c>
      <c r="BB28" s="9">
        <f t="shared" si="48"/>
        <v>365099</v>
      </c>
      <c r="BC28" s="8">
        <f t="shared" si="49"/>
        <v>4.5355321593838316E-2</v>
      </c>
      <c r="BE28" s="11" t="s">
        <v>35</v>
      </c>
      <c r="BF28" s="11"/>
      <c r="BG28" s="10">
        <v>742</v>
      </c>
      <c r="BH28" s="9">
        <v>4508455</v>
      </c>
      <c r="BI28" s="10">
        <f t="shared" si="50"/>
        <v>-507</v>
      </c>
      <c r="BJ28" s="9">
        <f t="shared" si="51"/>
        <v>-3906394</v>
      </c>
      <c r="BK28" s="8">
        <f t="shared" si="52"/>
        <v>-0.46422627429202828</v>
      </c>
      <c r="BL28" s="50"/>
      <c r="BM28" s="11" t="s">
        <v>35</v>
      </c>
      <c r="BN28" s="11"/>
      <c r="BO28" s="10">
        <v>763</v>
      </c>
      <c r="BP28" s="9">
        <v>4676834</v>
      </c>
      <c r="BQ28" s="10">
        <f t="shared" si="53"/>
        <v>21</v>
      </c>
      <c r="BR28" s="9">
        <f t="shared" si="54"/>
        <v>168379</v>
      </c>
      <c r="BS28" s="8">
        <f t="shared" si="55"/>
        <v>3.7347383970783785E-2</v>
      </c>
      <c r="BU28" s="11" t="s">
        <v>35</v>
      </c>
      <c r="BV28" s="11"/>
      <c r="BW28" s="10">
        <v>633</v>
      </c>
      <c r="BX28" s="9">
        <v>3555940</v>
      </c>
      <c r="BY28" s="10">
        <f t="shared" si="56"/>
        <v>-130</v>
      </c>
      <c r="BZ28" s="9">
        <f t="shared" si="57"/>
        <v>-1120894</v>
      </c>
      <c r="CA28" s="8">
        <f t="shared" si="58"/>
        <v>-0.23966940028232775</v>
      </c>
      <c r="CC28" s="11" t="s">
        <v>35</v>
      </c>
      <c r="CD28" s="11"/>
      <c r="CE28" s="10">
        <v>809</v>
      </c>
      <c r="CF28" s="9">
        <v>6059477</v>
      </c>
      <c r="CG28" s="10">
        <f t="shared" si="59"/>
        <v>176</v>
      </c>
      <c r="CH28" s="9">
        <f t="shared" si="60"/>
        <v>2503537</v>
      </c>
      <c r="CI28" s="8">
        <f t="shared" si="61"/>
        <v>0.70404365652963774</v>
      </c>
      <c r="CK28" s="11" t="s">
        <v>35</v>
      </c>
      <c r="CL28" s="11"/>
      <c r="CM28" s="10">
        <v>892</v>
      </c>
      <c r="CN28" s="9">
        <v>7474668</v>
      </c>
      <c r="CO28" s="10">
        <f t="shared" si="62"/>
        <v>83</v>
      </c>
      <c r="CP28" s="9">
        <f t="shared" si="63"/>
        <v>1415191</v>
      </c>
      <c r="CQ28" s="8">
        <f t="shared" si="64"/>
        <v>0.23355002420175866</v>
      </c>
      <c r="CS28" s="11" t="s">
        <v>35</v>
      </c>
      <c r="CT28" s="11"/>
      <c r="CU28" s="10">
        <v>670</v>
      </c>
      <c r="CV28" s="9">
        <v>4796531</v>
      </c>
      <c r="CW28" s="10">
        <f t="shared" si="65"/>
        <v>-222</v>
      </c>
      <c r="CX28" s="9">
        <f t="shared" si="66"/>
        <v>-2678137</v>
      </c>
      <c r="CY28" s="8">
        <f t="shared" si="67"/>
        <v>-0.35829511089990884</v>
      </c>
    </row>
    <row r="29" spans="1:123" ht="18">
      <c r="A29" s="16">
        <v>77</v>
      </c>
      <c r="B29" s="30" t="s">
        <v>45</v>
      </c>
      <c r="C29" s="53">
        <v>5024</v>
      </c>
      <c r="D29" s="54"/>
      <c r="E29" s="54"/>
      <c r="F29" s="54"/>
      <c r="G29" s="54"/>
      <c r="H29" s="54"/>
      <c r="I29" s="16">
        <v>77</v>
      </c>
      <c r="J29" s="30" t="s">
        <v>45</v>
      </c>
      <c r="K29" s="53">
        <v>3152</v>
      </c>
      <c r="L29" s="54"/>
      <c r="M29" s="54"/>
      <c r="N29" s="54"/>
      <c r="O29" s="54"/>
      <c r="P29" s="54"/>
      <c r="Q29" s="16">
        <v>77</v>
      </c>
      <c r="R29" s="30" t="s">
        <v>45</v>
      </c>
      <c r="S29" s="53">
        <v>3582</v>
      </c>
      <c r="T29" s="54"/>
      <c r="U29" s="54"/>
      <c r="V29" s="54"/>
      <c r="W29" s="54"/>
      <c r="X29" s="54"/>
      <c r="Y29" s="16">
        <v>77</v>
      </c>
      <c r="Z29" s="30" t="s">
        <v>45</v>
      </c>
      <c r="AA29" s="53">
        <v>3499</v>
      </c>
      <c r="AB29" s="54"/>
      <c r="AC29" s="54"/>
      <c r="AD29" s="54"/>
      <c r="AE29" s="54"/>
      <c r="AF29" s="54"/>
      <c r="AG29" s="16">
        <v>77</v>
      </c>
      <c r="AH29" s="30" t="s">
        <v>45</v>
      </c>
      <c r="AI29" s="53">
        <v>3718</v>
      </c>
      <c r="AJ29" s="54"/>
      <c r="AK29" s="54"/>
      <c r="AL29" s="54"/>
      <c r="AM29" s="54"/>
      <c r="AN29" s="54"/>
      <c r="AO29" s="16">
        <v>77</v>
      </c>
      <c r="AP29" s="30" t="s">
        <v>45</v>
      </c>
      <c r="AQ29" s="53">
        <v>6461</v>
      </c>
      <c r="AR29" s="54"/>
      <c r="AS29" s="54"/>
      <c r="AT29" s="54"/>
      <c r="AU29" s="54"/>
      <c r="AV29" s="54"/>
      <c r="AW29" s="16">
        <v>77</v>
      </c>
      <c r="AX29" s="30" t="s">
        <v>45</v>
      </c>
      <c r="AY29" s="53">
        <v>9913</v>
      </c>
      <c r="AZ29" s="54"/>
      <c r="BA29" s="54"/>
      <c r="BB29" s="54"/>
      <c r="BC29" s="54"/>
      <c r="BD29" s="54"/>
      <c r="BE29" s="16">
        <v>77</v>
      </c>
      <c r="BF29" s="30" t="s">
        <v>45</v>
      </c>
      <c r="BG29" s="53">
        <v>3415</v>
      </c>
      <c r="BH29" s="54"/>
      <c r="BI29" s="54"/>
      <c r="BJ29" s="54"/>
      <c r="BK29" s="54"/>
      <c r="BL29" s="54"/>
      <c r="BM29" s="16">
        <v>77</v>
      </c>
      <c r="BN29" s="30" t="s">
        <v>45</v>
      </c>
      <c r="BO29" s="53">
        <v>3672</v>
      </c>
      <c r="BP29" s="54"/>
      <c r="BQ29" s="54"/>
      <c r="BR29" s="54"/>
      <c r="BS29" s="54"/>
      <c r="BT29" s="54"/>
      <c r="BU29" s="16">
        <v>77</v>
      </c>
      <c r="BV29" s="30" t="s">
        <v>45</v>
      </c>
      <c r="BW29" s="53">
        <v>2908</v>
      </c>
      <c r="BX29" s="54"/>
      <c r="BY29" s="54"/>
      <c r="BZ29" s="54"/>
      <c r="CA29" s="54"/>
      <c r="CB29" s="54"/>
      <c r="CC29" s="16">
        <v>77</v>
      </c>
      <c r="CD29" s="30" t="s">
        <v>45</v>
      </c>
      <c r="CE29" s="53">
        <v>3011</v>
      </c>
      <c r="CF29" s="54"/>
      <c r="CG29" s="54"/>
      <c r="CH29" s="54"/>
      <c r="CI29" s="54"/>
      <c r="CJ29" s="54"/>
      <c r="CK29" s="16">
        <v>77</v>
      </c>
      <c r="CL29" s="30" t="s">
        <v>45</v>
      </c>
      <c r="CM29" s="53">
        <v>3087</v>
      </c>
      <c r="CN29" s="54"/>
      <c r="CO29" s="54"/>
      <c r="CP29" s="54"/>
      <c r="CQ29" s="54"/>
      <c r="CR29" s="54"/>
      <c r="CS29" s="16">
        <v>77</v>
      </c>
      <c r="CT29" s="30" t="s">
        <v>45</v>
      </c>
      <c r="CU29" s="53">
        <v>2562</v>
      </c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</row>
    <row r="30" spans="1:123" ht="18">
      <c r="A30" s="16"/>
      <c r="B30" s="30" t="s">
        <v>46</v>
      </c>
      <c r="C30" s="55">
        <v>4</v>
      </c>
      <c r="D30" s="54"/>
      <c r="E30" s="54"/>
      <c r="F30" s="54"/>
      <c r="G30" s="54"/>
      <c r="H30" s="54"/>
      <c r="I30" s="16"/>
      <c r="J30" s="30" t="s">
        <v>46</v>
      </c>
      <c r="K30" s="55">
        <v>4</v>
      </c>
      <c r="L30" s="54"/>
      <c r="M30" s="54"/>
      <c r="N30" s="54"/>
      <c r="O30" s="54"/>
      <c r="P30" s="54"/>
      <c r="Q30" s="16"/>
      <c r="R30" s="30" t="s">
        <v>46</v>
      </c>
      <c r="S30" s="55">
        <v>4</v>
      </c>
      <c r="T30" s="54"/>
      <c r="U30" s="54"/>
      <c r="V30" s="54"/>
      <c r="W30" s="54"/>
      <c r="X30" s="54"/>
      <c r="Y30" s="16"/>
      <c r="Z30" s="30" t="s">
        <v>46</v>
      </c>
      <c r="AA30" s="55">
        <v>3</v>
      </c>
      <c r="AB30" s="54"/>
      <c r="AC30" s="54"/>
      <c r="AD30" s="54"/>
      <c r="AE30" s="54"/>
      <c r="AF30" s="54"/>
      <c r="AG30" s="16"/>
      <c r="AH30" s="30" t="s">
        <v>46</v>
      </c>
      <c r="AI30" s="55">
        <v>7</v>
      </c>
      <c r="AJ30" s="54"/>
      <c r="AK30" s="54"/>
      <c r="AL30" s="54"/>
      <c r="AM30" s="54"/>
      <c r="AN30" s="54"/>
      <c r="AO30" s="16"/>
      <c r="AP30" s="30" t="s">
        <v>46</v>
      </c>
      <c r="AQ30" s="55">
        <v>14</v>
      </c>
      <c r="AR30" s="54"/>
      <c r="AS30" s="54"/>
      <c r="AT30" s="54"/>
      <c r="AU30" s="54"/>
      <c r="AV30" s="54"/>
      <c r="AW30" s="16"/>
      <c r="AX30" s="30" t="s">
        <v>46</v>
      </c>
      <c r="AY30" s="55">
        <v>10</v>
      </c>
      <c r="AZ30" s="54"/>
      <c r="BA30" s="54"/>
      <c r="BB30" s="54"/>
      <c r="BC30" s="54"/>
      <c r="BD30" s="54"/>
      <c r="BE30" s="16"/>
      <c r="BF30" s="30" t="s">
        <v>46</v>
      </c>
      <c r="BG30" s="55">
        <v>3</v>
      </c>
      <c r="BH30" s="54"/>
      <c r="BI30" s="54"/>
      <c r="BJ30" s="54"/>
      <c r="BK30" s="54"/>
      <c r="BL30" s="54"/>
      <c r="BM30" s="16"/>
      <c r="BN30" s="30" t="s">
        <v>46</v>
      </c>
      <c r="BO30" s="55">
        <v>4</v>
      </c>
      <c r="BP30" s="54"/>
      <c r="BQ30" s="54"/>
      <c r="BR30" s="54"/>
      <c r="BS30" s="54"/>
      <c r="BT30" s="54"/>
      <c r="BU30" s="16"/>
      <c r="BV30" s="30" t="s">
        <v>46</v>
      </c>
      <c r="BW30" s="55">
        <v>2</v>
      </c>
      <c r="BX30" s="54"/>
      <c r="BY30" s="54"/>
      <c r="BZ30" s="54"/>
      <c r="CA30" s="54"/>
      <c r="CB30" s="54"/>
      <c r="CC30" s="16"/>
      <c r="CD30" s="30" t="s">
        <v>46</v>
      </c>
      <c r="CE30" s="55">
        <v>3</v>
      </c>
      <c r="CF30" s="54"/>
      <c r="CG30" s="54"/>
      <c r="CH30" s="54"/>
      <c r="CI30" s="54"/>
      <c r="CJ30" s="54"/>
      <c r="CK30" s="16"/>
      <c r="CL30" s="30" t="s">
        <v>46</v>
      </c>
      <c r="CM30" s="55">
        <v>6</v>
      </c>
      <c r="CN30" s="54"/>
      <c r="CO30" s="54"/>
      <c r="CP30" s="54"/>
      <c r="CQ30" s="54"/>
      <c r="CR30" s="54"/>
      <c r="CS30" s="16"/>
      <c r="CT30" s="30" t="s">
        <v>46</v>
      </c>
      <c r="CU30" s="55">
        <v>0</v>
      </c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</row>
    <row r="31" spans="1:123" ht="16">
      <c r="A31" s="36"/>
      <c r="B31" s="15" t="s">
        <v>26</v>
      </c>
      <c r="C31" s="12">
        <v>135</v>
      </c>
      <c r="D31" s="14">
        <v>105098</v>
      </c>
      <c r="F31" s="14"/>
      <c r="G31" s="48"/>
      <c r="I31" s="36"/>
      <c r="J31" s="15" t="s">
        <v>26</v>
      </c>
      <c r="K31" s="12">
        <v>100</v>
      </c>
      <c r="L31" s="14">
        <v>92024</v>
      </c>
      <c r="M31" s="12">
        <f t="shared" ref="M31:N40" si="68">K31-C31</f>
        <v>-35</v>
      </c>
      <c r="N31" s="14">
        <f t="shared" si="68"/>
        <v>-13074</v>
      </c>
      <c r="O31" s="13">
        <f t="shared" ref="O31:O40" si="69">(L31-D31)/D31</f>
        <v>-0.12439818074558984</v>
      </c>
      <c r="Q31" s="36"/>
      <c r="R31" s="15" t="s">
        <v>26</v>
      </c>
      <c r="S31" s="12">
        <v>119</v>
      </c>
      <c r="T31" s="14">
        <v>110547</v>
      </c>
      <c r="U31" s="12">
        <f t="shared" ref="U31:V40" si="70">S31-K31</f>
        <v>19</v>
      </c>
      <c r="V31" s="14">
        <f t="shared" si="70"/>
        <v>18523</v>
      </c>
      <c r="W31" s="13">
        <f t="shared" ref="W31:W40" si="71">(T31-L31)/L31</f>
        <v>0.20128444753542554</v>
      </c>
      <c r="Y31" s="36"/>
      <c r="Z31" s="15" t="s">
        <v>26</v>
      </c>
      <c r="AA31" s="12">
        <v>83</v>
      </c>
      <c r="AB31" s="14">
        <v>75421</v>
      </c>
      <c r="AC31" s="12">
        <f t="shared" ref="AC31:AC40" si="72">AA31-S31</f>
        <v>-36</v>
      </c>
      <c r="AD31" s="14">
        <f t="shared" ref="AD31:AD40" si="73">AB31-T31</f>
        <v>-35126</v>
      </c>
      <c r="AE31" s="13">
        <f t="shared" ref="AE31:AE40" si="74">(AB31-T31)/T31</f>
        <v>-0.3177472025473328</v>
      </c>
      <c r="AG31" s="36"/>
      <c r="AH31" s="15" t="s">
        <v>26</v>
      </c>
      <c r="AI31" s="12">
        <v>93</v>
      </c>
      <c r="AJ31" s="14">
        <v>92469</v>
      </c>
      <c r="AK31" s="12">
        <f t="shared" ref="AK31:AK40" si="75">AI31-AA31</f>
        <v>10</v>
      </c>
      <c r="AL31" s="14">
        <f t="shared" ref="AL31:AL40" si="76">AJ31-AB31</f>
        <v>17048</v>
      </c>
      <c r="AM31" s="13">
        <f t="shared" ref="AM31:AM40" si="77">(AJ31-AB31)/AB31</f>
        <v>0.22603784091963777</v>
      </c>
      <c r="AO31" s="36"/>
      <c r="AP31" s="15" t="s">
        <v>26</v>
      </c>
      <c r="AQ31" s="12">
        <v>218</v>
      </c>
      <c r="AR31" s="14">
        <v>191352</v>
      </c>
      <c r="AS31" s="12">
        <f t="shared" ref="AS31:AS40" si="78">AQ31-AI31</f>
        <v>125</v>
      </c>
      <c r="AT31" s="14">
        <f t="shared" ref="AT31:AT40" si="79">AR31-AJ31</f>
        <v>98883</v>
      </c>
      <c r="AU31" s="13">
        <f t="shared" ref="AU31:AU40" si="80">(AR31-AJ31)/AJ31</f>
        <v>1.0693637867825974</v>
      </c>
      <c r="AW31" s="36"/>
      <c r="AX31" s="15" t="s">
        <v>26</v>
      </c>
      <c r="AY31" s="12">
        <v>222</v>
      </c>
      <c r="AZ31" s="14">
        <v>198724</v>
      </c>
      <c r="BA31" s="12">
        <f t="shared" ref="BA31:BA40" si="81">AY31-AQ31</f>
        <v>4</v>
      </c>
      <c r="BB31" s="14">
        <f t="shared" ref="BB31:BB40" si="82">AZ31-AR31</f>
        <v>7372</v>
      </c>
      <c r="BC31" s="13">
        <f t="shared" ref="BC31:BC40" si="83">(AZ31-AR31)/AR31</f>
        <v>3.8525858104435803E-2</v>
      </c>
      <c r="BE31" s="36"/>
      <c r="BF31" s="15" t="s">
        <v>26</v>
      </c>
      <c r="BG31" s="12">
        <v>115</v>
      </c>
      <c r="BH31" s="14">
        <v>114146</v>
      </c>
      <c r="BI31" s="12">
        <f t="shared" ref="BI31:BI40" si="84">BG31-AY31</f>
        <v>-107</v>
      </c>
      <c r="BJ31" s="14">
        <f t="shared" ref="BJ31:BJ40" si="85">BH31-AZ31</f>
        <v>-84578</v>
      </c>
      <c r="BK31" s="13">
        <f t="shared" ref="BK31:BK40" si="86">(BH31-AZ31)/AZ31</f>
        <v>-0.42560536221090556</v>
      </c>
      <c r="BL31" s="48"/>
      <c r="BM31" s="36"/>
      <c r="BN31" s="15" t="s">
        <v>26</v>
      </c>
      <c r="BO31" s="12">
        <v>91</v>
      </c>
      <c r="BP31" s="14">
        <v>77083</v>
      </c>
      <c r="BQ31" s="12">
        <f t="shared" ref="BQ31:BQ40" si="87">BO31-BG31</f>
        <v>-24</v>
      </c>
      <c r="BR31" s="14">
        <f t="shared" ref="BR31:BR40" si="88">BP31-BH31</f>
        <v>-37063</v>
      </c>
      <c r="BS31" s="13">
        <f t="shared" ref="BS31:BS40" si="89">(BP31-BH31)/BH31</f>
        <v>-0.32469819354160462</v>
      </c>
      <c r="BU31" s="36"/>
      <c r="BV31" s="15" t="s">
        <v>26</v>
      </c>
      <c r="BW31" s="12">
        <v>61</v>
      </c>
      <c r="BX31" s="14">
        <v>59737</v>
      </c>
      <c r="BY31" s="12">
        <f t="shared" ref="BY31:BY40" si="90">BW31-BO31</f>
        <v>-30</v>
      </c>
      <c r="BZ31" s="14">
        <f t="shared" ref="BZ31:BZ40" si="91">BX31-BP31</f>
        <v>-17346</v>
      </c>
      <c r="CA31" s="13">
        <f t="shared" ref="CA31:CA40" si="92">(BX31-BP31)/BP31</f>
        <v>-0.22503016229259371</v>
      </c>
      <c r="CC31" s="36"/>
      <c r="CD31" s="15" t="s">
        <v>26</v>
      </c>
      <c r="CE31" s="12">
        <v>77</v>
      </c>
      <c r="CF31" s="14">
        <v>72290</v>
      </c>
      <c r="CG31" s="12">
        <f t="shared" ref="CG31:CG40" si="93">CE31-BW31</f>
        <v>16</v>
      </c>
      <c r="CH31" s="14">
        <f t="shared" ref="CH31:CH40" si="94">CF31-BX31</f>
        <v>12553</v>
      </c>
      <c r="CI31" s="13">
        <f t="shared" ref="CI31:CI40" si="95">(CF31-BX31)/BX31</f>
        <v>0.21013777056095886</v>
      </c>
      <c r="CK31" s="36"/>
      <c r="CL31" s="15" t="s">
        <v>26</v>
      </c>
      <c r="CM31" s="12">
        <v>70</v>
      </c>
      <c r="CN31" s="14">
        <v>59437</v>
      </c>
      <c r="CO31" s="12">
        <f t="shared" ref="CO31:CO40" si="96">CM31-CE31</f>
        <v>-7</v>
      </c>
      <c r="CP31" s="14">
        <f t="shared" ref="CP31:CP40" si="97">CN31-CF31</f>
        <v>-12853</v>
      </c>
      <c r="CQ31" s="13">
        <f t="shared" ref="CQ31:CQ40" si="98">(CN31-CF31)/CF31</f>
        <v>-0.1777977590261447</v>
      </c>
      <c r="CS31" s="36"/>
      <c r="CT31" s="15" t="s">
        <v>26</v>
      </c>
      <c r="CU31" s="12">
        <v>52</v>
      </c>
      <c r="CV31" s="14">
        <v>49308</v>
      </c>
      <c r="CW31" s="12">
        <f t="shared" ref="CW31:CW40" si="99">CU31-CM31</f>
        <v>-18</v>
      </c>
      <c r="CX31" s="14">
        <f t="shared" ref="CX31:CX40" si="100">CV31-CN31</f>
        <v>-10129</v>
      </c>
      <c r="CY31" s="13">
        <f t="shared" ref="CY31:CY40" si="101">(CV31-CN31)/CN31</f>
        <v>-0.1704157343069132</v>
      </c>
    </row>
    <row r="32" spans="1:123" ht="16">
      <c r="A32" s="36"/>
      <c r="B32" s="15" t="s">
        <v>27</v>
      </c>
      <c r="C32" s="12">
        <v>127</v>
      </c>
      <c r="D32" s="14">
        <v>124002</v>
      </c>
      <c r="F32" s="14"/>
      <c r="G32" s="48"/>
      <c r="I32" s="36"/>
      <c r="J32" s="15" t="s">
        <v>27</v>
      </c>
      <c r="K32" s="12">
        <v>71</v>
      </c>
      <c r="L32" s="14">
        <v>55646</v>
      </c>
      <c r="M32" s="12">
        <f t="shared" si="68"/>
        <v>-56</v>
      </c>
      <c r="N32" s="14">
        <f t="shared" si="68"/>
        <v>-68356</v>
      </c>
      <c r="O32" s="13">
        <f t="shared" si="69"/>
        <v>-0.551249173400429</v>
      </c>
      <c r="Q32" s="36"/>
      <c r="R32" s="15" t="s">
        <v>27</v>
      </c>
      <c r="S32" s="12">
        <v>86</v>
      </c>
      <c r="T32" s="14">
        <v>90803</v>
      </c>
      <c r="U32" s="12">
        <f t="shared" si="70"/>
        <v>15</v>
      </c>
      <c r="V32" s="14">
        <f t="shared" si="70"/>
        <v>35157</v>
      </c>
      <c r="W32" s="13">
        <f t="shared" si="71"/>
        <v>0.63179743377780972</v>
      </c>
      <c r="Y32" s="36"/>
      <c r="Z32" s="15" t="s">
        <v>27</v>
      </c>
      <c r="AA32" s="12">
        <v>103</v>
      </c>
      <c r="AB32" s="14">
        <v>97615</v>
      </c>
      <c r="AC32" s="12">
        <f t="shared" si="72"/>
        <v>17</v>
      </c>
      <c r="AD32" s="14">
        <f t="shared" si="73"/>
        <v>6812</v>
      </c>
      <c r="AE32" s="13">
        <f t="shared" si="74"/>
        <v>7.5019547812296944E-2</v>
      </c>
      <c r="AG32" s="36"/>
      <c r="AH32" s="15" t="s">
        <v>27</v>
      </c>
      <c r="AI32" s="12">
        <v>79</v>
      </c>
      <c r="AJ32" s="14">
        <v>73860</v>
      </c>
      <c r="AK32" s="12">
        <f t="shared" si="75"/>
        <v>-24</v>
      </c>
      <c r="AL32" s="14">
        <f t="shared" si="76"/>
        <v>-23755</v>
      </c>
      <c r="AM32" s="13">
        <f t="shared" si="77"/>
        <v>-0.24335399272652769</v>
      </c>
      <c r="AO32" s="36"/>
      <c r="AP32" s="15" t="s">
        <v>27</v>
      </c>
      <c r="AQ32" s="12">
        <v>187</v>
      </c>
      <c r="AR32" s="14">
        <v>197834</v>
      </c>
      <c r="AS32" s="12">
        <f t="shared" si="78"/>
        <v>108</v>
      </c>
      <c r="AT32" s="14">
        <f t="shared" si="79"/>
        <v>123974</v>
      </c>
      <c r="AU32" s="13">
        <f t="shared" si="80"/>
        <v>1.6784998646087192</v>
      </c>
      <c r="AW32" s="36"/>
      <c r="AX32" s="15" t="s">
        <v>27</v>
      </c>
      <c r="AY32" s="12">
        <v>238</v>
      </c>
      <c r="AZ32" s="14">
        <v>196213</v>
      </c>
      <c r="BA32" s="12">
        <f t="shared" si="81"/>
        <v>51</v>
      </c>
      <c r="BB32" s="14">
        <f t="shared" si="82"/>
        <v>-1621</v>
      </c>
      <c r="BC32" s="13">
        <f t="shared" si="83"/>
        <v>-8.1937381845385519E-3</v>
      </c>
      <c r="BE32" s="36"/>
      <c r="BF32" s="15" t="s">
        <v>27</v>
      </c>
      <c r="BG32" s="12">
        <v>91</v>
      </c>
      <c r="BH32" s="14">
        <v>87829</v>
      </c>
      <c r="BI32" s="12">
        <f t="shared" si="84"/>
        <v>-147</v>
      </c>
      <c r="BJ32" s="14">
        <f t="shared" si="85"/>
        <v>-108384</v>
      </c>
      <c r="BK32" s="13">
        <f t="shared" si="86"/>
        <v>-0.5523793020849791</v>
      </c>
      <c r="BL32" s="48"/>
      <c r="BM32" s="36"/>
      <c r="BN32" s="15" t="s">
        <v>27</v>
      </c>
      <c r="BO32" s="12">
        <v>84</v>
      </c>
      <c r="BP32" s="14">
        <v>71524</v>
      </c>
      <c r="BQ32" s="12">
        <f t="shared" si="87"/>
        <v>-7</v>
      </c>
      <c r="BR32" s="14">
        <f t="shared" si="88"/>
        <v>-16305</v>
      </c>
      <c r="BS32" s="13">
        <f t="shared" si="89"/>
        <v>-0.18564483257238498</v>
      </c>
      <c r="BU32" s="36"/>
      <c r="BV32" s="15" t="s">
        <v>27</v>
      </c>
      <c r="BW32" s="12">
        <v>70</v>
      </c>
      <c r="BX32" s="14">
        <v>69989</v>
      </c>
      <c r="BY32" s="12">
        <f t="shared" si="90"/>
        <v>-14</v>
      </c>
      <c r="BZ32" s="14">
        <f t="shared" si="91"/>
        <v>-1535</v>
      </c>
      <c r="CA32" s="13">
        <f t="shared" si="92"/>
        <v>-2.1461327666237907E-2</v>
      </c>
      <c r="CC32" s="36"/>
      <c r="CD32" s="15" t="s">
        <v>27</v>
      </c>
      <c r="CE32" s="12">
        <v>76</v>
      </c>
      <c r="CF32" s="14">
        <v>78020</v>
      </c>
      <c r="CG32" s="12">
        <f t="shared" si="93"/>
        <v>6</v>
      </c>
      <c r="CH32" s="14">
        <f t="shared" si="94"/>
        <v>8031</v>
      </c>
      <c r="CI32" s="13">
        <f t="shared" si="95"/>
        <v>0.1147466030376202</v>
      </c>
      <c r="CK32" s="36"/>
      <c r="CL32" s="15" t="s">
        <v>27</v>
      </c>
      <c r="CM32" s="12">
        <v>78</v>
      </c>
      <c r="CN32" s="14">
        <v>78645</v>
      </c>
      <c r="CO32" s="12">
        <f t="shared" si="96"/>
        <v>2</v>
      </c>
      <c r="CP32" s="14">
        <f t="shared" si="97"/>
        <v>625</v>
      </c>
      <c r="CQ32" s="13">
        <f t="shared" si="98"/>
        <v>8.0107664701358633E-3</v>
      </c>
      <c r="CS32" s="36"/>
      <c r="CT32" s="15" t="s">
        <v>27</v>
      </c>
      <c r="CU32" s="12">
        <v>57</v>
      </c>
      <c r="CV32" s="14">
        <v>46629</v>
      </c>
      <c r="CW32" s="12">
        <f t="shared" si="99"/>
        <v>-21</v>
      </c>
      <c r="CX32" s="14">
        <f t="shared" si="100"/>
        <v>-32016</v>
      </c>
      <c r="CY32" s="13">
        <f t="shared" si="101"/>
        <v>-0.40709517451840549</v>
      </c>
    </row>
    <row r="33" spans="1:123" ht="16">
      <c r="A33" s="16"/>
      <c r="B33" s="15" t="s">
        <v>28</v>
      </c>
      <c r="C33" s="12">
        <v>21</v>
      </c>
      <c r="D33" s="14">
        <v>151038</v>
      </c>
      <c r="F33" s="14"/>
      <c r="G33" s="48"/>
      <c r="I33" s="16"/>
      <c r="J33" s="15" t="s">
        <v>28</v>
      </c>
      <c r="K33" s="12">
        <v>25</v>
      </c>
      <c r="L33" s="14">
        <v>140143</v>
      </c>
      <c r="M33" s="12">
        <f t="shared" si="68"/>
        <v>4</v>
      </c>
      <c r="N33" s="14">
        <f t="shared" si="68"/>
        <v>-10895</v>
      </c>
      <c r="O33" s="13">
        <f t="shared" si="69"/>
        <v>-7.2134164912141321E-2</v>
      </c>
      <c r="Q33" s="16"/>
      <c r="R33" s="15" t="s">
        <v>28</v>
      </c>
      <c r="S33" s="12">
        <v>15</v>
      </c>
      <c r="T33" s="14">
        <v>88429</v>
      </c>
      <c r="U33" s="12">
        <f t="shared" si="70"/>
        <v>-10</v>
      </c>
      <c r="V33" s="14">
        <f t="shared" si="70"/>
        <v>-51714</v>
      </c>
      <c r="W33" s="13">
        <f t="shared" si="71"/>
        <v>-0.36900879815616905</v>
      </c>
      <c r="Y33" s="16"/>
      <c r="Z33" s="15" t="s">
        <v>28</v>
      </c>
      <c r="AA33" s="12">
        <v>10</v>
      </c>
      <c r="AB33" s="14">
        <v>59834</v>
      </c>
      <c r="AC33" s="12">
        <f t="shared" si="72"/>
        <v>-5</v>
      </c>
      <c r="AD33" s="14">
        <f t="shared" si="73"/>
        <v>-28595</v>
      </c>
      <c r="AE33" s="13">
        <f t="shared" si="74"/>
        <v>-0.32336676882018345</v>
      </c>
      <c r="AG33" s="16"/>
      <c r="AH33" s="15" t="s">
        <v>28</v>
      </c>
      <c r="AI33" s="12">
        <v>21</v>
      </c>
      <c r="AJ33" s="14">
        <v>131324</v>
      </c>
      <c r="AK33" s="12">
        <f t="shared" si="75"/>
        <v>11</v>
      </c>
      <c r="AL33" s="14">
        <f t="shared" si="76"/>
        <v>71490</v>
      </c>
      <c r="AM33" s="13">
        <f t="shared" si="77"/>
        <v>1.1948056289066418</v>
      </c>
      <c r="AO33" s="16"/>
      <c r="AP33" s="15" t="s">
        <v>28</v>
      </c>
      <c r="AQ33" s="12">
        <v>30</v>
      </c>
      <c r="AR33" s="14">
        <v>176120</v>
      </c>
      <c r="AS33" s="12">
        <f t="shared" si="78"/>
        <v>9</v>
      </c>
      <c r="AT33" s="14">
        <f t="shared" si="79"/>
        <v>44796</v>
      </c>
      <c r="AU33" s="13">
        <f t="shared" si="80"/>
        <v>0.34111053577411593</v>
      </c>
      <c r="AW33" s="16"/>
      <c r="AX33" s="15" t="s">
        <v>28</v>
      </c>
      <c r="AY33" s="12">
        <v>50</v>
      </c>
      <c r="AZ33" s="14">
        <v>319048</v>
      </c>
      <c r="BA33" s="12">
        <f t="shared" si="81"/>
        <v>20</v>
      </c>
      <c r="BB33" s="14">
        <f t="shared" si="82"/>
        <v>142928</v>
      </c>
      <c r="BC33" s="13">
        <f t="shared" si="83"/>
        <v>0.81153758800817621</v>
      </c>
      <c r="BE33" s="16"/>
      <c r="BF33" s="15" t="s">
        <v>28</v>
      </c>
      <c r="BG33" s="12">
        <v>21</v>
      </c>
      <c r="BH33" s="14">
        <v>132371</v>
      </c>
      <c r="BI33" s="12">
        <f t="shared" si="84"/>
        <v>-29</v>
      </c>
      <c r="BJ33" s="14">
        <f t="shared" si="85"/>
        <v>-186677</v>
      </c>
      <c r="BK33" s="13">
        <f t="shared" si="86"/>
        <v>-0.58510631629096566</v>
      </c>
      <c r="BL33" s="48"/>
      <c r="BM33" s="16"/>
      <c r="BN33" s="15" t="s">
        <v>28</v>
      </c>
      <c r="BO33" s="12">
        <v>17</v>
      </c>
      <c r="BP33" s="14">
        <v>104695</v>
      </c>
      <c r="BQ33" s="12">
        <f t="shared" si="87"/>
        <v>-4</v>
      </c>
      <c r="BR33" s="14">
        <f t="shared" si="88"/>
        <v>-27676</v>
      </c>
      <c r="BS33" s="13">
        <f t="shared" si="89"/>
        <v>-0.20907902788375096</v>
      </c>
      <c r="BU33" s="16"/>
      <c r="BV33" s="15" t="s">
        <v>28</v>
      </c>
      <c r="BW33" s="12">
        <v>11</v>
      </c>
      <c r="BX33" s="14">
        <v>66501</v>
      </c>
      <c r="BY33" s="12">
        <f t="shared" si="90"/>
        <v>-6</v>
      </c>
      <c r="BZ33" s="14">
        <f t="shared" si="91"/>
        <v>-38194</v>
      </c>
      <c r="CA33" s="13">
        <f t="shared" si="92"/>
        <v>-0.3648120731649076</v>
      </c>
      <c r="CC33" s="16"/>
      <c r="CD33" s="15" t="s">
        <v>28</v>
      </c>
      <c r="CE33" s="12">
        <v>16</v>
      </c>
      <c r="CF33" s="14">
        <v>91181</v>
      </c>
      <c r="CG33" s="12">
        <f t="shared" si="93"/>
        <v>5</v>
      </c>
      <c r="CH33" s="14">
        <f t="shared" si="94"/>
        <v>24680</v>
      </c>
      <c r="CI33" s="13">
        <f t="shared" si="95"/>
        <v>0.37112223876332689</v>
      </c>
      <c r="CK33" s="16"/>
      <c r="CL33" s="15" t="s">
        <v>28</v>
      </c>
      <c r="CM33" s="12">
        <v>17</v>
      </c>
      <c r="CN33" s="14">
        <v>114339</v>
      </c>
      <c r="CO33" s="12">
        <f t="shared" si="96"/>
        <v>1</v>
      </c>
      <c r="CP33" s="14">
        <f t="shared" si="97"/>
        <v>23158</v>
      </c>
      <c r="CQ33" s="13">
        <f t="shared" si="98"/>
        <v>0.2539783507528981</v>
      </c>
      <c r="CS33" s="16"/>
      <c r="CT33" s="15" t="s">
        <v>28</v>
      </c>
      <c r="CU33" s="12">
        <v>11</v>
      </c>
      <c r="CV33" s="14">
        <v>72562</v>
      </c>
      <c r="CW33" s="12">
        <f t="shared" si="99"/>
        <v>-6</v>
      </c>
      <c r="CX33" s="14">
        <f t="shared" si="100"/>
        <v>-41777</v>
      </c>
      <c r="CY33" s="13">
        <f t="shared" si="101"/>
        <v>-0.36537839232457864</v>
      </c>
    </row>
    <row r="34" spans="1:123" ht="16">
      <c r="A34" s="16"/>
      <c r="B34" s="15" t="s">
        <v>29</v>
      </c>
      <c r="C34" s="12">
        <v>15</v>
      </c>
      <c r="D34" s="14">
        <v>229238</v>
      </c>
      <c r="F34" s="14"/>
      <c r="G34" s="48"/>
      <c r="I34" s="16"/>
      <c r="J34" s="15" t="s">
        <v>29</v>
      </c>
      <c r="K34" s="12">
        <v>14</v>
      </c>
      <c r="L34" s="14">
        <v>191619</v>
      </c>
      <c r="M34" s="12">
        <f t="shared" si="68"/>
        <v>-1</v>
      </c>
      <c r="N34" s="14">
        <f t="shared" si="68"/>
        <v>-37619</v>
      </c>
      <c r="O34" s="13">
        <f t="shared" si="69"/>
        <v>-0.16410455509121524</v>
      </c>
      <c r="Q34" s="16"/>
      <c r="R34" s="15" t="s">
        <v>29</v>
      </c>
      <c r="S34" s="12">
        <v>15</v>
      </c>
      <c r="T34" s="14">
        <v>224476</v>
      </c>
      <c r="U34" s="12">
        <f t="shared" si="70"/>
        <v>1</v>
      </c>
      <c r="V34" s="14">
        <f t="shared" si="70"/>
        <v>32857</v>
      </c>
      <c r="W34" s="13">
        <f t="shared" si="71"/>
        <v>0.17147047004733351</v>
      </c>
      <c r="Y34" s="16"/>
      <c r="Z34" s="15" t="s">
        <v>29</v>
      </c>
      <c r="AA34" s="12">
        <v>9</v>
      </c>
      <c r="AB34" s="14">
        <v>101048</v>
      </c>
      <c r="AC34" s="12">
        <f t="shared" si="72"/>
        <v>-6</v>
      </c>
      <c r="AD34" s="14">
        <f t="shared" si="73"/>
        <v>-123428</v>
      </c>
      <c r="AE34" s="13">
        <f t="shared" si="74"/>
        <v>-0.54984942711024787</v>
      </c>
      <c r="AG34" s="16"/>
      <c r="AH34" s="15" t="s">
        <v>29</v>
      </c>
      <c r="AI34" s="12">
        <v>13</v>
      </c>
      <c r="AJ34" s="14">
        <v>143714</v>
      </c>
      <c r="AK34" s="12">
        <f t="shared" si="75"/>
        <v>4</v>
      </c>
      <c r="AL34" s="14">
        <f t="shared" si="76"/>
        <v>42666</v>
      </c>
      <c r="AM34" s="13">
        <f t="shared" si="77"/>
        <v>0.42223497743646582</v>
      </c>
      <c r="AO34" s="16"/>
      <c r="AP34" s="15" t="s">
        <v>29</v>
      </c>
      <c r="AQ34" s="12">
        <v>21</v>
      </c>
      <c r="AR34" s="14">
        <v>260000</v>
      </c>
      <c r="AS34" s="12">
        <f t="shared" si="78"/>
        <v>8</v>
      </c>
      <c r="AT34" s="14">
        <f t="shared" si="79"/>
        <v>116286</v>
      </c>
      <c r="AU34" s="13">
        <f t="shared" si="80"/>
        <v>0.80914872594180109</v>
      </c>
      <c r="AW34" s="16"/>
      <c r="AX34" s="15" t="s">
        <v>29</v>
      </c>
      <c r="AY34" s="12">
        <v>22</v>
      </c>
      <c r="AZ34" s="14">
        <v>251238</v>
      </c>
      <c r="BA34" s="12">
        <f t="shared" si="81"/>
        <v>1</v>
      </c>
      <c r="BB34" s="14">
        <f t="shared" si="82"/>
        <v>-8762</v>
      </c>
      <c r="BC34" s="13">
        <f t="shared" si="83"/>
        <v>-3.3700000000000001E-2</v>
      </c>
      <c r="BE34" s="16"/>
      <c r="BF34" s="15" t="s">
        <v>29</v>
      </c>
      <c r="BG34" s="12">
        <v>19</v>
      </c>
      <c r="BH34" s="14">
        <v>259048</v>
      </c>
      <c r="BI34" s="12">
        <f t="shared" si="84"/>
        <v>-3</v>
      </c>
      <c r="BJ34" s="14">
        <f t="shared" si="85"/>
        <v>7810</v>
      </c>
      <c r="BK34" s="13">
        <f t="shared" si="86"/>
        <v>3.108606182185816E-2</v>
      </c>
      <c r="BL34" s="48"/>
      <c r="BM34" s="16"/>
      <c r="BN34" s="15" t="s">
        <v>29</v>
      </c>
      <c r="BO34" s="12">
        <v>15</v>
      </c>
      <c r="BP34" s="14">
        <v>171333</v>
      </c>
      <c r="BQ34" s="12">
        <f t="shared" si="87"/>
        <v>-4</v>
      </c>
      <c r="BR34" s="14">
        <f t="shared" si="88"/>
        <v>-87715</v>
      </c>
      <c r="BS34" s="13">
        <f t="shared" si="89"/>
        <v>-0.33860520058058741</v>
      </c>
      <c r="BU34" s="16"/>
      <c r="BV34" s="15" t="s">
        <v>29</v>
      </c>
      <c r="BW34" s="12">
        <v>11</v>
      </c>
      <c r="BX34" s="14">
        <v>136667</v>
      </c>
      <c r="BY34" s="12">
        <f t="shared" si="90"/>
        <v>-4</v>
      </c>
      <c r="BZ34" s="14">
        <f t="shared" si="91"/>
        <v>-34666</v>
      </c>
      <c r="CA34" s="13">
        <f t="shared" si="92"/>
        <v>-0.20233113293994737</v>
      </c>
      <c r="CC34" s="16"/>
      <c r="CD34" s="15" t="s">
        <v>29</v>
      </c>
      <c r="CE34" s="12">
        <v>9</v>
      </c>
      <c r="CF34" s="14">
        <v>148450</v>
      </c>
      <c r="CG34" s="12">
        <f t="shared" si="93"/>
        <v>-2</v>
      </c>
      <c r="CH34" s="14">
        <f t="shared" si="94"/>
        <v>11783</v>
      </c>
      <c r="CI34" s="13">
        <f t="shared" si="95"/>
        <v>8.6216862885700282E-2</v>
      </c>
      <c r="CK34" s="16"/>
      <c r="CL34" s="15" t="s">
        <v>29</v>
      </c>
      <c r="CM34" s="12">
        <v>7</v>
      </c>
      <c r="CN34" s="14">
        <v>77810</v>
      </c>
      <c r="CO34" s="12">
        <f t="shared" si="96"/>
        <v>-2</v>
      </c>
      <c r="CP34" s="14">
        <f t="shared" si="97"/>
        <v>-70640</v>
      </c>
      <c r="CQ34" s="13">
        <f t="shared" si="98"/>
        <v>-0.47585045469855169</v>
      </c>
      <c r="CS34" s="16"/>
      <c r="CT34" s="15" t="s">
        <v>29</v>
      </c>
      <c r="CU34" s="12">
        <v>6</v>
      </c>
      <c r="CV34" s="14">
        <v>72381</v>
      </c>
      <c r="CW34" s="12">
        <f t="shared" si="99"/>
        <v>-1</v>
      </c>
      <c r="CX34" s="14">
        <f t="shared" si="100"/>
        <v>-5429</v>
      </c>
      <c r="CY34" s="13">
        <f t="shared" si="101"/>
        <v>-6.9772522811977891E-2</v>
      </c>
    </row>
    <row r="35" spans="1:123" ht="16">
      <c r="A35" s="16"/>
      <c r="B35" s="15" t="s">
        <v>30</v>
      </c>
      <c r="C35" s="12">
        <v>3</v>
      </c>
      <c r="D35" s="14">
        <v>8571</v>
      </c>
      <c r="F35" s="14"/>
      <c r="G35" s="48"/>
      <c r="I35" s="16"/>
      <c r="J35" s="15" t="s">
        <v>30</v>
      </c>
      <c r="K35" s="12">
        <v>4</v>
      </c>
      <c r="L35" s="14">
        <v>13706</v>
      </c>
      <c r="M35" s="12">
        <f t="shared" si="68"/>
        <v>1</v>
      </c>
      <c r="N35" s="14">
        <f t="shared" si="68"/>
        <v>5135</v>
      </c>
      <c r="O35" s="13">
        <f t="shared" si="69"/>
        <v>0.59911328899778327</v>
      </c>
      <c r="Q35" s="16"/>
      <c r="R35" s="15" t="s">
        <v>30</v>
      </c>
      <c r="S35" s="12">
        <v>4</v>
      </c>
      <c r="T35" s="14">
        <v>11429</v>
      </c>
      <c r="U35" s="12">
        <f t="shared" si="70"/>
        <v>0</v>
      </c>
      <c r="V35" s="14">
        <f t="shared" si="70"/>
        <v>-2277</v>
      </c>
      <c r="W35" s="13">
        <f t="shared" si="71"/>
        <v>-0.16613162118780098</v>
      </c>
      <c r="Y35" s="16"/>
      <c r="Z35" s="15" t="s">
        <v>30</v>
      </c>
      <c r="AA35" s="12">
        <v>5</v>
      </c>
      <c r="AB35" s="14">
        <v>29324</v>
      </c>
      <c r="AC35" s="12">
        <f t="shared" si="72"/>
        <v>1</v>
      </c>
      <c r="AD35" s="14">
        <f t="shared" si="73"/>
        <v>17895</v>
      </c>
      <c r="AE35" s="13">
        <f t="shared" si="74"/>
        <v>1.5657537842330913</v>
      </c>
      <c r="AG35" s="16"/>
      <c r="AH35" s="15" t="s">
        <v>30</v>
      </c>
      <c r="AI35" s="12">
        <v>2</v>
      </c>
      <c r="AJ35" s="14">
        <v>5714</v>
      </c>
      <c r="AK35" s="12">
        <f t="shared" si="75"/>
        <v>-3</v>
      </c>
      <c r="AL35" s="14">
        <f t="shared" si="76"/>
        <v>-23610</v>
      </c>
      <c r="AM35" s="13">
        <f t="shared" si="77"/>
        <v>-0.80514254535534036</v>
      </c>
      <c r="AO35" s="16"/>
      <c r="AP35" s="15" t="s">
        <v>30</v>
      </c>
      <c r="AQ35" s="12">
        <v>2</v>
      </c>
      <c r="AR35" s="14">
        <v>17714</v>
      </c>
      <c r="AS35" s="12">
        <f t="shared" si="78"/>
        <v>0</v>
      </c>
      <c r="AT35" s="14">
        <f t="shared" si="79"/>
        <v>12000</v>
      </c>
      <c r="AU35" s="13">
        <f t="shared" si="80"/>
        <v>2.1001050052502626</v>
      </c>
      <c r="AW35" s="16"/>
      <c r="AX35" s="15" t="s">
        <v>30</v>
      </c>
      <c r="AY35" s="12">
        <v>4</v>
      </c>
      <c r="AZ35" s="14">
        <v>17429</v>
      </c>
      <c r="BA35" s="12">
        <f t="shared" si="81"/>
        <v>2</v>
      </c>
      <c r="BB35" s="14">
        <f t="shared" si="82"/>
        <v>-285</v>
      </c>
      <c r="BC35" s="13">
        <f t="shared" si="83"/>
        <v>-1.6088969176922208E-2</v>
      </c>
      <c r="BE35" s="16"/>
      <c r="BF35" s="15" t="s">
        <v>30</v>
      </c>
      <c r="BG35" s="12">
        <v>4</v>
      </c>
      <c r="BH35" s="14">
        <v>11429</v>
      </c>
      <c r="BI35" s="12">
        <f t="shared" si="84"/>
        <v>0</v>
      </c>
      <c r="BJ35" s="14">
        <f t="shared" si="85"/>
        <v>-6000</v>
      </c>
      <c r="BK35" s="13">
        <f t="shared" si="86"/>
        <v>-0.34425382982385677</v>
      </c>
      <c r="BL35" s="48"/>
      <c r="BM35" s="16"/>
      <c r="BN35" s="15" t="s">
        <v>30</v>
      </c>
      <c r="BO35" s="12">
        <v>2</v>
      </c>
      <c r="BP35" s="14">
        <v>9514</v>
      </c>
      <c r="BQ35" s="12">
        <f t="shared" si="87"/>
        <v>-2</v>
      </c>
      <c r="BR35" s="14">
        <f t="shared" si="88"/>
        <v>-1915</v>
      </c>
      <c r="BS35" s="13">
        <f t="shared" si="89"/>
        <v>-0.16755621664187592</v>
      </c>
      <c r="BU35" s="16"/>
      <c r="BV35" s="15" t="s">
        <v>30</v>
      </c>
      <c r="BW35" s="12">
        <v>0</v>
      </c>
      <c r="BX35" s="14">
        <v>0</v>
      </c>
      <c r="BY35" s="12">
        <f t="shared" si="90"/>
        <v>-2</v>
      </c>
      <c r="BZ35" s="14">
        <f t="shared" si="91"/>
        <v>-9514</v>
      </c>
      <c r="CA35" s="13">
        <f t="shared" si="92"/>
        <v>-1</v>
      </c>
      <c r="CC35" s="16"/>
      <c r="CD35" s="15" t="s">
        <v>30</v>
      </c>
      <c r="CE35" s="12">
        <v>2</v>
      </c>
      <c r="CF35" s="14">
        <v>8849</v>
      </c>
      <c r="CG35" s="12">
        <f t="shared" si="93"/>
        <v>2</v>
      </c>
      <c r="CH35" s="14">
        <f t="shared" si="94"/>
        <v>8849</v>
      </c>
      <c r="CI35" s="13" t="e">
        <f t="shared" si="95"/>
        <v>#DIV/0!</v>
      </c>
      <c r="CK35" s="16"/>
      <c r="CL35" s="15" t="s">
        <v>30</v>
      </c>
      <c r="CM35" s="12">
        <v>8</v>
      </c>
      <c r="CN35" s="14">
        <v>38399</v>
      </c>
      <c r="CO35" s="12">
        <f t="shared" si="96"/>
        <v>6</v>
      </c>
      <c r="CP35" s="14">
        <f t="shared" si="97"/>
        <v>29550</v>
      </c>
      <c r="CQ35" s="13">
        <f t="shared" si="98"/>
        <v>3.3393603797039213</v>
      </c>
      <c r="CS35" s="16"/>
      <c r="CT35" s="15" t="s">
        <v>30</v>
      </c>
      <c r="CU35" s="12">
        <v>1</v>
      </c>
      <c r="CV35" s="14">
        <v>6657</v>
      </c>
      <c r="CW35" s="12">
        <f t="shared" si="99"/>
        <v>-7</v>
      </c>
      <c r="CX35" s="14">
        <f t="shared" si="100"/>
        <v>-31742</v>
      </c>
      <c r="CY35" s="13">
        <f t="shared" si="101"/>
        <v>-0.82663611031537276</v>
      </c>
    </row>
    <row r="36" spans="1:123" ht="16">
      <c r="A36" s="16"/>
      <c r="B36" s="15" t="s">
        <v>31</v>
      </c>
      <c r="C36" s="12">
        <v>4</v>
      </c>
      <c r="D36" s="14">
        <v>10260</v>
      </c>
      <c r="F36" s="14"/>
      <c r="G36" s="48"/>
      <c r="I36" s="16"/>
      <c r="J36" s="15" t="s">
        <v>31</v>
      </c>
      <c r="K36" s="12">
        <v>3</v>
      </c>
      <c r="L36" s="14">
        <v>9680</v>
      </c>
      <c r="M36" s="12">
        <f t="shared" si="68"/>
        <v>-1</v>
      </c>
      <c r="N36" s="14">
        <f t="shared" si="68"/>
        <v>-580</v>
      </c>
      <c r="O36" s="13">
        <f t="shared" si="69"/>
        <v>-5.6530214424951264E-2</v>
      </c>
      <c r="Q36" s="16"/>
      <c r="R36" s="15" t="s">
        <v>31</v>
      </c>
      <c r="S36" s="12">
        <v>4</v>
      </c>
      <c r="T36" s="14">
        <v>8970</v>
      </c>
      <c r="U36" s="12">
        <f t="shared" si="70"/>
        <v>1</v>
      </c>
      <c r="V36" s="14">
        <f t="shared" si="70"/>
        <v>-710</v>
      </c>
      <c r="W36" s="13">
        <f t="shared" si="71"/>
        <v>-7.3347107438016534E-2</v>
      </c>
      <c r="Y36" s="16"/>
      <c r="Z36" s="15" t="s">
        <v>31</v>
      </c>
      <c r="AA36" s="12">
        <v>2</v>
      </c>
      <c r="AB36" s="14">
        <v>7010</v>
      </c>
      <c r="AC36" s="12">
        <f t="shared" si="72"/>
        <v>-2</v>
      </c>
      <c r="AD36" s="14">
        <f t="shared" si="73"/>
        <v>-1960</v>
      </c>
      <c r="AE36" s="13">
        <f t="shared" si="74"/>
        <v>-0.21850613154960982</v>
      </c>
      <c r="AG36" s="16"/>
      <c r="AH36" s="15" t="s">
        <v>31</v>
      </c>
      <c r="AI36" s="12">
        <v>4</v>
      </c>
      <c r="AJ36" s="14">
        <v>9460</v>
      </c>
      <c r="AK36" s="12">
        <f t="shared" si="75"/>
        <v>2</v>
      </c>
      <c r="AL36" s="14">
        <f t="shared" si="76"/>
        <v>2450</v>
      </c>
      <c r="AM36" s="13">
        <f t="shared" si="77"/>
        <v>0.34950071326676174</v>
      </c>
      <c r="AO36" s="16"/>
      <c r="AP36" s="15" t="s">
        <v>31</v>
      </c>
      <c r="AQ36" s="12">
        <v>4</v>
      </c>
      <c r="AR36" s="14">
        <v>10000</v>
      </c>
      <c r="AS36" s="12">
        <f t="shared" si="78"/>
        <v>0</v>
      </c>
      <c r="AT36" s="14">
        <f t="shared" si="79"/>
        <v>540</v>
      </c>
      <c r="AU36" s="13">
        <f t="shared" si="80"/>
        <v>5.7082452431289642E-2</v>
      </c>
      <c r="AW36" s="16"/>
      <c r="AX36" s="15" t="s">
        <v>31</v>
      </c>
      <c r="AY36" s="12">
        <v>3</v>
      </c>
      <c r="AZ36" s="14">
        <v>10900</v>
      </c>
      <c r="BA36" s="12">
        <f t="shared" si="81"/>
        <v>-1</v>
      </c>
      <c r="BB36" s="14">
        <f t="shared" si="82"/>
        <v>900</v>
      </c>
      <c r="BC36" s="13">
        <f t="shared" si="83"/>
        <v>0.09</v>
      </c>
      <c r="BE36" s="16"/>
      <c r="BF36" s="15" t="s">
        <v>31</v>
      </c>
      <c r="BG36" s="12">
        <v>3</v>
      </c>
      <c r="BH36" s="14">
        <v>15870</v>
      </c>
      <c r="BI36" s="12">
        <f t="shared" si="84"/>
        <v>0</v>
      </c>
      <c r="BJ36" s="14">
        <f t="shared" si="85"/>
        <v>4970</v>
      </c>
      <c r="BK36" s="13">
        <f t="shared" si="86"/>
        <v>0.45596330275229358</v>
      </c>
      <c r="BL36" s="48"/>
      <c r="BM36" s="16"/>
      <c r="BN36" s="15" t="s">
        <v>31</v>
      </c>
      <c r="BO36" s="12">
        <v>1</v>
      </c>
      <c r="BP36" s="14">
        <v>7290</v>
      </c>
      <c r="BQ36" s="12">
        <f t="shared" si="87"/>
        <v>-2</v>
      </c>
      <c r="BR36" s="14">
        <f t="shared" si="88"/>
        <v>-8580</v>
      </c>
      <c r="BS36" s="13">
        <f t="shared" si="89"/>
        <v>-0.54064272211720232</v>
      </c>
      <c r="BU36" s="16"/>
      <c r="BV36" s="15" t="s">
        <v>31</v>
      </c>
      <c r="BW36" s="12">
        <v>4</v>
      </c>
      <c r="BX36" s="14">
        <v>16860</v>
      </c>
      <c r="BY36" s="12">
        <f t="shared" si="90"/>
        <v>3</v>
      </c>
      <c r="BZ36" s="14">
        <f t="shared" si="91"/>
        <v>9570</v>
      </c>
      <c r="CA36" s="13">
        <f t="shared" si="92"/>
        <v>1.3127572016460904</v>
      </c>
      <c r="CC36" s="16"/>
      <c r="CD36" s="15" t="s">
        <v>31</v>
      </c>
      <c r="CE36" s="12">
        <v>2</v>
      </c>
      <c r="CF36" s="14">
        <v>6880</v>
      </c>
      <c r="CG36" s="12">
        <f t="shared" si="93"/>
        <v>-2</v>
      </c>
      <c r="CH36" s="14">
        <f t="shared" si="94"/>
        <v>-9980</v>
      </c>
      <c r="CI36" s="13">
        <f t="shared" si="95"/>
        <v>-0.5919335705812574</v>
      </c>
      <c r="CK36" s="16"/>
      <c r="CL36" s="15" t="s">
        <v>31</v>
      </c>
      <c r="CM36" s="12">
        <v>3</v>
      </c>
      <c r="CN36" s="14">
        <v>15870</v>
      </c>
      <c r="CO36" s="12">
        <f t="shared" si="96"/>
        <v>1</v>
      </c>
      <c r="CP36" s="14">
        <f t="shared" si="97"/>
        <v>8990</v>
      </c>
      <c r="CQ36" s="13">
        <f t="shared" si="98"/>
        <v>1.3066860465116279</v>
      </c>
      <c r="CS36" s="16"/>
      <c r="CT36" s="15" t="s">
        <v>31</v>
      </c>
      <c r="CU36" s="12">
        <v>1</v>
      </c>
      <c r="CV36" s="14">
        <v>0</v>
      </c>
      <c r="CW36" s="12">
        <f t="shared" si="99"/>
        <v>-2</v>
      </c>
      <c r="CX36" s="14">
        <f t="shared" si="100"/>
        <v>-15870</v>
      </c>
      <c r="CY36" s="13">
        <f t="shared" si="101"/>
        <v>-1</v>
      </c>
    </row>
    <row r="37" spans="1:123" ht="16">
      <c r="A37" s="16"/>
      <c r="B37" s="15" t="s">
        <v>32</v>
      </c>
      <c r="C37" s="12">
        <v>1</v>
      </c>
      <c r="D37" s="14">
        <v>46571</v>
      </c>
      <c r="F37" s="14"/>
      <c r="G37" s="48"/>
      <c r="I37" s="16"/>
      <c r="J37" s="15" t="s">
        <v>32</v>
      </c>
      <c r="K37" s="12">
        <v>5</v>
      </c>
      <c r="L37" s="14">
        <v>188111</v>
      </c>
      <c r="M37" s="12">
        <f t="shared" si="68"/>
        <v>4</v>
      </c>
      <c r="N37" s="14">
        <f t="shared" si="68"/>
        <v>141540</v>
      </c>
      <c r="O37" s="13">
        <f t="shared" si="69"/>
        <v>3.0392304223658502</v>
      </c>
      <c r="Q37" s="16"/>
      <c r="R37" s="15" t="s">
        <v>32</v>
      </c>
      <c r="S37" s="12">
        <v>1</v>
      </c>
      <c r="T37" s="14">
        <v>100857</v>
      </c>
      <c r="U37" s="12">
        <f t="shared" si="70"/>
        <v>-4</v>
      </c>
      <c r="V37" s="14">
        <f t="shared" si="70"/>
        <v>-87254</v>
      </c>
      <c r="W37" s="13">
        <f t="shared" si="71"/>
        <v>-0.46384315643423296</v>
      </c>
      <c r="Y37" s="16"/>
      <c r="Z37" s="15" t="s">
        <v>32</v>
      </c>
      <c r="AA37" s="12">
        <v>3</v>
      </c>
      <c r="AB37" s="14">
        <v>118273</v>
      </c>
      <c r="AC37" s="12">
        <f t="shared" si="72"/>
        <v>2</v>
      </c>
      <c r="AD37" s="14">
        <f t="shared" si="73"/>
        <v>17416</v>
      </c>
      <c r="AE37" s="13">
        <f t="shared" si="74"/>
        <v>0.17268013127497348</v>
      </c>
      <c r="AG37" s="16"/>
      <c r="AH37" s="15" t="s">
        <v>32</v>
      </c>
      <c r="AI37" s="12">
        <v>1</v>
      </c>
      <c r="AJ37" s="14">
        <v>32481</v>
      </c>
      <c r="AK37" s="12">
        <f t="shared" si="75"/>
        <v>-2</v>
      </c>
      <c r="AL37" s="14">
        <f t="shared" si="76"/>
        <v>-85792</v>
      </c>
      <c r="AM37" s="13">
        <f t="shared" si="77"/>
        <v>-0.72537265479018875</v>
      </c>
      <c r="AO37" s="16"/>
      <c r="AP37" s="15" t="s">
        <v>32</v>
      </c>
      <c r="AQ37" s="12">
        <v>5</v>
      </c>
      <c r="AR37" s="14">
        <v>247200</v>
      </c>
      <c r="AS37" s="12">
        <f t="shared" si="78"/>
        <v>4</v>
      </c>
      <c r="AT37" s="14">
        <f t="shared" si="79"/>
        <v>214719</v>
      </c>
      <c r="AU37" s="13">
        <f t="shared" si="80"/>
        <v>6.6106031218250667</v>
      </c>
      <c r="AW37" s="16"/>
      <c r="AX37" s="15" t="s">
        <v>32</v>
      </c>
      <c r="AY37" s="12">
        <v>1</v>
      </c>
      <c r="AZ37" s="14">
        <v>50397</v>
      </c>
      <c r="BA37" s="12">
        <f t="shared" si="81"/>
        <v>-4</v>
      </c>
      <c r="BB37" s="14">
        <f t="shared" si="82"/>
        <v>-196803</v>
      </c>
      <c r="BC37" s="13">
        <f t="shared" si="83"/>
        <v>-0.79612864077669898</v>
      </c>
      <c r="BE37" s="16"/>
      <c r="BF37" s="15" t="s">
        <v>32</v>
      </c>
      <c r="BG37" s="12">
        <v>5</v>
      </c>
      <c r="BH37" s="14">
        <v>200469</v>
      </c>
      <c r="BI37" s="12">
        <f t="shared" si="84"/>
        <v>4</v>
      </c>
      <c r="BJ37" s="14">
        <f t="shared" si="85"/>
        <v>150072</v>
      </c>
      <c r="BK37" s="13">
        <f t="shared" si="86"/>
        <v>2.9777962973986547</v>
      </c>
      <c r="BL37" s="48"/>
      <c r="BM37" s="16"/>
      <c r="BN37" s="15" t="s">
        <v>32</v>
      </c>
      <c r="BO37" s="12">
        <v>2</v>
      </c>
      <c r="BP37" s="14">
        <v>61311</v>
      </c>
      <c r="BQ37" s="12">
        <f t="shared" si="87"/>
        <v>-3</v>
      </c>
      <c r="BR37" s="14">
        <f t="shared" si="88"/>
        <v>-139158</v>
      </c>
      <c r="BS37" s="13">
        <f t="shared" si="89"/>
        <v>-0.69416218966523502</v>
      </c>
      <c r="BU37" s="16"/>
      <c r="BV37" s="15" t="s">
        <v>32</v>
      </c>
      <c r="BW37" s="12">
        <v>4</v>
      </c>
      <c r="BX37" s="14">
        <v>138042</v>
      </c>
      <c r="BY37" s="12">
        <f t="shared" si="90"/>
        <v>2</v>
      </c>
      <c r="BZ37" s="14">
        <f t="shared" si="91"/>
        <v>76731</v>
      </c>
      <c r="CA37" s="13">
        <f t="shared" si="92"/>
        <v>1.2515046239663357</v>
      </c>
      <c r="CC37" s="16"/>
      <c r="CD37" s="15" t="s">
        <v>32</v>
      </c>
      <c r="CE37" s="12">
        <v>2</v>
      </c>
      <c r="CF37" s="14">
        <v>76000</v>
      </c>
      <c r="CG37" s="12">
        <f t="shared" si="93"/>
        <v>-2</v>
      </c>
      <c r="CH37" s="14">
        <f t="shared" si="94"/>
        <v>-62042</v>
      </c>
      <c r="CI37" s="13">
        <f t="shared" si="95"/>
        <v>-0.44944292316831108</v>
      </c>
      <c r="CK37" s="16"/>
      <c r="CL37" s="15" t="s">
        <v>32</v>
      </c>
      <c r="CM37" s="12">
        <v>3</v>
      </c>
      <c r="CN37" s="14">
        <v>115654</v>
      </c>
      <c r="CO37" s="12">
        <f t="shared" si="96"/>
        <v>1</v>
      </c>
      <c r="CP37" s="14">
        <f t="shared" si="97"/>
        <v>39654</v>
      </c>
      <c r="CQ37" s="13">
        <f t="shared" si="98"/>
        <v>0.52176315789473682</v>
      </c>
      <c r="CS37" s="16"/>
      <c r="CT37" s="15" t="s">
        <v>32</v>
      </c>
      <c r="CU37" s="12">
        <v>3</v>
      </c>
      <c r="CV37" s="14">
        <v>99714</v>
      </c>
      <c r="CW37" s="12">
        <f t="shared" si="99"/>
        <v>0</v>
      </c>
      <c r="CX37" s="14">
        <f t="shared" si="100"/>
        <v>-15940</v>
      </c>
      <c r="CY37" s="13">
        <f t="shared" si="101"/>
        <v>-0.13782489148667579</v>
      </c>
    </row>
    <row r="38" spans="1:123" ht="16">
      <c r="A38" s="16"/>
      <c r="B38" s="15" t="s">
        <v>33</v>
      </c>
      <c r="C38" s="12">
        <v>2</v>
      </c>
      <c r="D38" s="14">
        <v>44571</v>
      </c>
      <c r="F38" s="14"/>
      <c r="G38" s="48"/>
      <c r="I38" s="16"/>
      <c r="J38" s="15" t="s">
        <v>33</v>
      </c>
      <c r="K38" s="12">
        <v>5</v>
      </c>
      <c r="L38" s="14">
        <v>102286</v>
      </c>
      <c r="M38" s="12">
        <f t="shared" si="68"/>
        <v>3</v>
      </c>
      <c r="N38" s="14">
        <f t="shared" si="68"/>
        <v>57715</v>
      </c>
      <c r="O38" s="13">
        <f t="shared" si="69"/>
        <v>1.2949002714769693</v>
      </c>
      <c r="Q38" s="16"/>
      <c r="R38" s="15" t="s">
        <v>33</v>
      </c>
      <c r="S38" s="12">
        <v>5</v>
      </c>
      <c r="T38" s="14">
        <v>100190</v>
      </c>
      <c r="U38" s="12">
        <f t="shared" si="70"/>
        <v>0</v>
      </c>
      <c r="V38" s="14">
        <f t="shared" si="70"/>
        <v>-2096</v>
      </c>
      <c r="W38" s="13">
        <f t="shared" si="71"/>
        <v>-2.0491562872729407E-2</v>
      </c>
      <c r="Y38" s="16"/>
      <c r="Z38" s="15" t="s">
        <v>33</v>
      </c>
      <c r="AA38" s="12">
        <v>4</v>
      </c>
      <c r="AB38" s="14">
        <v>77238</v>
      </c>
      <c r="AC38" s="12">
        <f t="shared" si="72"/>
        <v>-1</v>
      </c>
      <c r="AD38" s="14">
        <f t="shared" si="73"/>
        <v>-22952</v>
      </c>
      <c r="AE38" s="13">
        <f t="shared" si="74"/>
        <v>-0.22908473899590778</v>
      </c>
      <c r="AG38" s="16"/>
      <c r="AH38" s="15" t="s">
        <v>33</v>
      </c>
      <c r="AI38" s="12">
        <v>7</v>
      </c>
      <c r="AJ38" s="14">
        <v>123143</v>
      </c>
      <c r="AK38" s="12">
        <f t="shared" si="75"/>
        <v>3</v>
      </c>
      <c r="AL38" s="14">
        <f t="shared" si="76"/>
        <v>45905</v>
      </c>
      <c r="AM38" s="13">
        <f t="shared" si="77"/>
        <v>0.59433180558792309</v>
      </c>
      <c r="AO38" s="16"/>
      <c r="AP38" s="15" t="s">
        <v>33</v>
      </c>
      <c r="AQ38" s="12">
        <v>24</v>
      </c>
      <c r="AR38" s="14">
        <v>439143</v>
      </c>
      <c r="AS38" s="12">
        <f t="shared" si="78"/>
        <v>17</v>
      </c>
      <c r="AT38" s="14">
        <f t="shared" si="79"/>
        <v>316000</v>
      </c>
      <c r="AU38" s="13">
        <f t="shared" si="80"/>
        <v>2.5661223130831634</v>
      </c>
      <c r="AW38" s="16"/>
      <c r="AX38" s="15" t="s">
        <v>33</v>
      </c>
      <c r="AY38" s="12">
        <v>14</v>
      </c>
      <c r="AZ38" s="14">
        <v>250571</v>
      </c>
      <c r="BA38" s="12">
        <f t="shared" si="81"/>
        <v>-10</v>
      </c>
      <c r="BB38" s="14">
        <f t="shared" si="82"/>
        <v>-188572</v>
      </c>
      <c r="BC38" s="13">
        <f t="shared" si="83"/>
        <v>-0.42940909908617464</v>
      </c>
      <c r="BE38" s="16"/>
      <c r="BF38" s="15" t="s">
        <v>33</v>
      </c>
      <c r="BG38" s="12">
        <v>10</v>
      </c>
      <c r="BH38" s="14">
        <v>216952</v>
      </c>
      <c r="BI38" s="12">
        <f t="shared" si="84"/>
        <v>-4</v>
      </c>
      <c r="BJ38" s="14">
        <f t="shared" si="85"/>
        <v>-33619</v>
      </c>
      <c r="BK38" s="13">
        <f t="shared" si="86"/>
        <v>-0.13416955673242315</v>
      </c>
      <c r="BL38" s="48"/>
      <c r="BM38" s="16"/>
      <c r="BN38" s="15" t="s">
        <v>33</v>
      </c>
      <c r="BO38" s="12">
        <v>4</v>
      </c>
      <c r="BP38" s="14">
        <v>74762</v>
      </c>
      <c r="BQ38" s="12">
        <f t="shared" si="87"/>
        <v>-6</v>
      </c>
      <c r="BR38" s="14">
        <f t="shared" si="88"/>
        <v>-142190</v>
      </c>
      <c r="BS38" s="13">
        <f t="shared" si="89"/>
        <v>-0.65539842914561741</v>
      </c>
      <c r="BU38" s="16"/>
      <c r="BV38" s="15" t="s">
        <v>33</v>
      </c>
      <c r="BW38" s="12">
        <v>5</v>
      </c>
      <c r="BX38" s="14">
        <v>104476</v>
      </c>
      <c r="BY38" s="12">
        <f t="shared" si="90"/>
        <v>1</v>
      </c>
      <c r="BZ38" s="14">
        <f t="shared" si="91"/>
        <v>29714</v>
      </c>
      <c r="CA38" s="13">
        <f t="shared" si="92"/>
        <v>0.3974479013402531</v>
      </c>
      <c r="CC38" s="16"/>
      <c r="CD38" s="15" t="s">
        <v>33</v>
      </c>
      <c r="CE38" s="12">
        <v>7</v>
      </c>
      <c r="CF38" s="14">
        <v>140762</v>
      </c>
      <c r="CG38" s="12">
        <f t="shared" si="93"/>
        <v>2</v>
      </c>
      <c r="CH38" s="14">
        <f t="shared" si="94"/>
        <v>36286</v>
      </c>
      <c r="CI38" s="13">
        <f t="shared" si="95"/>
        <v>0.34731421570504228</v>
      </c>
      <c r="CK38" s="16"/>
      <c r="CL38" s="15" t="s">
        <v>33</v>
      </c>
      <c r="CM38" s="12">
        <v>4</v>
      </c>
      <c r="CN38" s="14">
        <v>83714</v>
      </c>
      <c r="CO38" s="12">
        <f t="shared" si="96"/>
        <v>-3</v>
      </c>
      <c r="CP38" s="14">
        <f t="shared" si="97"/>
        <v>-57048</v>
      </c>
      <c r="CQ38" s="13">
        <f t="shared" si="98"/>
        <v>-0.40527983404612039</v>
      </c>
      <c r="CS38" s="16"/>
      <c r="CT38" s="15" t="s">
        <v>33</v>
      </c>
      <c r="CU38" s="12">
        <v>3</v>
      </c>
      <c r="CV38" s="14">
        <v>45714</v>
      </c>
      <c r="CW38" s="12">
        <f t="shared" si="99"/>
        <v>-1</v>
      </c>
      <c r="CX38" s="14">
        <f t="shared" si="100"/>
        <v>-38000</v>
      </c>
      <c r="CY38" s="13">
        <f t="shared" si="101"/>
        <v>-0.45392646391284613</v>
      </c>
    </row>
    <row r="39" spans="1:123" ht="16">
      <c r="A39" s="16"/>
      <c r="B39" s="15" t="s">
        <v>34</v>
      </c>
      <c r="C39" s="12">
        <v>26</v>
      </c>
      <c r="D39" s="14">
        <v>918476</v>
      </c>
      <c r="F39" s="14"/>
      <c r="G39" s="48"/>
      <c r="I39" s="16"/>
      <c r="J39" s="15" t="s">
        <v>34</v>
      </c>
      <c r="K39" s="12">
        <v>17</v>
      </c>
      <c r="L39" s="14">
        <v>648381</v>
      </c>
      <c r="M39" s="12">
        <f t="shared" si="68"/>
        <v>-9</v>
      </c>
      <c r="N39" s="14">
        <f t="shared" si="68"/>
        <v>-270095</v>
      </c>
      <c r="O39" s="13">
        <f t="shared" si="69"/>
        <v>-0.2940686528553822</v>
      </c>
      <c r="Q39" s="16"/>
      <c r="R39" s="15" t="s">
        <v>34</v>
      </c>
      <c r="S39" s="12">
        <v>15</v>
      </c>
      <c r="T39" s="14">
        <v>556190</v>
      </c>
      <c r="U39" s="12">
        <f t="shared" si="70"/>
        <v>-2</v>
      </c>
      <c r="V39" s="14">
        <f t="shared" si="70"/>
        <v>-92191</v>
      </c>
      <c r="W39" s="13">
        <f t="shared" si="71"/>
        <v>-0.1421864613552834</v>
      </c>
      <c r="Y39" s="16"/>
      <c r="Z39" s="15" t="s">
        <v>34</v>
      </c>
      <c r="AA39" s="12">
        <v>14</v>
      </c>
      <c r="AB39" s="14">
        <v>528667</v>
      </c>
      <c r="AC39" s="12">
        <f t="shared" si="72"/>
        <v>-1</v>
      </c>
      <c r="AD39" s="14">
        <f t="shared" si="73"/>
        <v>-27523</v>
      </c>
      <c r="AE39" s="13">
        <f t="shared" si="74"/>
        <v>-4.9484888257609806E-2</v>
      </c>
      <c r="AG39" s="16"/>
      <c r="AH39" s="15" t="s">
        <v>34</v>
      </c>
      <c r="AI39" s="12">
        <v>20</v>
      </c>
      <c r="AJ39" s="14">
        <v>690000</v>
      </c>
      <c r="AK39" s="12">
        <f t="shared" si="75"/>
        <v>6</v>
      </c>
      <c r="AL39" s="14">
        <f t="shared" si="76"/>
        <v>161333</v>
      </c>
      <c r="AM39" s="13">
        <f t="shared" si="77"/>
        <v>0.30516941666493275</v>
      </c>
      <c r="AO39" s="16"/>
      <c r="AP39" s="15" t="s">
        <v>34</v>
      </c>
      <c r="AQ39" s="12">
        <v>44</v>
      </c>
      <c r="AR39" s="14">
        <v>1460095</v>
      </c>
      <c r="AS39" s="12">
        <f t="shared" si="78"/>
        <v>24</v>
      </c>
      <c r="AT39" s="14">
        <f t="shared" si="79"/>
        <v>770095</v>
      </c>
      <c r="AU39" s="13">
        <f t="shared" si="80"/>
        <v>1.1160797101449276</v>
      </c>
      <c r="AW39" s="16"/>
      <c r="AX39" s="15" t="s">
        <v>34</v>
      </c>
      <c r="AY39" s="12">
        <v>31</v>
      </c>
      <c r="AZ39" s="14">
        <v>1091810</v>
      </c>
      <c r="BA39" s="12">
        <f t="shared" si="81"/>
        <v>-13</v>
      </c>
      <c r="BB39" s="14">
        <f t="shared" si="82"/>
        <v>-368285</v>
      </c>
      <c r="BC39" s="13">
        <f t="shared" si="83"/>
        <v>-0.25223358754053676</v>
      </c>
      <c r="BE39" s="16"/>
      <c r="BF39" s="15" t="s">
        <v>34</v>
      </c>
      <c r="BG39" s="12">
        <v>19</v>
      </c>
      <c r="BH39" s="14">
        <v>661048</v>
      </c>
      <c r="BI39" s="12">
        <f t="shared" si="84"/>
        <v>-12</v>
      </c>
      <c r="BJ39" s="14">
        <f t="shared" si="85"/>
        <v>-430762</v>
      </c>
      <c r="BK39" s="13">
        <f t="shared" si="86"/>
        <v>-0.39453934292596698</v>
      </c>
      <c r="BL39" s="48"/>
      <c r="BM39" s="16"/>
      <c r="BN39" s="15" t="s">
        <v>34</v>
      </c>
      <c r="BO39" s="12">
        <v>16</v>
      </c>
      <c r="BP39" s="14">
        <v>574667</v>
      </c>
      <c r="BQ39" s="12">
        <f t="shared" si="87"/>
        <v>-3</v>
      </c>
      <c r="BR39" s="14">
        <f t="shared" si="88"/>
        <v>-86381</v>
      </c>
      <c r="BS39" s="13">
        <f t="shared" si="89"/>
        <v>-0.13067281044644261</v>
      </c>
      <c r="BU39" s="16"/>
      <c r="BV39" s="15" t="s">
        <v>34</v>
      </c>
      <c r="BW39" s="12">
        <v>13</v>
      </c>
      <c r="BX39" s="14">
        <v>436286</v>
      </c>
      <c r="BY39" s="12">
        <f t="shared" si="90"/>
        <v>-3</v>
      </c>
      <c r="BZ39" s="14">
        <f t="shared" si="91"/>
        <v>-138381</v>
      </c>
      <c r="CA39" s="13">
        <f t="shared" si="92"/>
        <v>-0.24080206449996258</v>
      </c>
      <c r="CC39" s="16"/>
      <c r="CD39" s="15" t="s">
        <v>34</v>
      </c>
      <c r="CE39" s="12">
        <v>17</v>
      </c>
      <c r="CF39" s="14">
        <v>495341</v>
      </c>
      <c r="CG39" s="12">
        <f t="shared" si="93"/>
        <v>4</v>
      </c>
      <c r="CH39" s="14">
        <f t="shared" si="94"/>
        <v>59055</v>
      </c>
      <c r="CI39" s="13">
        <f t="shared" si="95"/>
        <v>0.1353584575255681</v>
      </c>
      <c r="CK39" s="16"/>
      <c r="CL39" s="15" t="s">
        <v>34</v>
      </c>
      <c r="CM39" s="12">
        <v>11</v>
      </c>
      <c r="CN39" s="14">
        <v>333112</v>
      </c>
      <c r="CO39" s="12">
        <f t="shared" si="96"/>
        <v>-6</v>
      </c>
      <c r="CP39" s="14">
        <f t="shared" si="97"/>
        <v>-162229</v>
      </c>
      <c r="CQ39" s="13">
        <f t="shared" si="98"/>
        <v>-0.32750973571741487</v>
      </c>
      <c r="CS39" s="16"/>
      <c r="CT39" s="15" t="s">
        <v>34</v>
      </c>
      <c r="CU39" s="12">
        <v>3</v>
      </c>
      <c r="CV39" s="14">
        <v>104857</v>
      </c>
      <c r="CW39" s="12">
        <f t="shared" si="99"/>
        <v>-8</v>
      </c>
      <c r="CX39" s="14">
        <f t="shared" si="100"/>
        <v>-228255</v>
      </c>
      <c r="CY39" s="13">
        <f t="shared" si="101"/>
        <v>-0.68521998607075096</v>
      </c>
    </row>
    <row r="40" spans="1:123" ht="16">
      <c r="A40" s="11" t="s">
        <v>36</v>
      </c>
      <c r="B40" s="11"/>
      <c r="C40" s="10">
        <v>334</v>
      </c>
      <c r="D40" s="9">
        <v>1637825</v>
      </c>
      <c r="E40" s="27"/>
      <c r="F40" s="28"/>
      <c r="G40" s="49"/>
      <c r="I40" s="11" t="s">
        <v>36</v>
      </c>
      <c r="J40" s="11"/>
      <c r="K40" s="10">
        <v>244</v>
      </c>
      <c r="L40" s="9">
        <v>1441596</v>
      </c>
      <c r="M40" s="10">
        <f t="shared" si="68"/>
        <v>-90</v>
      </c>
      <c r="N40" s="9">
        <f t="shared" si="68"/>
        <v>-196229</v>
      </c>
      <c r="O40" s="8">
        <f t="shared" si="69"/>
        <v>-0.11981072458901287</v>
      </c>
      <c r="Q40" s="11" t="s">
        <v>36</v>
      </c>
      <c r="R40" s="11"/>
      <c r="S40" s="10">
        <v>264</v>
      </c>
      <c r="T40" s="9">
        <v>1291891</v>
      </c>
      <c r="U40" s="10">
        <f t="shared" si="70"/>
        <v>20</v>
      </c>
      <c r="V40" s="9">
        <f t="shared" si="70"/>
        <v>-149705</v>
      </c>
      <c r="W40" s="8">
        <f t="shared" si="71"/>
        <v>-0.10384670878665035</v>
      </c>
      <c r="Y40" s="11" t="s">
        <v>36</v>
      </c>
      <c r="Z40" s="11"/>
      <c r="AA40" s="10">
        <v>233</v>
      </c>
      <c r="AB40" s="9">
        <v>1094430</v>
      </c>
      <c r="AC40" s="10">
        <f t="shared" si="72"/>
        <v>-31</v>
      </c>
      <c r="AD40" s="9">
        <f t="shared" si="73"/>
        <v>-197461</v>
      </c>
      <c r="AE40" s="8">
        <f t="shared" si="74"/>
        <v>-0.15284648627477085</v>
      </c>
      <c r="AG40" s="11" t="s">
        <v>36</v>
      </c>
      <c r="AH40" s="11"/>
      <c r="AI40" s="10">
        <v>240</v>
      </c>
      <c r="AJ40" s="9">
        <v>1302165</v>
      </c>
      <c r="AK40" s="10">
        <f t="shared" si="75"/>
        <v>7</v>
      </c>
      <c r="AL40" s="9">
        <f t="shared" si="76"/>
        <v>207735</v>
      </c>
      <c r="AM40" s="8">
        <f t="shared" si="77"/>
        <v>0.18981113456319729</v>
      </c>
      <c r="AO40" s="11" t="s">
        <v>36</v>
      </c>
      <c r="AP40" s="11"/>
      <c r="AQ40" s="10">
        <v>535</v>
      </c>
      <c r="AR40" s="9">
        <v>2999458</v>
      </c>
      <c r="AS40" s="10">
        <f t="shared" si="78"/>
        <v>295</v>
      </c>
      <c r="AT40" s="9">
        <f t="shared" si="79"/>
        <v>1697293</v>
      </c>
      <c r="AU40" s="8">
        <f t="shared" si="80"/>
        <v>1.3034392722888422</v>
      </c>
      <c r="AW40" s="11" t="s">
        <v>36</v>
      </c>
      <c r="AX40" s="11"/>
      <c r="AY40" s="10">
        <v>585</v>
      </c>
      <c r="AZ40" s="9">
        <v>2386330</v>
      </c>
      <c r="BA40" s="10">
        <f t="shared" si="81"/>
        <v>50</v>
      </c>
      <c r="BB40" s="9">
        <f t="shared" si="82"/>
        <v>-613128</v>
      </c>
      <c r="BC40" s="8">
        <f t="shared" si="83"/>
        <v>-0.20441293060279558</v>
      </c>
      <c r="BE40" s="11" t="s">
        <v>36</v>
      </c>
      <c r="BF40" s="11"/>
      <c r="BG40" s="10">
        <v>287</v>
      </c>
      <c r="BH40" s="9">
        <v>1699162</v>
      </c>
      <c r="BI40" s="10">
        <f t="shared" si="84"/>
        <v>-298</v>
      </c>
      <c r="BJ40" s="9">
        <f t="shared" si="85"/>
        <v>-687168</v>
      </c>
      <c r="BK40" s="8">
        <f t="shared" si="86"/>
        <v>-0.28796017315291683</v>
      </c>
      <c r="BL40" s="50"/>
      <c r="BM40" s="11" t="s">
        <v>36</v>
      </c>
      <c r="BN40" s="11"/>
      <c r="BO40" s="10">
        <v>232</v>
      </c>
      <c r="BP40" s="9">
        <v>1152179</v>
      </c>
      <c r="BQ40" s="10">
        <f t="shared" si="87"/>
        <v>-55</v>
      </c>
      <c r="BR40" s="9">
        <f t="shared" si="88"/>
        <v>-546983</v>
      </c>
      <c r="BS40" s="8">
        <f t="shared" si="89"/>
        <v>-0.32191339024766324</v>
      </c>
      <c r="BU40" s="11" t="s">
        <v>36</v>
      </c>
      <c r="BV40" s="11"/>
      <c r="BW40" s="10">
        <v>179</v>
      </c>
      <c r="BX40" s="9">
        <v>1028558</v>
      </c>
      <c r="BY40" s="10">
        <f t="shared" si="90"/>
        <v>-53</v>
      </c>
      <c r="BZ40" s="9">
        <f t="shared" si="91"/>
        <v>-123621</v>
      </c>
      <c r="CA40" s="8">
        <f t="shared" si="92"/>
        <v>-0.10729322440349981</v>
      </c>
      <c r="CC40" s="11" t="s">
        <v>36</v>
      </c>
      <c r="CD40" s="11"/>
      <c r="CE40" s="10">
        <v>208</v>
      </c>
      <c r="CF40" s="9">
        <v>1117773</v>
      </c>
      <c r="CG40" s="10">
        <f t="shared" si="93"/>
        <v>29</v>
      </c>
      <c r="CH40" s="9">
        <f t="shared" si="94"/>
        <v>89215</v>
      </c>
      <c r="CI40" s="8">
        <f t="shared" si="95"/>
        <v>8.6737937967523465E-2</v>
      </c>
      <c r="CK40" s="11" t="s">
        <v>36</v>
      </c>
      <c r="CL40" s="11"/>
      <c r="CM40" s="10">
        <v>201</v>
      </c>
      <c r="CN40" s="9">
        <v>916980</v>
      </c>
      <c r="CO40" s="10">
        <f t="shared" si="96"/>
        <v>-7</v>
      </c>
      <c r="CP40" s="9">
        <f t="shared" si="97"/>
        <v>-200793</v>
      </c>
      <c r="CQ40" s="8">
        <f t="shared" si="98"/>
        <v>-0.17963665252247102</v>
      </c>
      <c r="CS40" s="11" t="s">
        <v>36</v>
      </c>
      <c r="CT40" s="11"/>
      <c r="CU40" s="10">
        <v>137</v>
      </c>
      <c r="CV40" s="9">
        <v>497822</v>
      </c>
      <c r="CW40" s="10">
        <f t="shared" si="99"/>
        <v>-64</v>
      </c>
      <c r="CX40" s="9">
        <f t="shared" si="100"/>
        <v>-419158</v>
      </c>
      <c r="CY40" s="8">
        <f t="shared" si="101"/>
        <v>-0.45710702523501057</v>
      </c>
    </row>
    <row r="41" spans="1:123" ht="18">
      <c r="A41" s="16">
        <v>81</v>
      </c>
      <c r="B41" s="30" t="s">
        <v>45</v>
      </c>
      <c r="C41" s="53">
        <v>1618</v>
      </c>
      <c r="D41" s="54"/>
      <c r="E41" s="54"/>
      <c r="F41" s="54"/>
      <c r="G41" s="54"/>
      <c r="H41" s="54"/>
      <c r="I41" s="16">
        <v>81</v>
      </c>
      <c r="J41" s="30" t="s">
        <v>45</v>
      </c>
      <c r="K41" s="53">
        <v>1604</v>
      </c>
      <c r="L41" s="54"/>
      <c r="M41" s="54"/>
      <c r="N41" s="54"/>
      <c r="O41" s="54"/>
      <c r="P41" s="54"/>
      <c r="Q41" s="16">
        <v>81</v>
      </c>
      <c r="R41" s="30" t="s">
        <v>45</v>
      </c>
      <c r="S41" s="53">
        <v>1520</v>
      </c>
      <c r="T41" s="54"/>
      <c r="U41" s="54"/>
      <c r="V41" s="54"/>
      <c r="W41" s="54"/>
      <c r="X41" s="54"/>
      <c r="Y41" s="16">
        <v>81</v>
      </c>
      <c r="Z41" s="30" t="s">
        <v>45</v>
      </c>
      <c r="AA41" s="53">
        <v>1709</v>
      </c>
      <c r="AB41" s="54"/>
      <c r="AC41" s="54"/>
      <c r="AD41" s="54"/>
      <c r="AE41" s="54"/>
      <c r="AF41" s="54"/>
      <c r="AG41" s="16">
        <v>81</v>
      </c>
      <c r="AH41" s="30" t="s">
        <v>45</v>
      </c>
      <c r="AI41" s="53">
        <v>1621</v>
      </c>
      <c r="AJ41" s="54"/>
      <c r="AK41" s="54"/>
      <c r="AL41" s="54"/>
      <c r="AM41" s="54"/>
      <c r="AN41" s="54"/>
      <c r="AO41" s="16">
        <v>81</v>
      </c>
      <c r="AP41" s="30" t="s">
        <v>45</v>
      </c>
      <c r="AQ41" s="53">
        <v>2670</v>
      </c>
      <c r="AR41" s="54"/>
      <c r="AS41" s="54"/>
      <c r="AT41" s="54"/>
      <c r="AU41" s="54"/>
      <c r="AV41" s="54"/>
      <c r="AW41" s="16">
        <v>81</v>
      </c>
      <c r="AX41" s="30" t="s">
        <v>45</v>
      </c>
      <c r="AY41" s="53">
        <v>2746</v>
      </c>
      <c r="AZ41" s="54"/>
      <c r="BA41" s="54"/>
      <c r="BB41" s="54"/>
      <c r="BC41" s="54"/>
      <c r="BD41" s="54"/>
      <c r="BE41" s="16">
        <v>81</v>
      </c>
      <c r="BF41" s="30" t="s">
        <v>45</v>
      </c>
      <c r="BG41" s="53">
        <v>1426</v>
      </c>
      <c r="BH41" s="54"/>
      <c r="BI41" s="54"/>
      <c r="BJ41" s="54"/>
      <c r="BK41" s="54"/>
      <c r="BL41" s="54"/>
      <c r="BM41" s="16">
        <v>81</v>
      </c>
      <c r="BN41" s="30" t="s">
        <v>45</v>
      </c>
      <c r="BO41" s="53">
        <v>1538</v>
      </c>
      <c r="BP41" s="54"/>
      <c r="BQ41" s="54"/>
      <c r="BR41" s="54"/>
      <c r="BS41" s="54"/>
      <c r="BT41" s="54"/>
      <c r="BU41" s="16">
        <v>81</v>
      </c>
      <c r="BV41" s="30" t="s">
        <v>45</v>
      </c>
      <c r="BW41" s="53">
        <v>1295</v>
      </c>
      <c r="BX41" s="54"/>
      <c r="BY41" s="54"/>
      <c r="BZ41" s="54"/>
      <c r="CA41" s="54"/>
      <c r="CB41" s="54"/>
      <c r="CC41" s="16">
        <v>81</v>
      </c>
      <c r="CD41" s="30" t="s">
        <v>45</v>
      </c>
      <c r="CE41" s="53">
        <v>1248</v>
      </c>
      <c r="CF41" s="54"/>
      <c r="CG41" s="54"/>
      <c r="CH41" s="54"/>
      <c r="CI41" s="54"/>
      <c r="CJ41" s="54"/>
      <c r="CK41" s="16">
        <v>81</v>
      </c>
      <c r="CL41" s="30" t="s">
        <v>45</v>
      </c>
      <c r="CM41" s="53">
        <v>1255</v>
      </c>
      <c r="CN41" s="54"/>
      <c r="CO41" s="54"/>
      <c r="CP41" s="54"/>
      <c r="CQ41" s="54"/>
      <c r="CR41" s="54"/>
      <c r="CS41" s="16">
        <v>81</v>
      </c>
      <c r="CT41" s="30" t="s">
        <v>45</v>
      </c>
      <c r="CU41" s="53">
        <v>1141</v>
      </c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</row>
    <row r="42" spans="1:123" ht="18">
      <c r="A42" s="16"/>
      <c r="B42" s="30" t="s">
        <v>46</v>
      </c>
      <c r="C42" s="55">
        <v>4</v>
      </c>
      <c r="D42" s="54"/>
      <c r="E42" s="54"/>
      <c r="F42" s="54"/>
      <c r="G42" s="54"/>
      <c r="H42" s="54"/>
      <c r="I42" s="16"/>
      <c r="J42" s="30" t="s">
        <v>46</v>
      </c>
      <c r="K42" s="55">
        <v>6</v>
      </c>
      <c r="L42" s="54"/>
      <c r="M42" s="54"/>
      <c r="N42" s="54"/>
      <c r="O42" s="54"/>
      <c r="P42" s="54"/>
      <c r="Q42" s="16"/>
      <c r="R42" s="30" t="s">
        <v>46</v>
      </c>
      <c r="S42" s="55">
        <v>9</v>
      </c>
      <c r="T42" s="54"/>
      <c r="U42" s="54"/>
      <c r="V42" s="54"/>
      <c r="W42" s="54"/>
      <c r="X42" s="54"/>
      <c r="Y42" s="16"/>
      <c r="Z42" s="30" t="s">
        <v>46</v>
      </c>
      <c r="AA42" s="55">
        <v>4</v>
      </c>
      <c r="AB42" s="54"/>
      <c r="AC42" s="54"/>
      <c r="AD42" s="54"/>
      <c r="AE42" s="54"/>
      <c r="AF42" s="54"/>
      <c r="AG42" s="16"/>
      <c r="AH42" s="30" t="s">
        <v>46</v>
      </c>
      <c r="AI42" s="55">
        <v>11</v>
      </c>
      <c r="AJ42" s="54"/>
      <c r="AK42" s="54"/>
      <c r="AL42" s="54"/>
      <c r="AM42" s="54"/>
      <c r="AN42" s="54"/>
      <c r="AO42" s="16"/>
      <c r="AP42" s="30" t="s">
        <v>46</v>
      </c>
      <c r="AQ42" s="55">
        <v>12</v>
      </c>
      <c r="AR42" s="54"/>
      <c r="AS42" s="54"/>
      <c r="AT42" s="54"/>
      <c r="AU42" s="54"/>
      <c r="AV42" s="54"/>
      <c r="AW42" s="16"/>
      <c r="AX42" s="30" t="s">
        <v>46</v>
      </c>
      <c r="AY42" s="55">
        <v>15</v>
      </c>
      <c r="AZ42" s="54"/>
      <c r="BA42" s="54"/>
      <c r="BB42" s="54"/>
      <c r="BC42" s="54"/>
      <c r="BD42" s="54"/>
      <c r="BE42" s="16"/>
      <c r="BF42" s="30" t="s">
        <v>46</v>
      </c>
      <c r="BG42" s="55">
        <v>7</v>
      </c>
      <c r="BH42" s="54"/>
      <c r="BI42" s="54"/>
      <c r="BJ42" s="54"/>
      <c r="BK42" s="54"/>
      <c r="BL42" s="54"/>
      <c r="BM42" s="16"/>
      <c r="BN42" s="30" t="s">
        <v>46</v>
      </c>
      <c r="BO42" s="55">
        <v>2</v>
      </c>
      <c r="BP42" s="54"/>
      <c r="BQ42" s="54"/>
      <c r="BR42" s="54"/>
      <c r="BS42" s="54"/>
      <c r="BT42" s="54"/>
      <c r="BU42" s="16"/>
      <c r="BV42" s="30" t="s">
        <v>46</v>
      </c>
      <c r="BW42" s="55">
        <v>2</v>
      </c>
      <c r="BX42" s="54"/>
      <c r="BY42" s="54"/>
      <c r="BZ42" s="54"/>
      <c r="CA42" s="54"/>
      <c r="CB42" s="54"/>
      <c r="CC42" s="16"/>
      <c r="CD42" s="30" t="s">
        <v>46</v>
      </c>
      <c r="CE42" s="55">
        <v>4</v>
      </c>
      <c r="CF42" s="54"/>
      <c r="CG42" s="54"/>
      <c r="CH42" s="54"/>
      <c r="CI42" s="54"/>
      <c r="CJ42" s="54"/>
      <c r="CK42" s="16"/>
      <c r="CL42" s="30" t="s">
        <v>46</v>
      </c>
      <c r="CM42" s="55">
        <v>3</v>
      </c>
      <c r="CN42" s="54"/>
      <c r="CO42" s="54"/>
      <c r="CP42" s="54"/>
      <c r="CQ42" s="54"/>
      <c r="CR42" s="54"/>
      <c r="CS42" s="16"/>
      <c r="CT42" s="30" t="s">
        <v>46</v>
      </c>
      <c r="CU42" s="55">
        <v>5</v>
      </c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</row>
    <row r="43" spans="1:123" ht="16">
      <c r="A43" s="36"/>
      <c r="B43" s="15" t="s">
        <v>26</v>
      </c>
      <c r="C43" s="12">
        <v>150</v>
      </c>
      <c r="D43" s="14">
        <v>148279</v>
      </c>
      <c r="F43" s="14"/>
      <c r="G43" s="48"/>
      <c r="I43" s="36"/>
      <c r="J43" s="15" t="s">
        <v>26</v>
      </c>
      <c r="K43" s="12">
        <v>182</v>
      </c>
      <c r="L43" s="14">
        <v>177434</v>
      </c>
      <c r="M43" s="12">
        <f t="shared" ref="M43:N53" si="102">K43-C43</f>
        <v>32</v>
      </c>
      <c r="N43" s="14">
        <f t="shared" si="102"/>
        <v>29155</v>
      </c>
      <c r="O43" s="13">
        <f t="shared" ref="O43:O53" si="103">(L43-D43)/D43</f>
        <v>0.19662258310347386</v>
      </c>
      <c r="Q43" s="36"/>
      <c r="R43" s="15" t="s">
        <v>26</v>
      </c>
      <c r="S43" s="12">
        <v>130</v>
      </c>
      <c r="T43" s="14">
        <v>125343</v>
      </c>
      <c r="U43" s="12">
        <f t="shared" ref="U43:V53" si="104">S43-K43</f>
        <v>-52</v>
      </c>
      <c r="V43" s="14">
        <f t="shared" si="104"/>
        <v>-52091</v>
      </c>
      <c r="W43" s="13">
        <f t="shared" ref="W43:W53" si="105">(T43-L43)/L43</f>
        <v>-0.29357958452156857</v>
      </c>
      <c r="Y43" s="36"/>
      <c r="Z43" s="15" t="s">
        <v>26</v>
      </c>
      <c r="AA43" s="12">
        <v>137</v>
      </c>
      <c r="AB43" s="14">
        <v>118520</v>
      </c>
      <c r="AC43" s="12">
        <f t="shared" ref="AC43:AC53" si="106">AA43-S43</f>
        <v>7</v>
      </c>
      <c r="AD43" s="14">
        <f t="shared" ref="AD43:AD53" si="107">AB43-T43</f>
        <v>-6823</v>
      </c>
      <c r="AE43" s="13">
        <f t="shared" ref="AE43:AE53" si="108">(AB43-T43)/T43</f>
        <v>-5.4434631371516558E-2</v>
      </c>
      <c r="AG43" s="36"/>
      <c r="AH43" s="15" t="s">
        <v>26</v>
      </c>
      <c r="AI43" s="12">
        <v>183</v>
      </c>
      <c r="AJ43" s="14">
        <v>167947</v>
      </c>
      <c r="AK43" s="12">
        <f t="shared" ref="AK43:AK53" si="109">AI43-AA43</f>
        <v>46</v>
      </c>
      <c r="AL43" s="14">
        <f t="shared" ref="AL43:AL53" si="110">AJ43-AB43</f>
        <v>49427</v>
      </c>
      <c r="AM43" s="13">
        <f t="shared" ref="AM43:AM53" si="111">(AJ43-AB43)/AB43</f>
        <v>0.41703509956125551</v>
      </c>
      <c r="AO43" s="36"/>
      <c r="AP43" s="15" t="s">
        <v>26</v>
      </c>
      <c r="AQ43" s="12">
        <v>301</v>
      </c>
      <c r="AR43" s="14">
        <v>269456</v>
      </c>
      <c r="AS43" s="12">
        <f t="shared" ref="AS43:AS53" si="112">AQ43-AI43</f>
        <v>118</v>
      </c>
      <c r="AT43" s="14">
        <f t="shared" ref="AT43:AT53" si="113">AR43-AJ43</f>
        <v>101509</v>
      </c>
      <c r="AU43" s="13">
        <f t="shared" ref="AU43:AU53" si="114">(AR43-AJ43)/AJ43</f>
        <v>0.60441091534829439</v>
      </c>
      <c r="AW43" s="36"/>
      <c r="AX43" s="15" t="s">
        <v>26</v>
      </c>
      <c r="AY43" s="12">
        <v>263</v>
      </c>
      <c r="AZ43" s="14">
        <v>241802</v>
      </c>
      <c r="BA43" s="12">
        <f t="shared" ref="BA43:BA53" si="115">AY43-AQ43</f>
        <v>-38</v>
      </c>
      <c r="BB43" s="14">
        <f t="shared" ref="BB43:BB53" si="116">AZ43-AR43</f>
        <v>-27654</v>
      </c>
      <c r="BC43" s="13">
        <f t="shared" ref="BC43:BC53" si="117">(AZ43-AR43)/AR43</f>
        <v>-0.10262900065316787</v>
      </c>
      <c r="BE43" s="36"/>
      <c r="BF43" s="15" t="s">
        <v>26</v>
      </c>
      <c r="BG43" s="12">
        <v>113</v>
      </c>
      <c r="BH43" s="14">
        <v>101670</v>
      </c>
      <c r="BI43" s="12">
        <f t="shared" ref="BI43:BI53" si="118">BG43-AY43</f>
        <v>-150</v>
      </c>
      <c r="BJ43" s="14">
        <f t="shared" ref="BJ43:BJ53" si="119">BH43-AZ43</f>
        <v>-140132</v>
      </c>
      <c r="BK43" s="13">
        <f t="shared" ref="BK43:BK53" si="120">(BH43-AZ43)/AZ43</f>
        <v>-0.57953201379641195</v>
      </c>
      <c r="BL43" s="48"/>
      <c r="BM43" s="36"/>
      <c r="BN43" s="15" t="s">
        <v>26</v>
      </c>
      <c r="BO43" s="12">
        <v>120</v>
      </c>
      <c r="BP43" s="14">
        <v>114881</v>
      </c>
      <c r="BQ43" s="12">
        <f t="shared" ref="BQ43:BQ53" si="121">BO43-BG43</f>
        <v>7</v>
      </c>
      <c r="BR43" s="14">
        <f t="shared" ref="BR43:BR53" si="122">BP43-BH43</f>
        <v>13211</v>
      </c>
      <c r="BS43" s="13">
        <f t="shared" ref="BS43:BS53" si="123">(BP43-BH43)/BH43</f>
        <v>0.12994000196714861</v>
      </c>
      <c r="BU43" s="36"/>
      <c r="BV43" s="15" t="s">
        <v>26</v>
      </c>
      <c r="BW43" s="12">
        <v>93</v>
      </c>
      <c r="BX43" s="14">
        <v>81362</v>
      </c>
      <c r="BY43" s="12">
        <f t="shared" ref="BY43:BY53" si="124">BW43-BO43</f>
        <v>-27</v>
      </c>
      <c r="BZ43" s="14">
        <f t="shared" ref="BZ43:BZ53" si="125">BX43-BP43</f>
        <v>-33519</v>
      </c>
      <c r="CA43" s="13">
        <f t="shared" ref="CA43:CA53" si="126">(BX43-BP43)/BP43</f>
        <v>-0.29177148527606828</v>
      </c>
      <c r="CC43" s="36"/>
      <c r="CD43" s="15" t="s">
        <v>26</v>
      </c>
      <c r="CE43" s="12">
        <v>87</v>
      </c>
      <c r="CF43" s="14">
        <v>93115</v>
      </c>
      <c r="CG43" s="12">
        <f t="shared" ref="CG43:CG53" si="127">CE43-BW43</f>
        <v>-6</v>
      </c>
      <c r="CH43" s="14">
        <f t="shared" ref="CH43:CH53" si="128">CF43-BX43</f>
        <v>11753</v>
      </c>
      <c r="CI43" s="13">
        <f t="shared" ref="CI43:CI53" si="129">(CF43-BX43)/BX43</f>
        <v>0.14445318453332023</v>
      </c>
      <c r="CK43" s="36"/>
      <c r="CL43" s="15" t="s">
        <v>26</v>
      </c>
      <c r="CM43" s="12">
        <v>94</v>
      </c>
      <c r="CN43" s="14">
        <v>86320</v>
      </c>
      <c r="CO43" s="12">
        <f t="shared" ref="CO43:CO53" si="130">CM43-CE43</f>
        <v>7</v>
      </c>
      <c r="CP43" s="14">
        <f t="shared" ref="CP43:CP53" si="131">CN43-CF43</f>
        <v>-6795</v>
      </c>
      <c r="CQ43" s="13">
        <f t="shared" ref="CQ43:CQ53" si="132">(CN43-CF43)/CF43</f>
        <v>-7.2974279117220639E-2</v>
      </c>
      <c r="CS43" s="36"/>
      <c r="CT43" s="15" t="s">
        <v>26</v>
      </c>
      <c r="CU43" s="12">
        <v>74</v>
      </c>
      <c r="CV43" s="14">
        <v>70502</v>
      </c>
      <c r="CW43" s="12">
        <f t="shared" ref="CW43:CW53" si="133">CU43-CM43</f>
        <v>-20</v>
      </c>
      <c r="CX43" s="14">
        <f t="shared" ref="CX43:CX53" si="134">CV43-CN43</f>
        <v>-15818</v>
      </c>
      <c r="CY43" s="13">
        <f t="shared" ref="CY43:CY53" si="135">(CV43-CN43)/CN43</f>
        <v>-0.18324837812789621</v>
      </c>
    </row>
    <row r="44" spans="1:123" ht="16">
      <c r="A44" s="36"/>
      <c r="B44" s="15" t="s">
        <v>27</v>
      </c>
      <c r="C44" s="12">
        <v>111</v>
      </c>
      <c r="D44" s="14">
        <v>126086</v>
      </c>
      <c r="F44" s="14"/>
      <c r="G44" s="48"/>
      <c r="I44" s="36"/>
      <c r="J44" s="15" t="s">
        <v>27</v>
      </c>
      <c r="K44" s="12">
        <v>124</v>
      </c>
      <c r="L44" s="14">
        <v>135317</v>
      </c>
      <c r="M44" s="12">
        <f t="shared" si="102"/>
        <v>13</v>
      </c>
      <c r="N44" s="14">
        <f t="shared" si="102"/>
        <v>9231</v>
      </c>
      <c r="O44" s="13">
        <f t="shared" si="103"/>
        <v>7.3211934711228846E-2</v>
      </c>
      <c r="Q44" s="36"/>
      <c r="R44" s="15" t="s">
        <v>27</v>
      </c>
      <c r="S44" s="12">
        <v>122</v>
      </c>
      <c r="T44" s="14">
        <v>96390</v>
      </c>
      <c r="U44" s="12">
        <f t="shared" si="104"/>
        <v>-2</v>
      </c>
      <c r="V44" s="14">
        <f t="shared" si="104"/>
        <v>-38927</v>
      </c>
      <c r="W44" s="13">
        <f t="shared" si="105"/>
        <v>-0.2876726501474316</v>
      </c>
      <c r="Y44" s="36"/>
      <c r="Z44" s="15" t="s">
        <v>27</v>
      </c>
      <c r="AA44" s="12">
        <v>105</v>
      </c>
      <c r="AB44" s="14">
        <v>104733</v>
      </c>
      <c r="AC44" s="12">
        <f t="shared" si="106"/>
        <v>-17</v>
      </c>
      <c r="AD44" s="14">
        <f t="shared" si="107"/>
        <v>8343</v>
      </c>
      <c r="AE44" s="13">
        <f t="shared" si="108"/>
        <v>8.6554621848739494E-2</v>
      </c>
      <c r="AG44" s="36"/>
      <c r="AH44" s="15" t="s">
        <v>27</v>
      </c>
      <c r="AI44" s="12">
        <v>129</v>
      </c>
      <c r="AJ44" s="14">
        <v>134810</v>
      </c>
      <c r="AK44" s="12">
        <f t="shared" si="109"/>
        <v>24</v>
      </c>
      <c r="AL44" s="14">
        <f t="shared" si="110"/>
        <v>30077</v>
      </c>
      <c r="AM44" s="13">
        <f t="shared" si="111"/>
        <v>0.28717787134904948</v>
      </c>
      <c r="AO44" s="36"/>
      <c r="AP44" s="15" t="s">
        <v>27</v>
      </c>
      <c r="AQ44" s="12">
        <v>189</v>
      </c>
      <c r="AR44" s="14">
        <v>181201</v>
      </c>
      <c r="AS44" s="12">
        <f t="shared" si="112"/>
        <v>60</v>
      </c>
      <c r="AT44" s="14">
        <f t="shared" si="113"/>
        <v>46391</v>
      </c>
      <c r="AU44" s="13">
        <f t="shared" si="114"/>
        <v>0.34412135598249388</v>
      </c>
      <c r="AW44" s="36"/>
      <c r="AX44" s="15" t="s">
        <v>27</v>
      </c>
      <c r="AY44" s="12">
        <v>188</v>
      </c>
      <c r="AZ44" s="14">
        <v>172857</v>
      </c>
      <c r="BA44" s="12">
        <f t="shared" si="115"/>
        <v>-1</v>
      </c>
      <c r="BB44" s="14">
        <f t="shared" si="116"/>
        <v>-8344</v>
      </c>
      <c r="BC44" s="13">
        <f t="shared" si="117"/>
        <v>-4.6048310991661193E-2</v>
      </c>
      <c r="BE44" s="36"/>
      <c r="BF44" s="15" t="s">
        <v>27</v>
      </c>
      <c r="BG44" s="12">
        <v>109</v>
      </c>
      <c r="BH44" s="14">
        <v>96867</v>
      </c>
      <c r="BI44" s="12">
        <f t="shared" si="118"/>
        <v>-79</v>
      </c>
      <c r="BJ44" s="14">
        <f t="shared" si="119"/>
        <v>-75990</v>
      </c>
      <c r="BK44" s="13">
        <f t="shared" si="120"/>
        <v>-0.43961193356358147</v>
      </c>
      <c r="BL44" s="48"/>
      <c r="BM44" s="36"/>
      <c r="BN44" s="15" t="s">
        <v>27</v>
      </c>
      <c r="BO44" s="12">
        <v>97</v>
      </c>
      <c r="BP44" s="14">
        <v>90696</v>
      </c>
      <c r="BQ44" s="12">
        <f t="shared" si="121"/>
        <v>-12</v>
      </c>
      <c r="BR44" s="14">
        <f t="shared" si="122"/>
        <v>-6171</v>
      </c>
      <c r="BS44" s="13">
        <f t="shared" si="123"/>
        <v>-6.370590603611137E-2</v>
      </c>
      <c r="BU44" s="36"/>
      <c r="BV44" s="15" t="s">
        <v>27</v>
      </c>
      <c r="BW44" s="12">
        <v>89</v>
      </c>
      <c r="BX44" s="14">
        <v>102915</v>
      </c>
      <c r="BY44" s="12">
        <f t="shared" si="124"/>
        <v>-8</v>
      </c>
      <c r="BZ44" s="14">
        <f t="shared" si="125"/>
        <v>12219</v>
      </c>
      <c r="CA44" s="13">
        <f t="shared" si="126"/>
        <v>0.13472479491929082</v>
      </c>
      <c r="CC44" s="36"/>
      <c r="CD44" s="15" t="s">
        <v>27</v>
      </c>
      <c r="CE44" s="12">
        <v>86</v>
      </c>
      <c r="CF44" s="14">
        <v>92621</v>
      </c>
      <c r="CG44" s="12">
        <f t="shared" si="127"/>
        <v>-3</v>
      </c>
      <c r="CH44" s="14">
        <f t="shared" si="128"/>
        <v>-10294</v>
      </c>
      <c r="CI44" s="13">
        <f t="shared" si="129"/>
        <v>-0.10002429189136666</v>
      </c>
      <c r="CK44" s="36"/>
      <c r="CL44" s="15" t="s">
        <v>27</v>
      </c>
      <c r="CM44" s="12">
        <v>78</v>
      </c>
      <c r="CN44" s="14">
        <v>82400</v>
      </c>
      <c r="CO44" s="12">
        <f t="shared" si="130"/>
        <v>-8</v>
      </c>
      <c r="CP44" s="14">
        <f t="shared" si="131"/>
        <v>-10221</v>
      </c>
      <c r="CQ44" s="13">
        <f t="shared" si="132"/>
        <v>-0.11035294371686767</v>
      </c>
      <c r="CS44" s="36"/>
      <c r="CT44" s="15" t="s">
        <v>27</v>
      </c>
      <c r="CU44" s="12">
        <v>78</v>
      </c>
      <c r="CV44" s="14">
        <v>69648</v>
      </c>
      <c r="CW44" s="12">
        <f t="shared" si="133"/>
        <v>0</v>
      </c>
      <c r="CX44" s="14">
        <f t="shared" si="134"/>
        <v>-12752</v>
      </c>
      <c r="CY44" s="13">
        <f t="shared" si="135"/>
        <v>-0.15475728155339805</v>
      </c>
    </row>
    <row r="45" spans="1:123" ht="16">
      <c r="A45" s="16"/>
      <c r="B45" s="15" t="s">
        <v>28</v>
      </c>
      <c r="C45" s="12">
        <v>16</v>
      </c>
      <c r="D45" s="14">
        <v>95467</v>
      </c>
      <c r="F45" s="14"/>
      <c r="G45" s="48"/>
      <c r="I45" s="16"/>
      <c r="J45" s="15" t="s">
        <v>28</v>
      </c>
      <c r="K45" s="12">
        <v>24</v>
      </c>
      <c r="L45" s="14">
        <v>140819</v>
      </c>
      <c r="M45" s="12">
        <f t="shared" si="102"/>
        <v>8</v>
      </c>
      <c r="N45" s="14">
        <f t="shared" si="102"/>
        <v>45352</v>
      </c>
      <c r="O45" s="13">
        <f t="shared" si="103"/>
        <v>0.47505420721296365</v>
      </c>
      <c r="Q45" s="16"/>
      <c r="R45" s="15" t="s">
        <v>28</v>
      </c>
      <c r="S45" s="12">
        <v>18</v>
      </c>
      <c r="T45" s="14">
        <v>113257</v>
      </c>
      <c r="U45" s="12">
        <f t="shared" si="104"/>
        <v>-6</v>
      </c>
      <c r="V45" s="14">
        <f t="shared" si="104"/>
        <v>-27562</v>
      </c>
      <c r="W45" s="13">
        <f t="shared" si="105"/>
        <v>-0.19572642896200088</v>
      </c>
      <c r="Y45" s="16"/>
      <c r="Z45" s="15" t="s">
        <v>28</v>
      </c>
      <c r="AA45" s="12">
        <v>21</v>
      </c>
      <c r="AB45" s="14">
        <v>140181</v>
      </c>
      <c r="AC45" s="12">
        <f t="shared" si="106"/>
        <v>3</v>
      </c>
      <c r="AD45" s="14">
        <f t="shared" si="107"/>
        <v>26924</v>
      </c>
      <c r="AE45" s="13">
        <f t="shared" si="108"/>
        <v>0.23772482054089372</v>
      </c>
      <c r="AG45" s="16"/>
      <c r="AH45" s="15" t="s">
        <v>28</v>
      </c>
      <c r="AI45" s="12">
        <v>21</v>
      </c>
      <c r="AJ45" s="14">
        <v>132467</v>
      </c>
      <c r="AK45" s="12">
        <f t="shared" si="109"/>
        <v>0</v>
      </c>
      <c r="AL45" s="14">
        <f t="shared" si="110"/>
        <v>-7714</v>
      </c>
      <c r="AM45" s="13">
        <f t="shared" si="111"/>
        <v>-5.5028855551037585E-2</v>
      </c>
      <c r="AO45" s="16"/>
      <c r="AP45" s="15" t="s">
        <v>28</v>
      </c>
      <c r="AQ45" s="12">
        <v>42</v>
      </c>
      <c r="AR45" s="14">
        <v>260101</v>
      </c>
      <c r="AS45" s="12">
        <f t="shared" si="112"/>
        <v>21</v>
      </c>
      <c r="AT45" s="14">
        <f t="shared" si="113"/>
        <v>127634</v>
      </c>
      <c r="AU45" s="13">
        <f t="shared" si="114"/>
        <v>0.9635154415816769</v>
      </c>
      <c r="AW45" s="16"/>
      <c r="AX45" s="15" t="s">
        <v>28</v>
      </c>
      <c r="AY45" s="12">
        <v>48</v>
      </c>
      <c r="AZ45" s="14">
        <v>296901</v>
      </c>
      <c r="BA45" s="12">
        <f t="shared" si="115"/>
        <v>6</v>
      </c>
      <c r="BB45" s="14">
        <f t="shared" si="116"/>
        <v>36800</v>
      </c>
      <c r="BC45" s="13">
        <f t="shared" si="117"/>
        <v>0.14148350064013596</v>
      </c>
      <c r="BE45" s="16"/>
      <c r="BF45" s="15" t="s">
        <v>28</v>
      </c>
      <c r="BG45" s="12">
        <v>26</v>
      </c>
      <c r="BH45" s="14">
        <v>154325</v>
      </c>
      <c r="BI45" s="12">
        <f t="shared" si="118"/>
        <v>-22</v>
      </c>
      <c r="BJ45" s="14">
        <f t="shared" si="119"/>
        <v>-142576</v>
      </c>
      <c r="BK45" s="13">
        <f t="shared" si="120"/>
        <v>-0.48021394336832818</v>
      </c>
      <c r="BL45" s="48"/>
      <c r="BM45" s="16"/>
      <c r="BN45" s="15" t="s">
        <v>28</v>
      </c>
      <c r="BO45" s="12">
        <v>24</v>
      </c>
      <c r="BP45" s="14">
        <v>149415</v>
      </c>
      <c r="BQ45" s="12">
        <f t="shared" si="121"/>
        <v>-2</v>
      </c>
      <c r="BR45" s="14">
        <f t="shared" si="122"/>
        <v>-4910</v>
      </c>
      <c r="BS45" s="13">
        <f t="shared" si="123"/>
        <v>-3.1815972784707595E-2</v>
      </c>
      <c r="BU45" s="16"/>
      <c r="BV45" s="15" t="s">
        <v>28</v>
      </c>
      <c r="BW45" s="12">
        <v>13</v>
      </c>
      <c r="BX45" s="14">
        <v>83491</v>
      </c>
      <c r="BY45" s="12">
        <f t="shared" si="124"/>
        <v>-11</v>
      </c>
      <c r="BZ45" s="14">
        <f t="shared" si="125"/>
        <v>-65924</v>
      </c>
      <c r="CA45" s="13">
        <f t="shared" si="126"/>
        <v>-0.44121406819931064</v>
      </c>
      <c r="CC45" s="16"/>
      <c r="CD45" s="15" t="s">
        <v>28</v>
      </c>
      <c r="CE45" s="12">
        <v>20</v>
      </c>
      <c r="CF45" s="14">
        <v>137524</v>
      </c>
      <c r="CG45" s="12">
        <f t="shared" si="127"/>
        <v>7</v>
      </c>
      <c r="CH45" s="14">
        <f t="shared" si="128"/>
        <v>54033</v>
      </c>
      <c r="CI45" s="13">
        <f t="shared" si="129"/>
        <v>0.64717155142470451</v>
      </c>
      <c r="CK45" s="16"/>
      <c r="CL45" s="15" t="s">
        <v>28</v>
      </c>
      <c r="CM45" s="12">
        <v>17</v>
      </c>
      <c r="CN45" s="14">
        <v>111648</v>
      </c>
      <c r="CO45" s="12">
        <f t="shared" si="130"/>
        <v>-3</v>
      </c>
      <c r="CP45" s="14">
        <f t="shared" si="131"/>
        <v>-25876</v>
      </c>
      <c r="CQ45" s="13">
        <f t="shared" si="132"/>
        <v>-0.18815624909106773</v>
      </c>
      <c r="CS45" s="16"/>
      <c r="CT45" s="15" t="s">
        <v>28</v>
      </c>
      <c r="CU45" s="12">
        <v>8</v>
      </c>
      <c r="CV45" s="14">
        <v>47753</v>
      </c>
      <c r="CW45" s="12">
        <f t="shared" si="133"/>
        <v>-9</v>
      </c>
      <c r="CX45" s="14">
        <f t="shared" si="134"/>
        <v>-63895</v>
      </c>
      <c r="CY45" s="13">
        <f t="shared" si="135"/>
        <v>-0.5722896961880195</v>
      </c>
    </row>
    <row r="46" spans="1:123" ht="16">
      <c r="A46" s="16"/>
      <c r="B46" s="15" t="s">
        <v>29</v>
      </c>
      <c r="C46" s="12">
        <v>11</v>
      </c>
      <c r="D46" s="14">
        <v>168857</v>
      </c>
      <c r="F46" s="14"/>
      <c r="G46" s="48"/>
      <c r="I46" s="16"/>
      <c r="J46" s="15" t="s">
        <v>29</v>
      </c>
      <c r="K46" s="12">
        <v>15</v>
      </c>
      <c r="L46" s="14">
        <v>148095</v>
      </c>
      <c r="M46" s="12">
        <f t="shared" si="102"/>
        <v>4</v>
      </c>
      <c r="N46" s="14">
        <f t="shared" si="102"/>
        <v>-20762</v>
      </c>
      <c r="O46" s="13">
        <f t="shared" si="103"/>
        <v>-0.12295611079197191</v>
      </c>
      <c r="Q46" s="16"/>
      <c r="R46" s="15" t="s">
        <v>29</v>
      </c>
      <c r="S46" s="12">
        <v>13</v>
      </c>
      <c r="T46" s="14">
        <v>137429</v>
      </c>
      <c r="U46" s="12">
        <f t="shared" si="104"/>
        <v>-2</v>
      </c>
      <c r="V46" s="14">
        <f t="shared" si="104"/>
        <v>-10666</v>
      </c>
      <c r="W46" s="13">
        <f t="shared" si="105"/>
        <v>-7.2021337654883694E-2</v>
      </c>
      <c r="Y46" s="16"/>
      <c r="Z46" s="15" t="s">
        <v>29</v>
      </c>
      <c r="AA46" s="12">
        <v>17</v>
      </c>
      <c r="AB46" s="14">
        <v>213238</v>
      </c>
      <c r="AC46" s="12">
        <f t="shared" si="106"/>
        <v>4</v>
      </c>
      <c r="AD46" s="14">
        <f t="shared" si="107"/>
        <v>75809</v>
      </c>
      <c r="AE46" s="13">
        <f t="shared" si="108"/>
        <v>0.55162301988663232</v>
      </c>
      <c r="AG46" s="16"/>
      <c r="AH46" s="15" t="s">
        <v>29</v>
      </c>
      <c r="AI46" s="12">
        <v>21</v>
      </c>
      <c r="AJ46" s="14">
        <v>264095</v>
      </c>
      <c r="AK46" s="12">
        <f t="shared" si="109"/>
        <v>4</v>
      </c>
      <c r="AL46" s="14">
        <f t="shared" si="110"/>
        <v>50857</v>
      </c>
      <c r="AM46" s="13">
        <f t="shared" si="111"/>
        <v>0.23849876663634062</v>
      </c>
      <c r="AO46" s="16"/>
      <c r="AP46" s="15" t="s">
        <v>29</v>
      </c>
      <c r="AQ46" s="12">
        <v>30</v>
      </c>
      <c r="AR46" s="14">
        <v>457333</v>
      </c>
      <c r="AS46" s="12">
        <f t="shared" si="112"/>
        <v>9</v>
      </c>
      <c r="AT46" s="14">
        <f t="shared" si="113"/>
        <v>193238</v>
      </c>
      <c r="AU46" s="13">
        <f t="shared" si="114"/>
        <v>0.73169882050019874</v>
      </c>
      <c r="AW46" s="16"/>
      <c r="AX46" s="15" t="s">
        <v>29</v>
      </c>
      <c r="AY46" s="12">
        <v>25</v>
      </c>
      <c r="AZ46" s="14">
        <v>316190</v>
      </c>
      <c r="BA46" s="12">
        <f t="shared" si="115"/>
        <v>-5</v>
      </c>
      <c r="BB46" s="14">
        <f t="shared" si="116"/>
        <v>-141143</v>
      </c>
      <c r="BC46" s="13">
        <f t="shared" si="117"/>
        <v>-0.30862194505972673</v>
      </c>
      <c r="BE46" s="16"/>
      <c r="BF46" s="15" t="s">
        <v>29</v>
      </c>
      <c r="BG46" s="12">
        <v>17</v>
      </c>
      <c r="BH46" s="14">
        <v>229619</v>
      </c>
      <c r="BI46" s="12">
        <f t="shared" si="118"/>
        <v>-8</v>
      </c>
      <c r="BJ46" s="14">
        <f t="shared" si="119"/>
        <v>-86571</v>
      </c>
      <c r="BK46" s="13">
        <f t="shared" si="120"/>
        <v>-0.27379423764192418</v>
      </c>
      <c r="BL46" s="48"/>
      <c r="BM46" s="16"/>
      <c r="BN46" s="15" t="s">
        <v>29</v>
      </c>
      <c r="BO46" s="12">
        <v>10</v>
      </c>
      <c r="BP46" s="14">
        <v>106667</v>
      </c>
      <c r="BQ46" s="12">
        <f t="shared" si="121"/>
        <v>-7</v>
      </c>
      <c r="BR46" s="14">
        <f t="shared" si="122"/>
        <v>-122952</v>
      </c>
      <c r="BS46" s="13">
        <f t="shared" si="123"/>
        <v>-0.5354609156907747</v>
      </c>
      <c r="BU46" s="16"/>
      <c r="BV46" s="15" t="s">
        <v>29</v>
      </c>
      <c r="BW46" s="12">
        <v>11</v>
      </c>
      <c r="BX46" s="14">
        <v>122381</v>
      </c>
      <c r="BY46" s="12">
        <f t="shared" si="124"/>
        <v>1</v>
      </c>
      <c r="BZ46" s="14">
        <f t="shared" si="125"/>
        <v>15714</v>
      </c>
      <c r="CA46" s="13">
        <f t="shared" si="126"/>
        <v>0.14731828963034491</v>
      </c>
      <c r="CC46" s="16"/>
      <c r="CD46" s="15" t="s">
        <v>29</v>
      </c>
      <c r="CE46" s="12">
        <v>17</v>
      </c>
      <c r="CF46" s="14">
        <v>179198</v>
      </c>
      <c r="CG46" s="12">
        <f t="shared" si="127"/>
        <v>6</v>
      </c>
      <c r="CH46" s="14">
        <f t="shared" si="128"/>
        <v>56817</v>
      </c>
      <c r="CI46" s="13">
        <f t="shared" si="129"/>
        <v>0.46426324347733716</v>
      </c>
      <c r="CK46" s="16"/>
      <c r="CL46" s="15" t="s">
        <v>29</v>
      </c>
      <c r="CM46" s="12">
        <v>11</v>
      </c>
      <c r="CN46" s="14">
        <v>133293</v>
      </c>
      <c r="CO46" s="12">
        <f t="shared" si="130"/>
        <v>-6</v>
      </c>
      <c r="CP46" s="14">
        <f t="shared" si="131"/>
        <v>-45905</v>
      </c>
      <c r="CQ46" s="13">
        <f t="shared" si="132"/>
        <v>-0.25616915367359011</v>
      </c>
      <c r="CS46" s="16"/>
      <c r="CT46" s="15" t="s">
        <v>29</v>
      </c>
      <c r="CU46" s="12">
        <v>16</v>
      </c>
      <c r="CV46" s="14">
        <v>200952</v>
      </c>
      <c r="CW46" s="12">
        <f t="shared" si="133"/>
        <v>5</v>
      </c>
      <c r="CX46" s="14">
        <f t="shared" si="134"/>
        <v>67659</v>
      </c>
      <c r="CY46" s="13">
        <f t="shared" si="135"/>
        <v>0.50759604780446088</v>
      </c>
    </row>
    <row r="47" spans="1:123" ht="18">
      <c r="A47" s="16"/>
      <c r="B47" s="15" t="s">
        <v>30</v>
      </c>
      <c r="C47" s="12">
        <v>0</v>
      </c>
      <c r="D47" s="14">
        <v>0</v>
      </c>
      <c r="F47" s="14"/>
      <c r="G47" s="48"/>
      <c r="I47" s="16"/>
      <c r="J47" s="15" t="s">
        <v>30</v>
      </c>
      <c r="K47" s="12">
        <v>0</v>
      </c>
      <c r="L47" s="14">
        <v>0</v>
      </c>
      <c r="M47" s="12">
        <f t="shared" si="102"/>
        <v>0</v>
      </c>
      <c r="N47" s="14">
        <f t="shared" si="102"/>
        <v>0</v>
      </c>
      <c r="O47" s="13" t="e">
        <f t="shared" si="103"/>
        <v>#DIV/0!</v>
      </c>
      <c r="Q47" s="16"/>
      <c r="R47" s="15" t="s">
        <v>30</v>
      </c>
      <c r="S47" s="12">
        <v>3</v>
      </c>
      <c r="T47" s="14">
        <v>8571</v>
      </c>
      <c r="U47" s="12">
        <f t="shared" si="104"/>
        <v>3</v>
      </c>
      <c r="V47" s="14">
        <f t="shared" si="104"/>
        <v>8571</v>
      </c>
      <c r="W47" s="13" t="e">
        <f t="shared" si="105"/>
        <v>#DIV/0!</v>
      </c>
      <c r="Y47" s="16"/>
      <c r="Z47" s="15" t="s">
        <v>30</v>
      </c>
      <c r="AA47" s="12">
        <v>1</v>
      </c>
      <c r="AB47" s="14">
        <v>2857</v>
      </c>
      <c r="AC47" s="12">
        <f t="shared" si="106"/>
        <v>-2</v>
      </c>
      <c r="AD47" s="14">
        <f t="shared" si="107"/>
        <v>-5714</v>
      </c>
      <c r="AE47" s="13">
        <f t="shared" si="108"/>
        <v>-0.66666666666666663</v>
      </c>
      <c r="AG47" s="16"/>
      <c r="AH47" s="15" t="s">
        <v>30</v>
      </c>
      <c r="AI47" s="12">
        <v>1</v>
      </c>
      <c r="AJ47" s="14">
        <v>2857</v>
      </c>
      <c r="AK47" s="12">
        <f t="shared" si="109"/>
        <v>0</v>
      </c>
      <c r="AL47" s="14">
        <f t="shared" si="110"/>
        <v>0</v>
      </c>
      <c r="AM47" s="13">
        <f t="shared" si="111"/>
        <v>0</v>
      </c>
      <c r="AO47" s="16"/>
      <c r="AP47" s="15" t="s">
        <v>30</v>
      </c>
      <c r="AQ47" s="12">
        <v>1</v>
      </c>
      <c r="AR47" s="14">
        <v>5705</v>
      </c>
      <c r="AS47" s="12">
        <f t="shared" si="112"/>
        <v>0</v>
      </c>
      <c r="AT47" s="14">
        <f t="shared" si="113"/>
        <v>2848</v>
      </c>
      <c r="AU47" s="13">
        <f t="shared" si="114"/>
        <v>0.9968498424921246</v>
      </c>
      <c r="AW47" s="16"/>
      <c r="AX47" s="15" t="s">
        <v>30</v>
      </c>
      <c r="AY47" s="12">
        <v>3</v>
      </c>
      <c r="AZ47" s="14">
        <v>12371</v>
      </c>
      <c r="BA47" s="12">
        <f t="shared" si="115"/>
        <v>2</v>
      </c>
      <c r="BB47" s="14">
        <f t="shared" si="116"/>
        <v>6666</v>
      </c>
      <c r="BC47" s="13">
        <f t="shared" si="117"/>
        <v>1.1684487291849255</v>
      </c>
      <c r="BE47" s="16"/>
      <c r="BF47" s="15" t="s">
        <v>30</v>
      </c>
      <c r="BG47" s="12">
        <v>3</v>
      </c>
      <c r="BH47" s="14">
        <v>8571</v>
      </c>
      <c r="BI47" s="12">
        <f t="shared" si="118"/>
        <v>0</v>
      </c>
      <c r="BJ47" s="14">
        <f t="shared" si="119"/>
        <v>-3800</v>
      </c>
      <c r="BK47" s="13">
        <f t="shared" si="120"/>
        <v>-0.30716999434160536</v>
      </c>
      <c r="BL47" s="14"/>
      <c r="BM47" s="16"/>
      <c r="BN47" s="15" t="s">
        <v>30</v>
      </c>
      <c r="BO47" s="12">
        <v>3</v>
      </c>
      <c r="BP47" s="14">
        <v>14571</v>
      </c>
      <c r="BQ47" s="12">
        <f t="shared" si="121"/>
        <v>0</v>
      </c>
      <c r="BR47" s="14">
        <f t="shared" si="122"/>
        <v>6000</v>
      </c>
      <c r="BS47" s="13">
        <f t="shared" si="123"/>
        <v>0.70003500175008748</v>
      </c>
      <c r="BU47" s="16"/>
      <c r="BV47" s="15" t="s">
        <v>30</v>
      </c>
      <c r="BW47" s="12">
        <v>2</v>
      </c>
      <c r="BX47" s="14">
        <v>5714</v>
      </c>
      <c r="BY47" s="12">
        <f t="shared" si="124"/>
        <v>-1</v>
      </c>
      <c r="BZ47" s="14">
        <f t="shared" si="125"/>
        <v>-8857</v>
      </c>
      <c r="CA47" s="13">
        <f t="shared" si="126"/>
        <v>-0.60785121131013653</v>
      </c>
      <c r="CC47" s="16"/>
      <c r="CD47" s="15" t="s">
        <v>30</v>
      </c>
      <c r="CE47" s="12">
        <v>2</v>
      </c>
      <c r="CF47" s="14">
        <v>5714</v>
      </c>
      <c r="CG47" s="12">
        <f t="shared" si="127"/>
        <v>0</v>
      </c>
      <c r="CH47" s="14">
        <f t="shared" si="128"/>
        <v>0</v>
      </c>
      <c r="CI47" s="13">
        <f t="shared" si="129"/>
        <v>0</v>
      </c>
      <c r="CK47" s="16"/>
      <c r="CL47" s="15" t="s">
        <v>30</v>
      </c>
      <c r="CM47" s="12">
        <v>1</v>
      </c>
      <c r="CN47" s="14">
        <v>2857</v>
      </c>
      <c r="CO47" s="12">
        <f t="shared" si="130"/>
        <v>-1</v>
      </c>
      <c r="CP47" s="14">
        <f t="shared" si="131"/>
        <v>-2857</v>
      </c>
      <c r="CQ47" s="13">
        <f t="shared" si="132"/>
        <v>-0.5</v>
      </c>
      <c r="CS47" s="16"/>
      <c r="CT47" s="15" t="s">
        <v>30</v>
      </c>
      <c r="CU47" s="32">
        <v>0</v>
      </c>
      <c r="CV47" s="14">
        <v>0</v>
      </c>
      <c r="CW47" s="12">
        <f t="shared" si="133"/>
        <v>-1</v>
      </c>
      <c r="CX47" s="14">
        <f t="shared" si="134"/>
        <v>-2857</v>
      </c>
      <c r="CY47" s="13">
        <f t="shared" si="135"/>
        <v>-1</v>
      </c>
    </row>
    <row r="48" spans="1:123" ht="16">
      <c r="A48" s="16"/>
      <c r="B48" s="15" t="s">
        <v>31</v>
      </c>
      <c r="C48" s="12">
        <v>15</v>
      </c>
      <c r="D48" s="14">
        <v>60760</v>
      </c>
      <c r="F48" s="14"/>
      <c r="G48" s="48"/>
      <c r="I48" s="16"/>
      <c r="J48" s="15" t="s">
        <v>31</v>
      </c>
      <c r="K48" s="12">
        <v>9</v>
      </c>
      <c r="L48" s="14">
        <v>26340</v>
      </c>
      <c r="M48" s="12">
        <f t="shared" si="102"/>
        <v>-6</v>
      </c>
      <c r="N48" s="14">
        <f t="shared" si="102"/>
        <v>-34420</v>
      </c>
      <c r="O48" s="13">
        <f t="shared" si="103"/>
        <v>-0.56649111257406193</v>
      </c>
      <c r="Q48" s="16"/>
      <c r="R48" s="15" t="s">
        <v>31</v>
      </c>
      <c r="S48" s="12">
        <v>15</v>
      </c>
      <c r="T48" s="14">
        <v>57100</v>
      </c>
      <c r="U48" s="12">
        <f t="shared" si="104"/>
        <v>6</v>
      </c>
      <c r="V48" s="14">
        <f t="shared" si="104"/>
        <v>30760</v>
      </c>
      <c r="W48" s="13">
        <f t="shared" si="105"/>
        <v>1.1678056188306758</v>
      </c>
      <c r="Y48" s="16"/>
      <c r="Z48" s="15" t="s">
        <v>31</v>
      </c>
      <c r="AA48" s="12">
        <v>9</v>
      </c>
      <c r="AB48" s="14">
        <v>33340</v>
      </c>
      <c r="AC48" s="12">
        <f t="shared" si="106"/>
        <v>-6</v>
      </c>
      <c r="AD48" s="14">
        <f t="shared" si="107"/>
        <v>-23760</v>
      </c>
      <c r="AE48" s="13">
        <f t="shared" si="108"/>
        <v>-0.41611208406304728</v>
      </c>
      <c r="AG48" s="16"/>
      <c r="AH48" s="15" t="s">
        <v>31</v>
      </c>
      <c r="AI48" s="12">
        <v>11</v>
      </c>
      <c r="AJ48" s="14">
        <v>29810</v>
      </c>
      <c r="AK48" s="12">
        <f t="shared" si="109"/>
        <v>2</v>
      </c>
      <c r="AL48" s="14">
        <f t="shared" si="110"/>
        <v>-3530</v>
      </c>
      <c r="AM48" s="13">
        <f t="shared" si="111"/>
        <v>-0.10587882423515296</v>
      </c>
      <c r="AO48" s="16"/>
      <c r="AP48" s="15" t="s">
        <v>31</v>
      </c>
      <c r="AQ48" s="12">
        <v>11</v>
      </c>
      <c r="AR48" s="14">
        <v>34430</v>
      </c>
      <c r="AS48" s="12">
        <f t="shared" si="112"/>
        <v>0</v>
      </c>
      <c r="AT48" s="14">
        <f t="shared" si="113"/>
        <v>4620</v>
      </c>
      <c r="AU48" s="13">
        <f t="shared" si="114"/>
        <v>0.15498154981549817</v>
      </c>
      <c r="AW48" s="16"/>
      <c r="AX48" s="15" t="s">
        <v>31</v>
      </c>
      <c r="AY48" s="12">
        <v>5</v>
      </c>
      <c r="AZ48" s="14">
        <v>10460</v>
      </c>
      <c r="BA48" s="12">
        <f t="shared" si="115"/>
        <v>-6</v>
      </c>
      <c r="BB48" s="14">
        <f t="shared" si="116"/>
        <v>-23970</v>
      </c>
      <c r="BC48" s="13">
        <f t="shared" si="117"/>
        <v>-0.69619517862329361</v>
      </c>
      <c r="BE48" s="16"/>
      <c r="BF48" s="15" t="s">
        <v>31</v>
      </c>
      <c r="BG48" s="12">
        <v>7</v>
      </c>
      <c r="BH48" s="14">
        <v>30640</v>
      </c>
      <c r="BI48" s="12">
        <f t="shared" si="118"/>
        <v>2</v>
      </c>
      <c r="BJ48" s="14">
        <f t="shared" si="119"/>
        <v>20180</v>
      </c>
      <c r="BK48" s="13">
        <f t="shared" si="120"/>
        <v>1.9292543021032504</v>
      </c>
      <c r="BL48" s="48"/>
      <c r="BM48" s="16"/>
      <c r="BN48" s="15" t="s">
        <v>31</v>
      </c>
      <c r="BO48" s="12">
        <v>7</v>
      </c>
      <c r="BP48" s="14">
        <v>25950</v>
      </c>
      <c r="BQ48" s="12">
        <f t="shared" si="121"/>
        <v>0</v>
      </c>
      <c r="BR48" s="14">
        <f t="shared" si="122"/>
        <v>-4690</v>
      </c>
      <c r="BS48" s="13">
        <f t="shared" si="123"/>
        <v>-0.15306788511749347</v>
      </c>
      <c r="BU48" s="16"/>
      <c r="BV48" s="15" t="s">
        <v>31</v>
      </c>
      <c r="BW48" s="12">
        <v>1</v>
      </c>
      <c r="BX48" s="14">
        <v>1200</v>
      </c>
      <c r="BY48" s="12">
        <f t="shared" si="124"/>
        <v>-6</v>
      </c>
      <c r="BZ48" s="14">
        <f t="shared" si="125"/>
        <v>-24750</v>
      </c>
      <c r="CA48" s="13">
        <f t="shared" si="126"/>
        <v>-0.95375722543352603</v>
      </c>
      <c r="CC48" s="16"/>
      <c r="CD48" s="15" t="s">
        <v>31</v>
      </c>
      <c r="CE48" s="12">
        <v>2</v>
      </c>
      <c r="CF48" s="14">
        <v>11580</v>
      </c>
      <c r="CG48" s="12">
        <f t="shared" si="127"/>
        <v>1</v>
      </c>
      <c r="CH48" s="14">
        <f t="shared" si="128"/>
        <v>10380</v>
      </c>
      <c r="CI48" s="13">
        <f t="shared" si="129"/>
        <v>8.65</v>
      </c>
      <c r="CK48" s="16"/>
      <c r="CL48" s="15" t="s">
        <v>31</v>
      </c>
      <c r="CM48" s="12">
        <v>3</v>
      </c>
      <c r="CN48" s="14">
        <v>4780</v>
      </c>
      <c r="CO48" s="12">
        <f t="shared" si="130"/>
        <v>1</v>
      </c>
      <c r="CP48" s="14">
        <f t="shared" si="131"/>
        <v>-6800</v>
      </c>
      <c r="CQ48" s="13">
        <f t="shared" si="132"/>
        <v>-0.58721934369602768</v>
      </c>
      <c r="CS48" s="16"/>
      <c r="CT48" s="15" t="s">
        <v>31</v>
      </c>
      <c r="CU48" s="12">
        <v>5</v>
      </c>
      <c r="CV48" s="14">
        <v>17250</v>
      </c>
      <c r="CW48" s="12">
        <f t="shared" si="133"/>
        <v>2</v>
      </c>
      <c r="CX48" s="14">
        <f t="shared" si="134"/>
        <v>12470</v>
      </c>
      <c r="CY48" s="13">
        <f t="shared" si="135"/>
        <v>2.6087866108786613</v>
      </c>
    </row>
    <row r="49" spans="1:103" ht="16">
      <c r="A49" s="16"/>
      <c r="B49" s="15" t="s">
        <v>32</v>
      </c>
      <c r="C49" s="12">
        <v>5</v>
      </c>
      <c r="D49" s="14">
        <v>233707</v>
      </c>
      <c r="F49" s="14"/>
      <c r="G49" s="48"/>
      <c r="I49" s="16"/>
      <c r="J49" s="15" t="s">
        <v>32</v>
      </c>
      <c r="K49" s="12">
        <v>6</v>
      </c>
      <c r="L49" s="14">
        <v>295769</v>
      </c>
      <c r="M49" s="12">
        <f t="shared" si="102"/>
        <v>1</v>
      </c>
      <c r="N49" s="14">
        <f t="shared" si="102"/>
        <v>62062</v>
      </c>
      <c r="O49" s="13">
        <f t="shared" si="103"/>
        <v>0.26555473306319449</v>
      </c>
      <c r="Q49" s="16"/>
      <c r="R49" s="15" t="s">
        <v>32</v>
      </c>
      <c r="S49" s="12">
        <v>5</v>
      </c>
      <c r="T49" s="14">
        <v>267410</v>
      </c>
      <c r="U49" s="12">
        <f t="shared" si="104"/>
        <v>-1</v>
      </c>
      <c r="V49" s="14">
        <f t="shared" si="104"/>
        <v>-28359</v>
      </c>
      <c r="W49" s="13">
        <f t="shared" si="105"/>
        <v>-9.5882259466002179E-2</v>
      </c>
      <c r="Y49" s="16"/>
      <c r="Z49" s="15" t="s">
        <v>32</v>
      </c>
      <c r="AA49" s="12">
        <v>4</v>
      </c>
      <c r="AB49" s="14">
        <v>183874</v>
      </c>
      <c r="AC49" s="12">
        <f t="shared" si="106"/>
        <v>-1</v>
      </c>
      <c r="AD49" s="14">
        <f t="shared" si="107"/>
        <v>-83536</v>
      </c>
      <c r="AE49" s="13">
        <f t="shared" si="108"/>
        <v>-0.31238921506301187</v>
      </c>
      <c r="AG49" s="16"/>
      <c r="AH49" s="15" t="s">
        <v>32</v>
      </c>
      <c r="AI49" s="12">
        <v>3</v>
      </c>
      <c r="AJ49" s="14">
        <v>89321</v>
      </c>
      <c r="AK49" s="12">
        <f t="shared" si="109"/>
        <v>-1</v>
      </c>
      <c r="AL49" s="14">
        <f t="shared" si="110"/>
        <v>-94553</v>
      </c>
      <c r="AM49" s="13">
        <f t="shared" si="111"/>
        <v>-0.51422713379814433</v>
      </c>
      <c r="AO49" s="16"/>
      <c r="AP49" s="15" t="s">
        <v>32</v>
      </c>
      <c r="AQ49" s="12">
        <v>7</v>
      </c>
      <c r="AR49" s="14">
        <v>324569</v>
      </c>
      <c r="AS49" s="12">
        <f t="shared" si="112"/>
        <v>4</v>
      </c>
      <c r="AT49" s="14">
        <f t="shared" si="113"/>
        <v>235248</v>
      </c>
      <c r="AU49" s="13">
        <f t="shared" si="114"/>
        <v>2.6337367472374917</v>
      </c>
      <c r="AW49" s="16"/>
      <c r="AX49" s="15" t="s">
        <v>32</v>
      </c>
      <c r="AY49" s="12">
        <v>4</v>
      </c>
      <c r="AZ49" s="14">
        <v>139905</v>
      </c>
      <c r="BA49" s="12">
        <f t="shared" si="115"/>
        <v>-3</v>
      </c>
      <c r="BB49" s="14">
        <f t="shared" si="116"/>
        <v>-184664</v>
      </c>
      <c r="BC49" s="13">
        <f t="shared" si="117"/>
        <v>-0.56895144021764243</v>
      </c>
      <c r="BE49" s="16"/>
      <c r="BF49" s="15" t="s">
        <v>32</v>
      </c>
      <c r="BG49" s="12">
        <v>5</v>
      </c>
      <c r="BH49" s="14">
        <v>177610</v>
      </c>
      <c r="BI49" s="12">
        <f t="shared" si="118"/>
        <v>1</v>
      </c>
      <c r="BJ49" s="14">
        <f t="shared" si="119"/>
        <v>37705</v>
      </c>
      <c r="BK49" s="13">
        <f t="shared" si="120"/>
        <v>0.26950430649369217</v>
      </c>
      <c r="BL49" s="48"/>
      <c r="BM49" s="16"/>
      <c r="BN49" s="15" t="s">
        <v>32</v>
      </c>
      <c r="BO49" s="12">
        <v>8</v>
      </c>
      <c r="BP49" s="14">
        <v>357988</v>
      </c>
      <c r="BQ49" s="12">
        <f t="shared" si="121"/>
        <v>3</v>
      </c>
      <c r="BR49" s="14">
        <f t="shared" si="122"/>
        <v>180378</v>
      </c>
      <c r="BS49" s="13">
        <f t="shared" si="123"/>
        <v>1.0155847080682394</v>
      </c>
      <c r="BU49" s="16"/>
      <c r="BV49" s="15" t="s">
        <v>32</v>
      </c>
      <c r="BW49" s="12">
        <v>2</v>
      </c>
      <c r="BX49" s="14">
        <v>103238</v>
      </c>
      <c r="BY49" s="12">
        <f t="shared" si="124"/>
        <v>-6</v>
      </c>
      <c r="BZ49" s="14">
        <f t="shared" si="125"/>
        <v>-254750</v>
      </c>
      <c r="CA49" s="13">
        <f t="shared" si="126"/>
        <v>-0.71161603182229571</v>
      </c>
      <c r="CC49" s="16"/>
      <c r="CD49" s="15" t="s">
        <v>32</v>
      </c>
      <c r="CE49" s="12">
        <v>3</v>
      </c>
      <c r="CF49" s="14">
        <v>134092</v>
      </c>
      <c r="CG49" s="12">
        <f t="shared" si="127"/>
        <v>1</v>
      </c>
      <c r="CH49" s="14">
        <f t="shared" si="128"/>
        <v>30854</v>
      </c>
      <c r="CI49" s="13">
        <f t="shared" si="129"/>
        <v>0.29886282182917145</v>
      </c>
      <c r="CK49" s="16"/>
      <c r="CL49" s="15" t="s">
        <v>32</v>
      </c>
      <c r="CM49" s="12">
        <v>1</v>
      </c>
      <c r="CN49" s="14">
        <v>54762</v>
      </c>
      <c r="CO49" s="12">
        <f t="shared" si="130"/>
        <v>-2</v>
      </c>
      <c r="CP49" s="14">
        <f t="shared" si="131"/>
        <v>-79330</v>
      </c>
      <c r="CQ49" s="13">
        <f t="shared" si="132"/>
        <v>-0.59160874623392889</v>
      </c>
      <c r="CS49" s="16"/>
      <c r="CT49" s="15" t="s">
        <v>32</v>
      </c>
      <c r="CU49" s="12">
        <v>0</v>
      </c>
      <c r="CV49" s="14">
        <v>0</v>
      </c>
      <c r="CW49" s="12">
        <f t="shared" si="133"/>
        <v>-1</v>
      </c>
      <c r="CX49" s="14">
        <f t="shared" si="134"/>
        <v>-54762</v>
      </c>
      <c r="CY49" s="13">
        <f t="shared" si="135"/>
        <v>-1</v>
      </c>
    </row>
    <row r="50" spans="1:103" ht="16">
      <c r="A50" s="16"/>
      <c r="B50" s="15" t="s">
        <v>33</v>
      </c>
      <c r="C50" s="12">
        <v>25</v>
      </c>
      <c r="D50" s="14">
        <v>428000</v>
      </c>
      <c r="F50" s="14"/>
      <c r="G50" s="48"/>
      <c r="I50" s="16"/>
      <c r="J50" s="15" t="s">
        <v>33</v>
      </c>
      <c r="K50" s="12">
        <v>19</v>
      </c>
      <c r="L50" s="14">
        <v>391238</v>
      </c>
      <c r="M50" s="12">
        <f t="shared" si="102"/>
        <v>-6</v>
      </c>
      <c r="N50" s="14">
        <f t="shared" si="102"/>
        <v>-36762</v>
      </c>
      <c r="O50" s="13">
        <f t="shared" si="103"/>
        <v>-8.5892523364485981E-2</v>
      </c>
      <c r="Q50" s="16"/>
      <c r="R50" s="15" t="s">
        <v>33</v>
      </c>
      <c r="S50" s="12">
        <v>17</v>
      </c>
      <c r="T50" s="14">
        <v>302390</v>
      </c>
      <c r="U50" s="12">
        <f t="shared" si="104"/>
        <v>-2</v>
      </c>
      <c r="V50" s="14">
        <f t="shared" si="104"/>
        <v>-88848</v>
      </c>
      <c r="W50" s="13">
        <f t="shared" si="105"/>
        <v>-0.22709450513498178</v>
      </c>
      <c r="Y50" s="16"/>
      <c r="Z50" s="15" t="s">
        <v>33</v>
      </c>
      <c r="AA50" s="12">
        <v>16</v>
      </c>
      <c r="AB50" s="14">
        <v>282095</v>
      </c>
      <c r="AC50" s="12">
        <f t="shared" si="106"/>
        <v>-1</v>
      </c>
      <c r="AD50" s="14">
        <f t="shared" si="107"/>
        <v>-20295</v>
      </c>
      <c r="AE50" s="13">
        <f t="shared" si="108"/>
        <v>-6.7115314659876316E-2</v>
      </c>
      <c r="AG50" s="16"/>
      <c r="AH50" s="15" t="s">
        <v>33</v>
      </c>
      <c r="AI50" s="12">
        <v>15</v>
      </c>
      <c r="AJ50" s="14">
        <v>257390</v>
      </c>
      <c r="AK50" s="12">
        <f t="shared" si="109"/>
        <v>-1</v>
      </c>
      <c r="AL50" s="14">
        <f t="shared" si="110"/>
        <v>-24705</v>
      </c>
      <c r="AM50" s="13">
        <f t="shared" si="111"/>
        <v>-8.7576880129034543E-2</v>
      </c>
      <c r="AO50" s="16"/>
      <c r="AP50" s="15" t="s">
        <v>33</v>
      </c>
      <c r="AQ50" s="12">
        <v>21</v>
      </c>
      <c r="AR50" s="14">
        <v>386000</v>
      </c>
      <c r="AS50" s="12">
        <f t="shared" si="112"/>
        <v>6</v>
      </c>
      <c r="AT50" s="14">
        <f t="shared" si="113"/>
        <v>128610</v>
      </c>
      <c r="AU50" s="13">
        <f t="shared" si="114"/>
        <v>0.49966976184000933</v>
      </c>
      <c r="AW50" s="16"/>
      <c r="AX50" s="15" t="s">
        <v>33</v>
      </c>
      <c r="AY50" s="12">
        <v>26</v>
      </c>
      <c r="AZ50" s="14">
        <v>484190</v>
      </c>
      <c r="BA50" s="12">
        <f t="shared" si="115"/>
        <v>5</v>
      </c>
      <c r="BB50" s="14">
        <f t="shared" si="116"/>
        <v>98190</v>
      </c>
      <c r="BC50" s="13">
        <f t="shared" si="117"/>
        <v>0.25437823834196893</v>
      </c>
      <c r="BE50" s="16"/>
      <c r="BF50" s="15" t="s">
        <v>33</v>
      </c>
      <c r="BG50" s="12">
        <v>17</v>
      </c>
      <c r="BH50" s="14">
        <v>282667</v>
      </c>
      <c r="BI50" s="12">
        <f t="shared" si="118"/>
        <v>-9</v>
      </c>
      <c r="BJ50" s="14">
        <f t="shared" si="119"/>
        <v>-201523</v>
      </c>
      <c r="BK50" s="13">
        <f t="shared" si="120"/>
        <v>-0.41620644788202976</v>
      </c>
      <c r="BL50" s="48"/>
      <c r="BM50" s="16"/>
      <c r="BN50" s="15" t="s">
        <v>33</v>
      </c>
      <c r="BO50" s="12">
        <v>13</v>
      </c>
      <c r="BP50" s="14">
        <v>271905</v>
      </c>
      <c r="BQ50" s="12">
        <f t="shared" si="121"/>
        <v>-4</v>
      </c>
      <c r="BR50" s="14">
        <f t="shared" si="122"/>
        <v>-10762</v>
      </c>
      <c r="BS50" s="13">
        <f t="shared" si="123"/>
        <v>-3.8073068310060958E-2</v>
      </c>
      <c r="BU50" s="16"/>
      <c r="BV50" s="15" t="s">
        <v>33</v>
      </c>
      <c r="BW50" s="12">
        <v>2</v>
      </c>
      <c r="BX50" s="14">
        <v>61524</v>
      </c>
      <c r="BY50" s="12">
        <f t="shared" si="124"/>
        <v>-11</v>
      </c>
      <c r="BZ50" s="14">
        <f t="shared" si="125"/>
        <v>-210381</v>
      </c>
      <c r="CA50" s="13">
        <f t="shared" si="126"/>
        <v>-0.77372979533292874</v>
      </c>
      <c r="CC50" s="16"/>
      <c r="CD50" s="15" t="s">
        <v>33</v>
      </c>
      <c r="CE50" s="12">
        <v>10</v>
      </c>
      <c r="CF50" s="14">
        <v>186857</v>
      </c>
      <c r="CG50" s="12">
        <f t="shared" si="127"/>
        <v>8</v>
      </c>
      <c r="CH50" s="14">
        <f t="shared" si="128"/>
        <v>125333</v>
      </c>
      <c r="CI50" s="13">
        <f t="shared" si="129"/>
        <v>2.0371399778948054</v>
      </c>
      <c r="CK50" s="16"/>
      <c r="CL50" s="15" t="s">
        <v>33</v>
      </c>
      <c r="CM50" s="12">
        <v>7</v>
      </c>
      <c r="CN50" s="14">
        <v>127810</v>
      </c>
      <c r="CO50" s="12">
        <f t="shared" si="130"/>
        <v>-3</v>
      </c>
      <c r="CP50" s="14">
        <f t="shared" si="131"/>
        <v>-59047</v>
      </c>
      <c r="CQ50" s="13">
        <f t="shared" si="132"/>
        <v>-0.31600100611697718</v>
      </c>
      <c r="CS50" s="16"/>
      <c r="CT50" s="15" t="s">
        <v>33</v>
      </c>
      <c r="CU50" s="12">
        <v>2</v>
      </c>
      <c r="CV50" s="14">
        <v>63143</v>
      </c>
      <c r="CW50" s="12">
        <f t="shared" si="133"/>
        <v>-5</v>
      </c>
      <c r="CX50" s="14">
        <f t="shared" si="134"/>
        <v>-64667</v>
      </c>
      <c r="CY50" s="13">
        <f t="shared" si="135"/>
        <v>-0.50596197480635319</v>
      </c>
    </row>
    <row r="51" spans="1:103" ht="16">
      <c r="A51" s="16"/>
      <c r="B51" s="15" t="s">
        <v>34</v>
      </c>
      <c r="C51" s="12">
        <v>26</v>
      </c>
      <c r="D51" s="14">
        <v>955619</v>
      </c>
      <c r="F51" s="14"/>
      <c r="G51" s="48"/>
      <c r="I51" s="16"/>
      <c r="J51" s="15" t="s">
        <v>34</v>
      </c>
      <c r="K51" s="12">
        <v>33</v>
      </c>
      <c r="L51" s="14">
        <v>1169714</v>
      </c>
      <c r="M51" s="12">
        <f t="shared" si="102"/>
        <v>7</v>
      </c>
      <c r="N51" s="14">
        <f t="shared" si="102"/>
        <v>214095</v>
      </c>
      <c r="O51" s="13">
        <f t="shared" si="103"/>
        <v>0.22403803189346383</v>
      </c>
      <c r="Q51" s="16"/>
      <c r="R51" s="15" t="s">
        <v>34</v>
      </c>
      <c r="S51" s="12">
        <v>30</v>
      </c>
      <c r="T51" s="14">
        <v>1173333</v>
      </c>
      <c r="U51" s="12">
        <f t="shared" si="104"/>
        <v>-3</v>
      </c>
      <c r="V51" s="14">
        <f t="shared" si="104"/>
        <v>3619</v>
      </c>
      <c r="W51" s="13">
        <f t="shared" si="105"/>
        <v>3.0939186843963566E-3</v>
      </c>
      <c r="Y51" s="16"/>
      <c r="Z51" s="15" t="s">
        <v>34</v>
      </c>
      <c r="AA51" s="12">
        <v>31</v>
      </c>
      <c r="AB51" s="14">
        <v>1085619</v>
      </c>
      <c r="AC51" s="12">
        <f t="shared" si="106"/>
        <v>1</v>
      </c>
      <c r="AD51" s="14">
        <f t="shared" si="107"/>
        <v>-87714</v>
      </c>
      <c r="AE51" s="13">
        <f t="shared" si="108"/>
        <v>-7.4756271237577054E-2</v>
      </c>
      <c r="AG51" s="16"/>
      <c r="AH51" s="15" t="s">
        <v>34</v>
      </c>
      <c r="AI51" s="12">
        <v>43</v>
      </c>
      <c r="AJ51" s="14">
        <v>1487810</v>
      </c>
      <c r="AK51" s="12">
        <f t="shared" si="109"/>
        <v>12</v>
      </c>
      <c r="AL51" s="14">
        <f t="shared" si="110"/>
        <v>402191</v>
      </c>
      <c r="AM51" s="13">
        <f t="shared" si="111"/>
        <v>0.37047159270425445</v>
      </c>
      <c r="AO51" s="16"/>
      <c r="AP51" s="15" t="s">
        <v>34</v>
      </c>
      <c r="AQ51" s="12">
        <v>76</v>
      </c>
      <c r="AR51" s="14">
        <v>2744168</v>
      </c>
      <c r="AS51" s="12">
        <f t="shared" si="112"/>
        <v>33</v>
      </c>
      <c r="AT51" s="14">
        <f t="shared" si="113"/>
        <v>1256358</v>
      </c>
      <c r="AU51" s="13">
        <f t="shared" si="114"/>
        <v>0.84443443719292111</v>
      </c>
      <c r="AW51" s="16"/>
      <c r="AX51" s="15" t="s">
        <v>34</v>
      </c>
      <c r="AY51" s="12">
        <v>51</v>
      </c>
      <c r="AZ51" s="14">
        <v>1838476</v>
      </c>
      <c r="BA51" s="12">
        <f t="shared" si="115"/>
        <v>-25</v>
      </c>
      <c r="BB51" s="14">
        <f t="shared" si="116"/>
        <v>-905692</v>
      </c>
      <c r="BC51" s="13">
        <f t="shared" si="117"/>
        <v>-0.33004247553356791</v>
      </c>
      <c r="BE51" s="16"/>
      <c r="BF51" s="15" t="s">
        <v>34</v>
      </c>
      <c r="BG51" s="12">
        <v>23</v>
      </c>
      <c r="BH51" s="14">
        <v>832571</v>
      </c>
      <c r="BI51" s="12">
        <f t="shared" si="118"/>
        <v>-28</v>
      </c>
      <c r="BJ51" s="14">
        <f t="shared" si="119"/>
        <v>-1005905</v>
      </c>
      <c r="BK51" s="13">
        <f t="shared" si="120"/>
        <v>-0.54714067521142506</v>
      </c>
      <c r="BL51" s="48"/>
      <c r="BM51" s="16"/>
      <c r="BN51" s="15" t="s">
        <v>34</v>
      </c>
      <c r="BO51" s="12">
        <v>11</v>
      </c>
      <c r="BP51" s="14">
        <v>403238</v>
      </c>
      <c r="BQ51" s="12">
        <f t="shared" si="121"/>
        <v>-12</v>
      </c>
      <c r="BR51" s="14">
        <f t="shared" si="122"/>
        <v>-429333</v>
      </c>
      <c r="BS51" s="13">
        <f t="shared" si="123"/>
        <v>-0.5156713361382993</v>
      </c>
      <c r="BU51" s="16"/>
      <c r="BV51" s="15" t="s">
        <v>34</v>
      </c>
      <c r="BW51" s="12">
        <v>13</v>
      </c>
      <c r="BX51" s="14">
        <v>498345</v>
      </c>
      <c r="BY51" s="12">
        <f t="shared" si="124"/>
        <v>2</v>
      </c>
      <c r="BZ51" s="14">
        <f t="shared" si="125"/>
        <v>95107</v>
      </c>
      <c r="CA51" s="13">
        <f t="shared" si="126"/>
        <v>0.23585822764719594</v>
      </c>
      <c r="CC51" s="16"/>
      <c r="CD51" s="15" t="s">
        <v>34</v>
      </c>
      <c r="CE51" s="12">
        <v>10</v>
      </c>
      <c r="CF51" s="14">
        <v>361684</v>
      </c>
      <c r="CG51" s="12">
        <f t="shared" si="127"/>
        <v>-3</v>
      </c>
      <c r="CH51" s="14">
        <f t="shared" si="128"/>
        <v>-136661</v>
      </c>
      <c r="CI51" s="13">
        <f t="shared" si="129"/>
        <v>-0.27422970030801952</v>
      </c>
      <c r="CK51" s="16"/>
      <c r="CL51" s="15" t="s">
        <v>34</v>
      </c>
      <c r="CM51" s="12">
        <v>19</v>
      </c>
      <c r="CN51" s="14">
        <v>672312</v>
      </c>
      <c r="CO51" s="12">
        <f t="shared" si="130"/>
        <v>9</v>
      </c>
      <c r="CP51" s="14">
        <f t="shared" si="131"/>
        <v>310628</v>
      </c>
      <c r="CQ51" s="13">
        <f t="shared" si="132"/>
        <v>0.85883810176839448</v>
      </c>
      <c r="CS51" s="16"/>
      <c r="CT51" s="15" t="s">
        <v>34</v>
      </c>
      <c r="CU51" s="12">
        <v>15</v>
      </c>
      <c r="CV51" s="14">
        <v>541429</v>
      </c>
      <c r="CW51" s="12">
        <f t="shared" si="133"/>
        <v>-4</v>
      </c>
      <c r="CX51" s="14">
        <f t="shared" si="134"/>
        <v>-130883</v>
      </c>
      <c r="CY51" s="13">
        <f t="shared" si="135"/>
        <v>-0.19467598376944037</v>
      </c>
    </row>
    <row r="52" spans="1:103" ht="16">
      <c r="A52" s="11" t="s">
        <v>37</v>
      </c>
      <c r="B52" s="11"/>
      <c r="C52" s="10">
        <v>359</v>
      </c>
      <c r="D52" s="9">
        <v>2216775</v>
      </c>
      <c r="E52" s="27"/>
      <c r="F52" s="28"/>
      <c r="G52" s="49"/>
      <c r="I52" s="11" t="s">
        <v>37</v>
      </c>
      <c r="J52" s="11"/>
      <c r="K52" s="10">
        <v>412</v>
      </c>
      <c r="L52" s="9">
        <v>2484726</v>
      </c>
      <c r="M52" s="10">
        <f t="shared" si="102"/>
        <v>53</v>
      </c>
      <c r="N52" s="9">
        <f t="shared" si="102"/>
        <v>267951</v>
      </c>
      <c r="O52" s="8">
        <f t="shared" si="103"/>
        <v>0.12087424298812464</v>
      </c>
      <c r="Q52" s="11" t="s">
        <v>37</v>
      </c>
      <c r="R52" s="11"/>
      <c r="S52" s="10">
        <v>353</v>
      </c>
      <c r="T52" s="9">
        <v>2281223</v>
      </c>
      <c r="U52" s="10">
        <f t="shared" si="104"/>
        <v>-59</v>
      </c>
      <c r="V52" s="9">
        <f t="shared" si="104"/>
        <v>-203503</v>
      </c>
      <c r="W52" s="8">
        <f t="shared" si="105"/>
        <v>-8.1901585929394227E-2</v>
      </c>
      <c r="Y52" s="11" t="s">
        <v>37</v>
      </c>
      <c r="Z52" s="11"/>
      <c r="AA52" s="10">
        <v>341</v>
      </c>
      <c r="AB52" s="9">
        <v>2164457</v>
      </c>
      <c r="AC52" s="10">
        <f t="shared" si="106"/>
        <v>-12</v>
      </c>
      <c r="AD52" s="9">
        <f t="shared" si="107"/>
        <v>-116766</v>
      </c>
      <c r="AE52" s="8">
        <f t="shared" si="108"/>
        <v>-5.1185701704743465E-2</v>
      </c>
      <c r="AG52" s="11" t="s">
        <v>37</v>
      </c>
      <c r="AH52" s="11"/>
      <c r="AI52" s="10">
        <v>427</v>
      </c>
      <c r="AJ52" s="9">
        <v>2566507</v>
      </c>
      <c r="AK52" s="10">
        <f t="shared" si="109"/>
        <v>86</v>
      </c>
      <c r="AL52" s="9">
        <f t="shared" si="110"/>
        <v>402050</v>
      </c>
      <c r="AM52" s="8">
        <f t="shared" si="111"/>
        <v>0.18575097587986272</v>
      </c>
      <c r="AO52" s="11" t="s">
        <v>37</v>
      </c>
      <c r="AP52" s="11"/>
      <c r="AQ52" s="10">
        <v>678</v>
      </c>
      <c r="AR52" s="9">
        <v>4662963</v>
      </c>
      <c r="AS52" s="10">
        <f t="shared" si="112"/>
        <v>251</v>
      </c>
      <c r="AT52" s="9">
        <f t="shared" si="113"/>
        <v>2096456</v>
      </c>
      <c r="AU52" s="8">
        <f t="shared" si="114"/>
        <v>0.81685185351140677</v>
      </c>
      <c r="AW52" s="11" t="s">
        <v>37</v>
      </c>
      <c r="AX52" s="11"/>
      <c r="AY52" s="10">
        <v>613</v>
      </c>
      <c r="AZ52" s="9">
        <v>3513152</v>
      </c>
      <c r="BA52" s="10">
        <f t="shared" si="115"/>
        <v>-65</v>
      </c>
      <c r="BB52" s="9">
        <f t="shared" si="116"/>
        <v>-1149811</v>
      </c>
      <c r="BC52" s="8">
        <f t="shared" si="117"/>
        <v>-0.24658377087701533</v>
      </c>
      <c r="BE52" s="11" t="s">
        <v>37</v>
      </c>
      <c r="BF52" s="11"/>
      <c r="BG52" s="10">
        <v>320</v>
      </c>
      <c r="BH52" s="9">
        <v>1914540</v>
      </c>
      <c r="BI52" s="10">
        <f t="shared" si="118"/>
        <v>-293</v>
      </c>
      <c r="BJ52" s="9">
        <f t="shared" si="119"/>
        <v>-1598612</v>
      </c>
      <c r="BK52" s="8">
        <f t="shared" si="120"/>
        <v>-0.45503638897491483</v>
      </c>
      <c r="BL52" s="50"/>
      <c r="BM52" s="11" t="s">
        <v>37</v>
      </c>
      <c r="BN52" s="11"/>
      <c r="BO52" s="10">
        <v>293</v>
      </c>
      <c r="BP52" s="9">
        <v>1535311</v>
      </c>
      <c r="BQ52" s="10">
        <f t="shared" si="121"/>
        <v>-27</v>
      </c>
      <c r="BR52" s="9">
        <f t="shared" si="122"/>
        <v>-379229</v>
      </c>
      <c r="BS52" s="8">
        <f t="shared" si="123"/>
        <v>-0.19807838958705484</v>
      </c>
      <c r="BU52" s="11" t="s">
        <v>37</v>
      </c>
      <c r="BV52" s="11"/>
      <c r="BW52" s="10">
        <v>226</v>
      </c>
      <c r="BX52" s="9">
        <v>1060170</v>
      </c>
      <c r="BY52" s="10">
        <f t="shared" si="124"/>
        <v>-67</v>
      </c>
      <c r="BZ52" s="9">
        <f t="shared" si="125"/>
        <v>-475141</v>
      </c>
      <c r="CA52" s="8">
        <f t="shared" si="126"/>
        <v>-0.30947540921676453</v>
      </c>
      <c r="CC52" s="11" t="s">
        <v>37</v>
      </c>
      <c r="CD52" s="11"/>
      <c r="CE52" s="10">
        <v>237</v>
      </c>
      <c r="CF52" s="9">
        <v>1202385</v>
      </c>
      <c r="CG52" s="10">
        <f t="shared" si="127"/>
        <v>11</v>
      </c>
      <c r="CH52" s="9">
        <f t="shared" si="128"/>
        <v>142215</v>
      </c>
      <c r="CI52" s="8">
        <f t="shared" si="129"/>
        <v>0.13414358074648405</v>
      </c>
      <c r="CK52" s="11" t="s">
        <v>37</v>
      </c>
      <c r="CL52" s="11"/>
      <c r="CM52" s="10">
        <v>231</v>
      </c>
      <c r="CN52" s="9">
        <v>1276182</v>
      </c>
      <c r="CO52" s="10">
        <f t="shared" si="130"/>
        <v>-6</v>
      </c>
      <c r="CP52" s="9">
        <f t="shared" si="131"/>
        <v>73797</v>
      </c>
      <c r="CQ52" s="8">
        <f t="shared" si="132"/>
        <v>6.1375516161628764E-2</v>
      </c>
      <c r="CS52" s="11" t="s">
        <v>37</v>
      </c>
      <c r="CT52" s="11"/>
      <c r="CU52" s="10">
        <v>198</v>
      </c>
      <c r="CV52" s="9">
        <v>1010677</v>
      </c>
      <c r="CW52" s="10">
        <f t="shared" si="133"/>
        <v>-33</v>
      </c>
      <c r="CX52" s="9">
        <f t="shared" si="134"/>
        <v>-265505</v>
      </c>
      <c r="CY52" s="8">
        <f t="shared" si="135"/>
        <v>-0.20804634448691486</v>
      </c>
    </row>
    <row r="53" spans="1:103" ht="18">
      <c r="A53" s="16">
        <v>84</v>
      </c>
      <c r="B53" s="30" t="s">
        <v>45</v>
      </c>
      <c r="C53" s="41">
        <v>0</v>
      </c>
      <c r="D53" s="1"/>
      <c r="E53" s="42"/>
      <c r="F53" s="42"/>
      <c r="G53" s="42"/>
      <c r="H53" s="1"/>
      <c r="I53" s="16">
        <v>84</v>
      </c>
      <c r="J53" s="30" t="s">
        <v>45</v>
      </c>
      <c r="K53" s="41">
        <v>0</v>
      </c>
      <c r="L53" s="1"/>
      <c r="M53" s="12">
        <f t="shared" si="102"/>
        <v>0</v>
      </c>
      <c r="N53" s="14">
        <f t="shared" si="102"/>
        <v>0</v>
      </c>
      <c r="O53" s="13" t="e">
        <f t="shared" si="103"/>
        <v>#DIV/0!</v>
      </c>
      <c r="P53" s="1"/>
      <c r="Q53" s="16">
        <v>84</v>
      </c>
      <c r="R53" s="30" t="s">
        <v>45</v>
      </c>
      <c r="S53" s="41">
        <v>0</v>
      </c>
      <c r="T53" s="1"/>
      <c r="U53" s="12">
        <f t="shared" si="104"/>
        <v>0</v>
      </c>
      <c r="V53" s="14">
        <f t="shared" si="104"/>
        <v>0</v>
      </c>
      <c r="W53" s="13" t="e">
        <f t="shared" si="105"/>
        <v>#DIV/0!</v>
      </c>
      <c r="X53" s="1"/>
      <c r="Y53" s="16">
        <v>84</v>
      </c>
      <c r="Z53" s="30" t="s">
        <v>45</v>
      </c>
      <c r="AA53" s="41">
        <v>0</v>
      </c>
      <c r="AB53" s="1"/>
      <c r="AC53" s="12">
        <f t="shared" si="106"/>
        <v>0</v>
      </c>
      <c r="AD53" s="14">
        <f t="shared" si="107"/>
        <v>0</v>
      </c>
      <c r="AE53" s="13" t="e">
        <f t="shared" si="108"/>
        <v>#DIV/0!</v>
      </c>
      <c r="AF53" s="1"/>
      <c r="AG53" s="16">
        <v>84</v>
      </c>
      <c r="AH53" s="30" t="s">
        <v>45</v>
      </c>
      <c r="AI53" s="41">
        <v>0</v>
      </c>
      <c r="AJ53" s="1"/>
      <c r="AK53" s="12">
        <f t="shared" si="109"/>
        <v>0</v>
      </c>
      <c r="AL53" s="14">
        <f t="shared" si="110"/>
        <v>0</v>
      </c>
      <c r="AM53" s="13" t="e">
        <f t="shared" si="111"/>
        <v>#DIV/0!</v>
      </c>
      <c r="AN53" s="1"/>
      <c r="AO53" s="16">
        <v>84</v>
      </c>
      <c r="AP53" s="30" t="s">
        <v>45</v>
      </c>
      <c r="AQ53" s="41">
        <v>0</v>
      </c>
      <c r="AR53" s="1"/>
      <c r="AS53" s="12">
        <f t="shared" si="112"/>
        <v>0</v>
      </c>
      <c r="AT53" s="14">
        <f t="shared" si="113"/>
        <v>0</v>
      </c>
      <c r="AU53" s="13" t="e">
        <f t="shared" si="114"/>
        <v>#DIV/0!</v>
      </c>
      <c r="AV53" s="1"/>
      <c r="AW53" s="16">
        <v>84</v>
      </c>
      <c r="AX53" s="30" t="s">
        <v>45</v>
      </c>
      <c r="AY53" s="41">
        <v>0</v>
      </c>
      <c r="AZ53" s="1"/>
      <c r="BA53" s="12">
        <f t="shared" si="115"/>
        <v>0</v>
      </c>
      <c r="BB53" s="14">
        <f t="shared" si="116"/>
        <v>0</v>
      </c>
      <c r="BC53" s="13" t="e">
        <f t="shared" si="117"/>
        <v>#DIV/0!</v>
      </c>
      <c r="BD53" s="43"/>
      <c r="BE53" s="16">
        <v>84</v>
      </c>
      <c r="BF53" s="30" t="s">
        <v>45</v>
      </c>
      <c r="BG53" s="17">
        <v>0</v>
      </c>
      <c r="BH53" s="33"/>
      <c r="BI53" s="12">
        <f t="shared" si="118"/>
        <v>0</v>
      </c>
      <c r="BJ53" s="14">
        <f t="shared" si="119"/>
        <v>0</v>
      </c>
      <c r="BK53" s="13" t="e">
        <f t="shared" si="120"/>
        <v>#DIV/0!</v>
      </c>
      <c r="BL53" s="43"/>
      <c r="BM53" s="16">
        <v>84</v>
      </c>
      <c r="BN53" s="30" t="s">
        <v>45</v>
      </c>
      <c r="BO53" s="17">
        <v>0</v>
      </c>
      <c r="BP53" s="33"/>
      <c r="BQ53" s="12">
        <f t="shared" si="121"/>
        <v>0</v>
      </c>
      <c r="BR53" s="14">
        <f t="shared" si="122"/>
        <v>0</v>
      </c>
      <c r="BS53" s="13" t="e">
        <f t="shared" si="123"/>
        <v>#DIV/0!</v>
      </c>
      <c r="BU53" s="16">
        <v>84</v>
      </c>
      <c r="BV53" s="30" t="s">
        <v>45</v>
      </c>
      <c r="BW53">
        <v>0</v>
      </c>
      <c r="BY53" s="12">
        <f t="shared" si="124"/>
        <v>0</v>
      </c>
      <c r="BZ53" s="14">
        <f t="shared" si="125"/>
        <v>0</v>
      </c>
      <c r="CA53" s="13" t="e">
        <f t="shared" si="126"/>
        <v>#DIV/0!</v>
      </c>
      <c r="CC53" s="16">
        <v>84</v>
      </c>
      <c r="CD53" s="30" t="s">
        <v>45</v>
      </c>
      <c r="CE53">
        <v>0</v>
      </c>
      <c r="CG53" s="12">
        <f t="shared" si="127"/>
        <v>0</v>
      </c>
      <c r="CH53" s="14">
        <f t="shared" si="128"/>
        <v>0</v>
      </c>
      <c r="CI53" s="13" t="e">
        <f t="shared" si="129"/>
        <v>#DIV/0!</v>
      </c>
      <c r="CK53" s="16">
        <v>84</v>
      </c>
      <c r="CL53" s="30" t="s">
        <v>45</v>
      </c>
      <c r="CM53">
        <v>0</v>
      </c>
      <c r="CO53" s="12">
        <f t="shared" si="130"/>
        <v>0</v>
      </c>
      <c r="CP53" s="14">
        <f t="shared" si="131"/>
        <v>0</v>
      </c>
      <c r="CQ53" s="13" t="e">
        <f t="shared" si="132"/>
        <v>#DIV/0!</v>
      </c>
      <c r="CS53" s="16">
        <v>84</v>
      </c>
      <c r="CT53" s="30" t="s">
        <v>45</v>
      </c>
      <c r="CU53">
        <v>0</v>
      </c>
      <c r="CW53" s="12">
        <f t="shared" si="133"/>
        <v>0</v>
      </c>
      <c r="CX53" s="14">
        <f t="shared" si="134"/>
        <v>0</v>
      </c>
      <c r="CY53" s="13" t="e">
        <f t="shared" si="135"/>
        <v>#DIV/0!</v>
      </c>
    </row>
    <row r="54" spans="1:103" ht="18">
      <c r="A54" s="16"/>
      <c r="B54" s="30" t="s">
        <v>46</v>
      </c>
      <c r="C54">
        <v>0</v>
      </c>
      <c r="D54" s="33"/>
      <c r="E54" s="34"/>
      <c r="F54" s="34"/>
      <c r="G54" s="34"/>
      <c r="I54" s="16"/>
      <c r="J54" s="30" t="s">
        <v>46</v>
      </c>
      <c r="K54">
        <v>0</v>
      </c>
      <c r="L54" s="33"/>
      <c r="M54" s="12"/>
      <c r="N54" s="14"/>
      <c r="O54" s="13"/>
      <c r="Q54" s="16"/>
      <c r="R54" s="30" t="s">
        <v>46</v>
      </c>
      <c r="S54">
        <v>0</v>
      </c>
      <c r="T54" s="33"/>
      <c r="U54" s="12"/>
      <c r="V54" s="14"/>
      <c r="W54" s="13"/>
      <c r="Y54" s="16"/>
      <c r="Z54" s="30" t="s">
        <v>46</v>
      </c>
      <c r="AA54">
        <v>0</v>
      </c>
      <c r="AB54" s="33"/>
      <c r="AC54" s="12"/>
      <c r="AD54" s="14"/>
      <c r="AE54" s="13"/>
      <c r="AG54" s="16"/>
      <c r="AH54" s="30" t="s">
        <v>46</v>
      </c>
      <c r="AI54">
        <v>0</v>
      </c>
      <c r="AJ54" s="33"/>
      <c r="AK54" s="12"/>
      <c r="AL54" s="14"/>
      <c r="AM54" s="13"/>
      <c r="AO54" s="16"/>
      <c r="AP54" s="30" t="s">
        <v>46</v>
      </c>
      <c r="AQ54">
        <v>0</v>
      </c>
      <c r="AR54" s="33"/>
      <c r="AS54" s="12"/>
      <c r="AT54" s="14"/>
      <c r="AU54" s="13"/>
      <c r="AW54" s="16"/>
      <c r="AX54" s="30" t="s">
        <v>46</v>
      </c>
      <c r="AY54">
        <v>0</v>
      </c>
      <c r="AZ54" s="33"/>
      <c r="BA54" s="12"/>
      <c r="BB54" s="14"/>
      <c r="BC54" s="13"/>
      <c r="BE54" s="16"/>
      <c r="BF54" s="30" t="s">
        <v>46</v>
      </c>
      <c r="BG54">
        <v>0</v>
      </c>
      <c r="BH54" s="33"/>
      <c r="BI54" s="12"/>
      <c r="BJ54" s="14"/>
      <c r="BK54" s="13"/>
      <c r="BM54" s="16"/>
      <c r="BN54" s="30" t="s">
        <v>46</v>
      </c>
      <c r="BO54">
        <v>0</v>
      </c>
      <c r="BP54" s="33"/>
      <c r="BQ54" s="12"/>
      <c r="BR54" s="14"/>
      <c r="BS54" s="13"/>
      <c r="BU54" s="16"/>
      <c r="BV54" s="30" t="s">
        <v>46</v>
      </c>
      <c r="BW54">
        <v>0</v>
      </c>
      <c r="BY54" s="12"/>
      <c r="BZ54" s="14"/>
      <c r="CA54" s="13"/>
      <c r="CC54" s="16"/>
      <c r="CD54" s="30" t="s">
        <v>46</v>
      </c>
      <c r="CE54">
        <v>0</v>
      </c>
      <c r="CG54" s="12"/>
      <c r="CH54" s="14"/>
      <c r="CI54" s="13"/>
      <c r="CK54" s="16"/>
      <c r="CL54" s="30" t="s">
        <v>46</v>
      </c>
      <c r="CM54">
        <v>0</v>
      </c>
      <c r="CO54" s="12"/>
      <c r="CP54" s="14"/>
      <c r="CQ54" s="13"/>
      <c r="CS54" s="16"/>
      <c r="CT54" s="30" t="s">
        <v>46</v>
      </c>
      <c r="CU54">
        <v>0</v>
      </c>
      <c r="CW54" s="12"/>
      <c r="CX54" s="14"/>
      <c r="CY54" s="13"/>
    </row>
    <row r="55" spans="1:103" ht="16">
      <c r="A55" s="36"/>
      <c r="B55" s="15" t="s">
        <v>26</v>
      </c>
      <c r="C55" s="12">
        <v>188</v>
      </c>
      <c r="D55" s="14">
        <v>154178</v>
      </c>
      <c r="F55" s="14"/>
      <c r="G55" s="48"/>
      <c r="I55" s="36"/>
      <c r="J55" s="15" t="s">
        <v>26</v>
      </c>
      <c r="K55" s="12">
        <v>143</v>
      </c>
      <c r="L55" s="14">
        <v>123465</v>
      </c>
      <c r="M55" s="12">
        <f t="shared" ref="M55:N65" si="136">K55-C55</f>
        <v>-45</v>
      </c>
      <c r="N55" s="14">
        <f t="shared" si="136"/>
        <v>-30713</v>
      </c>
      <c r="O55" s="13">
        <f t="shared" ref="O55:O65" si="137">(L55-D55)/D55</f>
        <v>-0.1992048152135843</v>
      </c>
      <c r="Q55" s="36"/>
      <c r="R55" s="15" t="s">
        <v>26</v>
      </c>
      <c r="S55" s="12">
        <v>134</v>
      </c>
      <c r="T55" s="14">
        <v>123058</v>
      </c>
      <c r="U55" s="12">
        <f t="shared" ref="U55:V65" si="138">S55-K55</f>
        <v>-9</v>
      </c>
      <c r="V55" s="14">
        <f t="shared" si="138"/>
        <v>-407</v>
      </c>
      <c r="W55" s="13">
        <f t="shared" ref="W55:W65" si="139">(T55-L55)/L55</f>
        <v>-3.2964807840278622E-3</v>
      </c>
      <c r="Y55" s="36"/>
      <c r="Z55" s="15" t="s">
        <v>26</v>
      </c>
      <c r="AA55" s="12">
        <v>178</v>
      </c>
      <c r="AB55" s="14">
        <v>156278</v>
      </c>
      <c r="AC55" s="12">
        <f t="shared" ref="AC55:AC65" si="140">AA55-S55</f>
        <v>44</v>
      </c>
      <c r="AD55" s="14">
        <f t="shared" ref="AD55:AD65" si="141">AB55-T55</f>
        <v>33220</v>
      </c>
      <c r="AE55" s="13">
        <f t="shared" ref="AE55:AE65" si="142">(AB55-T55)/T55</f>
        <v>0.26995400542833459</v>
      </c>
      <c r="AG55" s="36"/>
      <c r="AH55" s="15" t="s">
        <v>26</v>
      </c>
      <c r="AI55" s="12">
        <v>160</v>
      </c>
      <c r="AJ55" s="14">
        <v>143870</v>
      </c>
      <c r="AK55" s="12">
        <f t="shared" ref="AK55:AK65" si="143">AI55-AA55</f>
        <v>-18</v>
      </c>
      <c r="AL55" s="14">
        <f t="shared" ref="AL55:AL65" si="144">AJ55-AB55</f>
        <v>-12408</v>
      </c>
      <c r="AM55" s="13">
        <f t="shared" ref="AM55:AM65" si="145">(AJ55-AB55)/AB55</f>
        <v>-7.9396972062606375E-2</v>
      </c>
      <c r="AO55" s="36"/>
      <c r="AP55" s="15" t="s">
        <v>26</v>
      </c>
      <c r="AQ55" s="12">
        <v>274</v>
      </c>
      <c r="AR55" s="14">
        <v>235740</v>
      </c>
      <c r="AS55" s="12">
        <f t="shared" ref="AS55:AS65" si="146">AQ55-AI55</f>
        <v>114</v>
      </c>
      <c r="AT55" s="14">
        <f t="shared" ref="AT55:AT65" si="147">AR55-AJ55</f>
        <v>91870</v>
      </c>
      <c r="AU55" s="13">
        <f t="shared" ref="AU55:AU65" si="148">(AR55-AJ55)/AJ55</f>
        <v>0.63856259122819214</v>
      </c>
      <c r="AW55" s="36"/>
      <c r="AX55" s="15" t="s">
        <v>26</v>
      </c>
      <c r="AY55" s="12">
        <v>286</v>
      </c>
      <c r="AZ55" s="14">
        <v>246142</v>
      </c>
      <c r="BA55" s="12">
        <f t="shared" ref="BA55:BA65" si="149">AY55-AQ55</f>
        <v>12</v>
      </c>
      <c r="BB55" s="14">
        <f t="shared" ref="BB55:BB65" si="150">AZ55-AR55</f>
        <v>10402</v>
      </c>
      <c r="BC55" s="13">
        <f t="shared" ref="BC55:BC65" si="151">(AZ55-AR55)/AR55</f>
        <v>4.412488334605922E-2</v>
      </c>
      <c r="BE55" s="36"/>
      <c r="BF55" s="15" t="s">
        <v>26</v>
      </c>
      <c r="BG55" s="12">
        <v>144</v>
      </c>
      <c r="BH55" s="14">
        <v>121618</v>
      </c>
      <c r="BI55" s="12">
        <f t="shared" ref="BI55:BI65" si="152">BG55-AY55</f>
        <v>-142</v>
      </c>
      <c r="BJ55" s="14">
        <f t="shared" ref="BJ55:BJ65" si="153">BH55-AZ55</f>
        <v>-124524</v>
      </c>
      <c r="BK55" s="13">
        <f t="shared" ref="BK55:BK65" si="154">(BH55-AZ55)/AZ55</f>
        <v>-0.50590309658652322</v>
      </c>
      <c r="BL55" s="48"/>
      <c r="BM55" s="36"/>
      <c r="BN55" s="15" t="s">
        <v>26</v>
      </c>
      <c r="BO55" s="12">
        <v>178</v>
      </c>
      <c r="BP55" s="14">
        <v>165969</v>
      </c>
      <c r="BQ55" s="12">
        <f t="shared" ref="BQ55:BQ65" si="155">BO55-BG55</f>
        <v>34</v>
      </c>
      <c r="BR55" s="14">
        <f t="shared" ref="BR55:BR65" si="156">BP55-BH55</f>
        <v>44351</v>
      </c>
      <c r="BS55" s="13">
        <f t="shared" ref="BS55:BS65" si="157">(BP55-BH55)/BH55</f>
        <v>0.36467463697807889</v>
      </c>
      <c r="BU55" s="36"/>
      <c r="BV55" s="15" t="s">
        <v>26</v>
      </c>
      <c r="BW55" s="12">
        <v>108</v>
      </c>
      <c r="BX55" s="14">
        <v>99721</v>
      </c>
      <c r="BY55" s="12">
        <f t="shared" ref="BY55:BY65" si="158">BW55-BO55</f>
        <v>-70</v>
      </c>
      <c r="BZ55" s="14">
        <f t="shared" ref="BZ55:BZ65" si="159">BX55-BP55</f>
        <v>-66248</v>
      </c>
      <c r="CA55" s="13">
        <f t="shared" ref="CA55:CA65" si="160">(BX55-BP55)/BP55</f>
        <v>-0.39915887906777769</v>
      </c>
      <c r="CC55" s="36"/>
      <c r="CD55" s="15" t="s">
        <v>26</v>
      </c>
      <c r="CE55" s="12">
        <v>106</v>
      </c>
      <c r="CF55" s="14">
        <v>95095</v>
      </c>
      <c r="CG55" s="12">
        <f t="shared" ref="CG55:CG65" si="161">CE55-BW55</f>
        <v>-2</v>
      </c>
      <c r="CH55" s="14">
        <f t="shared" ref="CH55:CH65" si="162">CF55-BX55</f>
        <v>-4626</v>
      </c>
      <c r="CI55" s="13">
        <f t="shared" ref="CI55:CI65" si="163">(CF55-BX55)/BX55</f>
        <v>-4.638942649993482E-2</v>
      </c>
      <c r="CK55" s="36"/>
      <c r="CL55" s="15" t="s">
        <v>26</v>
      </c>
      <c r="CM55" s="12">
        <v>94</v>
      </c>
      <c r="CN55" s="14">
        <v>79457</v>
      </c>
      <c r="CO55" s="12">
        <f t="shared" ref="CO55:CO65" si="164">CM55-CE55</f>
        <v>-12</v>
      </c>
      <c r="CP55" s="14">
        <f t="shared" ref="CP55:CP65" si="165">CN55-CF55</f>
        <v>-15638</v>
      </c>
      <c r="CQ55" s="13">
        <f t="shared" ref="CQ55:CQ65" si="166">(CN55-CF55)/CF55</f>
        <v>-0.16444608023555393</v>
      </c>
      <c r="CS55" s="36"/>
      <c r="CT55" s="15" t="s">
        <v>26</v>
      </c>
      <c r="CU55" s="12">
        <v>85</v>
      </c>
      <c r="CV55" s="14">
        <v>77630</v>
      </c>
      <c r="CW55" s="12">
        <f t="shared" ref="CW55:CW65" si="167">CU55-CM55</f>
        <v>-9</v>
      </c>
      <c r="CX55" s="14">
        <f t="shared" ref="CX55:CX65" si="168">CV55-CN55</f>
        <v>-1827</v>
      </c>
      <c r="CY55" s="13">
        <f t="shared" ref="CY55:CY65" si="169">(CV55-CN55)/CN55</f>
        <v>-2.2993568848559597E-2</v>
      </c>
    </row>
    <row r="56" spans="1:103" ht="16">
      <c r="A56" s="36"/>
      <c r="B56" s="15" t="s">
        <v>27</v>
      </c>
      <c r="C56" s="12">
        <v>124</v>
      </c>
      <c r="D56" s="14">
        <v>88108</v>
      </c>
      <c r="F56" s="14"/>
      <c r="G56" s="48"/>
      <c r="I56" s="36"/>
      <c r="J56" s="15" t="s">
        <v>27</v>
      </c>
      <c r="K56" s="12">
        <v>108</v>
      </c>
      <c r="L56" s="14">
        <v>106194</v>
      </c>
      <c r="M56" s="12">
        <f t="shared" si="136"/>
        <v>-16</v>
      </c>
      <c r="N56" s="14">
        <f t="shared" si="136"/>
        <v>18086</v>
      </c>
      <c r="O56" s="13">
        <f t="shared" si="137"/>
        <v>0.20527080401325645</v>
      </c>
      <c r="Q56" s="36"/>
      <c r="R56" s="15" t="s">
        <v>27</v>
      </c>
      <c r="S56" s="12">
        <v>128</v>
      </c>
      <c r="T56" s="14">
        <v>111878</v>
      </c>
      <c r="U56" s="12">
        <f t="shared" si="138"/>
        <v>20</v>
      </c>
      <c r="V56" s="14">
        <f t="shared" si="138"/>
        <v>5684</v>
      </c>
      <c r="W56" s="13">
        <f t="shared" si="139"/>
        <v>5.3524681243761418E-2</v>
      </c>
      <c r="Y56" s="36"/>
      <c r="Z56" s="15" t="s">
        <v>27</v>
      </c>
      <c r="AA56" s="12">
        <v>125</v>
      </c>
      <c r="AB56" s="14">
        <v>118429</v>
      </c>
      <c r="AC56" s="12">
        <f t="shared" si="140"/>
        <v>-3</v>
      </c>
      <c r="AD56" s="14">
        <f t="shared" si="141"/>
        <v>6551</v>
      </c>
      <c r="AE56" s="13">
        <f t="shared" si="142"/>
        <v>5.8554854394965945E-2</v>
      </c>
      <c r="AG56" s="36"/>
      <c r="AH56" s="15" t="s">
        <v>27</v>
      </c>
      <c r="AI56" s="12">
        <v>106</v>
      </c>
      <c r="AJ56" s="14">
        <v>109657</v>
      </c>
      <c r="AK56" s="12">
        <f t="shared" si="143"/>
        <v>-19</v>
      </c>
      <c r="AL56" s="14">
        <f t="shared" si="144"/>
        <v>-8772</v>
      </c>
      <c r="AM56" s="13">
        <f t="shared" si="145"/>
        <v>-7.4069695767084082E-2</v>
      </c>
      <c r="AO56" s="36"/>
      <c r="AP56" s="15" t="s">
        <v>27</v>
      </c>
      <c r="AQ56" s="12">
        <v>157</v>
      </c>
      <c r="AR56" s="14">
        <v>141933</v>
      </c>
      <c r="AS56" s="12">
        <f t="shared" si="146"/>
        <v>51</v>
      </c>
      <c r="AT56" s="14">
        <f t="shared" si="147"/>
        <v>32276</v>
      </c>
      <c r="AU56" s="13">
        <f t="shared" si="148"/>
        <v>0.29433597490356295</v>
      </c>
      <c r="AW56" s="36"/>
      <c r="AX56" s="15" t="s">
        <v>27</v>
      </c>
      <c r="AY56" s="12">
        <v>210</v>
      </c>
      <c r="AZ56" s="14">
        <v>229936</v>
      </c>
      <c r="BA56" s="12">
        <f t="shared" si="149"/>
        <v>53</v>
      </c>
      <c r="BB56" s="14">
        <f t="shared" si="150"/>
        <v>88003</v>
      </c>
      <c r="BC56" s="13">
        <f t="shared" si="151"/>
        <v>0.62003198692340755</v>
      </c>
      <c r="BE56" s="36"/>
      <c r="BF56" s="15" t="s">
        <v>27</v>
      </c>
      <c r="BG56" s="12">
        <v>107</v>
      </c>
      <c r="BH56" s="14">
        <v>101933</v>
      </c>
      <c r="BI56" s="12">
        <f t="shared" si="152"/>
        <v>-103</v>
      </c>
      <c r="BJ56" s="14">
        <f t="shared" si="153"/>
        <v>-128003</v>
      </c>
      <c r="BK56" s="13">
        <f t="shared" si="154"/>
        <v>-0.55668968756523551</v>
      </c>
      <c r="BL56" s="48"/>
      <c r="BM56" s="36"/>
      <c r="BN56" s="15" t="s">
        <v>27</v>
      </c>
      <c r="BO56" s="12">
        <v>110</v>
      </c>
      <c r="BP56" s="14">
        <v>94095</v>
      </c>
      <c r="BQ56" s="12">
        <f t="shared" si="155"/>
        <v>3</v>
      </c>
      <c r="BR56" s="14">
        <f t="shared" si="156"/>
        <v>-7838</v>
      </c>
      <c r="BS56" s="13">
        <f t="shared" si="157"/>
        <v>-7.689364582617994E-2</v>
      </c>
      <c r="BU56" s="36"/>
      <c r="BV56" s="15" t="s">
        <v>27</v>
      </c>
      <c r="BW56" s="12">
        <v>83</v>
      </c>
      <c r="BX56" s="14">
        <v>99630</v>
      </c>
      <c r="BY56" s="12">
        <f t="shared" si="158"/>
        <v>-27</v>
      </c>
      <c r="BZ56" s="14">
        <f t="shared" si="159"/>
        <v>5535</v>
      </c>
      <c r="CA56" s="13">
        <f t="shared" si="160"/>
        <v>5.8823529411764705E-2</v>
      </c>
      <c r="CC56" s="36"/>
      <c r="CD56" s="15" t="s">
        <v>27</v>
      </c>
      <c r="CE56" s="12">
        <v>102</v>
      </c>
      <c r="CF56" s="14">
        <v>97038</v>
      </c>
      <c r="CG56" s="12">
        <f t="shared" si="161"/>
        <v>19</v>
      </c>
      <c r="CH56" s="14">
        <f t="shared" si="162"/>
        <v>-2592</v>
      </c>
      <c r="CI56" s="13">
        <f t="shared" si="163"/>
        <v>-2.6016260162601626E-2</v>
      </c>
      <c r="CK56" s="36"/>
      <c r="CL56" s="15" t="s">
        <v>27</v>
      </c>
      <c r="CM56" s="12">
        <v>98</v>
      </c>
      <c r="CN56" s="14">
        <v>82781</v>
      </c>
      <c r="CO56" s="12">
        <f t="shared" si="164"/>
        <v>-4</v>
      </c>
      <c r="CP56" s="14">
        <f t="shared" si="165"/>
        <v>-14257</v>
      </c>
      <c r="CQ56" s="13">
        <f t="shared" si="166"/>
        <v>-0.14692182443991014</v>
      </c>
      <c r="CS56" s="36"/>
      <c r="CT56" s="15" t="s">
        <v>27</v>
      </c>
      <c r="CU56" s="12">
        <v>70</v>
      </c>
      <c r="CV56" s="14">
        <v>61524</v>
      </c>
      <c r="CW56" s="12">
        <f t="shared" si="167"/>
        <v>-28</v>
      </c>
      <c r="CX56" s="14">
        <f t="shared" si="168"/>
        <v>-21257</v>
      </c>
      <c r="CY56" s="13">
        <f t="shared" si="169"/>
        <v>-0.25678597745859555</v>
      </c>
    </row>
    <row r="57" spans="1:103" ht="16">
      <c r="A57" s="36"/>
      <c r="B57" s="15" t="s">
        <v>28</v>
      </c>
      <c r="C57" s="12">
        <v>21</v>
      </c>
      <c r="D57" s="14">
        <v>131990</v>
      </c>
      <c r="F57" s="14"/>
      <c r="G57" s="48"/>
      <c r="I57" s="36"/>
      <c r="J57" s="15" t="s">
        <v>28</v>
      </c>
      <c r="K57" s="12">
        <v>26</v>
      </c>
      <c r="L57" s="14">
        <v>162178</v>
      </c>
      <c r="M57" s="12">
        <f t="shared" si="136"/>
        <v>5</v>
      </c>
      <c r="N57" s="14">
        <f t="shared" si="136"/>
        <v>30188</v>
      </c>
      <c r="O57" s="13">
        <f t="shared" si="137"/>
        <v>0.22871429653761649</v>
      </c>
      <c r="Q57" s="36"/>
      <c r="R57" s="15" t="s">
        <v>28</v>
      </c>
      <c r="S57" s="12">
        <v>16</v>
      </c>
      <c r="T57" s="14">
        <v>94038</v>
      </c>
      <c r="U57" s="12">
        <f t="shared" si="138"/>
        <v>-10</v>
      </c>
      <c r="V57" s="14">
        <f t="shared" si="138"/>
        <v>-68140</v>
      </c>
      <c r="W57" s="13">
        <f t="shared" si="139"/>
        <v>-0.42015563146666007</v>
      </c>
      <c r="Y57" s="36"/>
      <c r="Z57" s="15" t="s">
        <v>28</v>
      </c>
      <c r="AA57" s="12">
        <v>20</v>
      </c>
      <c r="AB57" s="14">
        <v>123429</v>
      </c>
      <c r="AC57" s="12">
        <f t="shared" si="140"/>
        <v>4</v>
      </c>
      <c r="AD57" s="14">
        <f t="shared" si="141"/>
        <v>29391</v>
      </c>
      <c r="AE57" s="13">
        <f t="shared" si="142"/>
        <v>0.31254386524596439</v>
      </c>
      <c r="AG57" s="36"/>
      <c r="AH57" s="15" t="s">
        <v>28</v>
      </c>
      <c r="AI57" s="12">
        <v>26</v>
      </c>
      <c r="AJ57" s="14">
        <v>170229</v>
      </c>
      <c r="AK57" s="12">
        <f t="shared" si="143"/>
        <v>6</v>
      </c>
      <c r="AL57" s="14">
        <f t="shared" si="144"/>
        <v>46800</v>
      </c>
      <c r="AM57" s="13">
        <f t="shared" si="145"/>
        <v>0.37916535012031211</v>
      </c>
      <c r="AO57" s="36"/>
      <c r="AP57" s="15" t="s">
        <v>28</v>
      </c>
      <c r="AQ57" s="12">
        <v>42</v>
      </c>
      <c r="AR57" s="14">
        <v>271505</v>
      </c>
      <c r="AS57" s="12">
        <f t="shared" si="146"/>
        <v>16</v>
      </c>
      <c r="AT57" s="14">
        <f t="shared" si="147"/>
        <v>101276</v>
      </c>
      <c r="AU57" s="13">
        <f t="shared" si="148"/>
        <v>0.5949397576206169</v>
      </c>
      <c r="AW57" s="36"/>
      <c r="AX57" s="15" t="s">
        <v>28</v>
      </c>
      <c r="AY57" s="12">
        <v>53</v>
      </c>
      <c r="AZ57" s="14">
        <v>331615</v>
      </c>
      <c r="BA57" s="12">
        <f t="shared" si="149"/>
        <v>11</v>
      </c>
      <c r="BB57" s="14">
        <f t="shared" si="150"/>
        <v>60110</v>
      </c>
      <c r="BC57" s="13">
        <f t="shared" si="151"/>
        <v>0.22139555440967937</v>
      </c>
      <c r="BE57" s="36"/>
      <c r="BF57" s="15" t="s">
        <v>28</v>
      </c>
      <c r="BG57" s="12">
        <v>28</v>
      </c>
      <c r="BH57" s="14">
        <v>162495</v>
      </c>
      <c r="BI57" s="12">
        <f t="shared" si="152"/>
        <v>-25</v>
      </c>
      <c r="BJ57" s="14">
        <f t="shared" si="153"/>
        <v>-169120</v>
      </c>
      <c r="BK57" s="13">
        <f t="shared" si="154"/>
        <v>-0.5099889932602566</v>
      </c>
      <c r="BL57" s="48"/>
      <c r="BM57" s="36"/>
      <c r="BN57" s="15" t="s">
        <v>28</v>
      </c>
      <c r="BO57" s="12">
        <v>14</v>
      </c>
      <c r="BP57" s="14">
        <v>88177</v>
      </c>
      <c r="BQ57" s="12">
        <f t="shared" si="155"/>
        <v>-14</v>
      </c>
      <c r="BR57" s="14">
        <f t="shared" si="156"/>
        <v>-74318</v>
      </c>
      <c r="BS57" s="13">
        <f t="shared" si="157"/>
        <v>-0.45735561094187516</v>
      </c>
      <c r="BU57" s="36"/>
      <c r="BV57" s="15" t="s">
        <v>28</v>
      </c>
      <c r="BW57" s="12">
        <v>24</v>
      </c>
      <c r="BX57" s="14">
        <v>147634</v>
      </c>
      <c r="BY57" s="12">
        <f t="shared" si="158"/>
        <v>10</v>
      </c>
      <c r="BZ57" s="14">
        <f t="shared" si="159"/>
        <v>59457</v>
      </c>
      <c r="CA57" s="13">
        <f t="shared" si="160"/>
        <v>0.67429148190571242</v>
      </c>
      <c r="CC57" s="36"/>
      <c r="CD57" s="15" t="s">
        <v>28</v>
      </c>
      <c r="CE57" s="12">
        <v>22</v>
      </c>
      <c r="CF57" s="14">
        <v>138933</v>
      </c>
      <c r="CG57" s="12">
        <f t="shared" si="161"/>
        <v>-2</v>
      </c>
      <c r="CH57" s="14">
        <f t="shared" si="162"/>
        <v>-8701</v>
      </c>
      <c r="CI57" s="13">
        <f t="shared" si="163"/>
        <v>-5.8936288388853515E-2</v>
      </c>
      <c r="CK57" s="36"/>
      <c r="CL57" s="15" t="s">
        <v>28</v>
      </c>
      <c r="CM57" s="12">
        <v>18</v>
      </c>
      <c r="CN57" s="14">
        <v>113924</v>
      </c>
      <c r="CO57" s="12">
        <f t="shared" si="164"/>
        <v>-4</v>
      </c>
      <c r="CP57" s="14">
        <f t="shared" si="165"/>
        <v>-25009</v>
      </c>
      <c r="CQ57" s="13">
        <f t="shared" si="166"/>
        <v>-0.18000762957684641</v>
      </c>
      <c r="CS57" s="36"/>
      <c r="CT57" s="15" t="s">
        <v>28</v>
      </c>
      <c r="CU57" s="12">
        <v>9</v>
      </c>
      <c r="CV57" s="14">
        <v>54867</v>
      </c>
      <c r="CW57" s="12">
        <f t="shared" si="167"/>
        <v>-9</v>
      </c>
      <c r="CX57" s="14">
        <f t="shared" si="168"/>
        <v>-59057</v>
      </c>
      <c r="CY57" s="13">
        <f t="shared" si="169"/>
        <v>-0.51838945261753455</v>
      </c>
    </row>
    <row r="58" spans="1:103" ht="16">
      <c r="A58" s="16"/>
      <c r="B58" s="15" t="s">
        <v>29</v>
      </c>
      <c r="C58" s="12">
        <v>7</v>
      </c>
      <c r="D58" s="14">
        <v>77429</v>
      </c>
      <c r="F58" s="14"/>
      <c r="G58" s="48"/>
      <c r="I58" s="16"/>
      <c r="J58" s="15" t="s">
        <v>29</v>
      </c>
      <c r="K58" s="12">
        <v>20</v>
      </c>
      <c r="L58" s="14">
        <v>229333</v>
      </c>
      <c r="M58" s="12">
        <f t="shared" si="136"/>
        <v>13</v>
      </c>
      <c r="N58" s="14">
        <f t="shared" si="136"/>
        <v>151904</v>
      </c>
      <c r="O58" s="13">
        <f t="shared" si="137"/>
        <v>1.9618489196554263</v>
      </c>
      <c r="Q58" s="16"/>
      <c r="R58" s="15" t="s">
        <v>29</v>
      </c>
      <c r="S58" s="12">
        <v>22</v>
      </c>
      <c r="T58" s="14">
        <v>251429</v>
      </c>
      <c r="U58" s="12">
        <f t="shared" si="138"/>
        <v>2</v>
      </c>
      <c r="V58" s="14">
        <f t="shared" si="138"/>
        <v>22096</v>
      </c>
      <c r="W58" s="13">
        <f t="shared" si="139"/>
        <v>9.6348977251420428E-2</v>
      </c>
      <c r="Y58" s="16"/>
      <c r="Z58" s="15" t="s">
        <v>29</v>
      </c>
      <c r="AA58" s="12">
        <v>18</v>
      </c>
      <c r="AB58" s="14">
        <v>224762</v>
      </c>
      <c r="AC58" s="12">
        <f t="shared" si="140"/>
        <v>-4</v>
      </c>
      <c r="AD58" s="14">
        <f t="shared" si="141"/>
        <v>-26667</v>
      </c>
      <c r="AE58" s="13">
        <f t="shared" si="142"/>
        <v>-0.1060617510311062</v>
      </c>
      <c r="AG58" s="16"/>
      <c r="AH58" s="15" t="s">
        <v>29</v>
      </c>
      <c r="AI58" s="12">
        <v>10</v>
      </c>
      <c r="AJ58" s="14">
        <v>121333</v>
      </c>
      <c r="AK58" s="12">
        <f t="shared" si="143"/>
        <v>-8</v>
      </c>
      <c r="AL58" s="14">
        <f t="shared" si="144"/>
        <v>-103429</v>
      </c>
      <c r="AM58" s="13">
        <f t="shared" si="145"/>
        <v>-0.46017120331728673</v>
      </c>
      <c r="AO58" s="16"/>
      <c r="AP58" s="15" t="s">
        <v>29</v>
      </c>
      <c r="AQ58" s="12">
        <v>32</v>
      </c>
      <c r="AR58" s="14">
        <v>371048</v>
      </c>
      <c r="AS58" s="12">
        <f t="shared" si="146"/>
        <v>22</v>
      </c>
      <c r="AT58" s="14">
        <f t="shared" si="147"/>
        <v>249715</v>
      </c>
      <c r="AU58" s="13">
        <f t="shared" si="148"/>
        <v>2.0580963134514105</v>
      </c>
      <c r="AW58" s="16"/>
      <c r="AX58" s="15" t="s">
        <v>29</v>
      </c>
      <c r="AY58" s="12">
        <v>34</v>
      </c>
      <c r="AZ58" s="14">
        <v>412010</v>
      </c>
      <c r="BA58" s="12">
        <f t="shared" si="149"/>
        <v>2</v>
      </c>
      <c r="BB58" s="14">
        <f t="shared" si="150"/>
        <v>40962</v>
      </c>
      <c r="BC58" s="13">
        <f t="shared" si="151"/>
        <v>0.1103954205385826</v>
      </c>
      <c r="BE58" s="16"/>
      <c r="BF58" s="15" t="s">
        <v>29</v>
      </c>
      <c r="BG58" s="12">
        <v>17</v>
      </c>
      <c r="BH58" s="14">
        <v>203719</v>
      </c>
      <c r="BI58" s="12">
        <f t="shared" si="152"/>
        <v>-17</v>
      </c>
      <c r="BJ58" s="14">
        <f t="shared" si="153"/>
        <v>-208291</v>
      </c>
      <c r="BK58" s="13">
        <f t="shared" si="154"/>
        <v>-0.50554840901919851</v>
      </c>
      <c r="BL58" s="48"/>
      <c r="BM58" s="16"/>
      <c r="BN58" s="15" t="s">
        <v>29</v>
      </c>
      <c r="BO58" s="12">
        <v>23</v>
      </c>
      <c r="BP58" s="14">
        <v>268667</v>
      </c>
      <c r="BQ58" s="12">
        <f t="shared" si="155"/>
        <v>6</v>
      </c>
      <c r="BR58" s="14">
        <f t="shared" si="156"/>
        <v>64948</v>
      </c>
      <c r="BS58" s="13">
        <f t="shared" si="157"/>
        <v>0.31881169650351709</v>
      </c>
      <c r="BU58" s="16"/>
      <c r="BV58" s="15" t="s">
        <v>29</v>
      </c>
      <c r="BW58" s="12">
        <v>17</v>
      </c>
      <c r="BX58" s="14">
        <v>200095</v>
      </c>
      <c r="BY58" s="12">
        <f t="shared" si="158"/>
        <v>-6</v>
      </c>
      <c r="BZ58" s="14">
        <f t="shared" si="159"/>
        <v>-68572</v>
      </c>
      <c r="CA58" s="13">
        <f t="shared" si="160"/>
        <v>-0.25523045256767674</v>
      </c>
      <c r="CC58" s="16"/>
      <c r="CD58" s="15" t="s">
        <v>29</v>
      </c>
      <c r="CE58" s="12">
        <v>7</v>
      </c>
      <c r="CF58" s="14">
        <v>110571</v>
      </c>
      <c r="CG58" s="12">
        <f t="shared" si="161"/>
        <v>-10</v>
      </c>
      <c r="CH58" s="14">
        <f t="shared" si="162"/>
        <v>-89524</v>
      </c>
      <c r="CI58" s="13">
        <f t="shared" si="163"/>
        <v>-0.44740748144631298</v>
      </c>
      <c r="CK58" s="16"/>
      <c r="CL58" s="15" t="s">
        <v>29</v>
      </c>
      <c r="CM58" s="12">
        <v>15</v>
      </c>
      <c r="CN58" s="14">
        <v>173621</v>
      </c>
      <c r="CO58" s="12">
        <f t="shared" si="164"/>
        <v>8</v>
      </c>
      <c r="CP58" s="14">
        <f t="shared" si="165"/>
        <v>63050</v>
      </c>
      <c r="CQ58" s="13">
        <f t="shared" si="166"/>
        <v>0.57022184840509715</v>
      </c>
      <c r="CS58" s="16"/>
      <c r="CT58" s="15" t="s">
        <v>29</v>
      </c>
      <c r="CU58" s="12">
        <v>11</v>
      </c>
      <c r="CV58" s="14">
        <v>156667</v>
      </c>
      <c r="CW58" s="12">
        <f t="shared" si="167"/>
        <v>-4</v>
      </c>
      <c r="CX58" s="14">
        <f t="shared" si="168"/>
        <v>-16954</v>
      </c>
      <c r="CY58" s="13">
        <f t="shared" si="169"/>
        <v>-9.7649477885739633E-2</v>
      </c>
    </row>
    <row r="59" spans="1:103" ht="18">
      <c r="A59" s="16"/>
      <c r="B59" s="15" t="s">
        <v>30</v>
      </c>
      <c r="C59" s="12">
        <v>0</v>
      </c>
      <c r="D59" s="14">
        <v>0</v>
      </c>
      <c r="F59" s="14"/>
      <c r="G59" s="48"/>
      <c r="I59" s="16"/>
      <c r="J59" s="15" t="s">
        <v>30</v>
      </c>
      <c r="K59" s="12">
        <v>0</v>
      </c>
      <c r="L59" s="14">
        <v>0</v>
      </c>
      <c r="M59" s="12">
        <f t="shared" si="136"/>
        <v>0</v>
      </c>
      <c r="N59" s="14">
        <f t="shared" si="136"/>
        <v>0</v>
      </c>
      <c r="O59" s="13" t="e">
        <f t="shared" si="137"/>
        <v>#DIV/0!</v>
      </c>
      <c r="Q59" s="16"/>
      <c r="R59" s="15" t="s">
        <v>30</v>
      </c>
      <c r="S59" s="12">
        <v>2</v>
      </c>
      <c r="T59" s="14">
        <v>5714</v>
      </c>
      <c r="U59" s="12">
        <f t="shared" si="138"/>
        <v>2</v>
      </c>
      <c r="V59" s="14">
        <f t="shared" si="138"/>
        <v>5714</v>
      </c>
      <c r="W59" s="13" t="e">
        <f t="shared" si="139"/>
        <v>#DIV/0!</v>
      </c>
      <c r="Y59" s="16"/>
      <c r="Z59" s="15" t="s">
        <v>30</v>
      </c>
      <c r="AA59" s="12">
        <v>1</v>
      </c>
      <c r="AB59" s="14">
        <v>2857</v>
      </c>
      <c r="AC59" s="12">
        <f t="shared" si="140"/>
        <v>-1</v>
      </c>
      <c r="AD59" s="14">
        <f t="shared" si="141"/>
        <v>-2857</v>
      </c>
      <c r="AE59" s="13">
        <f t="shared" si="142"/>
        <v>-0.5</v>
      </c>
      <c r="AG59" s="16"/>
      <c r="AH59" s="15" t="s">
        <v>30</v>
      </c>
      <c r="AI59" s="12">
        <v>1</v>
      </c>
      <c r="AJ59" s="14">
        <v>2857</v>
      </c>
      <c r="AK59" s="12">
        <f t="shared" si="143"/>
        <v>0</v>
      </c>
      <c r="AL59" s="14">
        <f t="shared" si="144"/>
        <v>0</v>
      </c>
      <c r="AM59" s="13">
        <f t="shared" si="145"/>
        <v>0</v>
      </c>
      <c r="AO59" s="16"/>
      <c r="AP59" s="15" t="s">
        <v>30</v>
      </c>
      <c r="AQ59" s="12">
        <v>2</v>
      </c>
      <c r="AR59" s="14">
        <v>11714</v>
      </c>
      <c r="AS59" s="12">
        <f t="shared" si="146"/>
        <v>1</v>
      </c>
      <c r="AT59" s="14">
        <f t="shared" si="147"/>
        <v>8857</v>
      </c>
      <c r="AU59" s="13">
        <f t="shared" si="148"/>
        <v>3.1001050052502626</v>
      </c>
      <c r="AW59" s="16"/>
      <c r="AX59" s="15" t="s">
        <v>30</v>
      </c>
      <c r="AY59" s="12">
        <v>2</v>
      </c>
      <c r="AZ59" s="14">
        <v>8562</v>
      </c>
      <c r="BA59" s="12">
        <f t="shared" si="149"/>
        <v>0</v>
      </c>
      <c r="BB59" s="14">
        <f t="shared" si="150"/>
        <v>-3152</v>
      </c>
      <c r="BC59" s="13">
        <f t="shared" si="151"/>
        <v>-0.2690797336520403</v>
      </c>
      <c r="BE59" s="16"/>
      <c r="BF59" s="15" t="s">
        <v>30</v>
      </c>
      <c r="BG59" s="12">
        <v>1</v>
      </c>
      <c r="BH59" s="14">
        <v>2857</v>
      </c>
      <c r="BI59" s="12">
        <f t="shared" si="152"/>
        <v>-1</v>
      </c>
      <c r="BJ59" s="14">
        <f t="shared" si="153"/>
        <v>-5705</v>
      </c>
      <c r="BK59" s="13">
        <f t="shared" si="154"/>
        <v>-0.66631628124270026</v>
      </c>
      <c r="BL59" s="48"/>
      <c r="BM59" s="16"/>
      <c r="BN59" s="15" t="s">
        <v>30</v>
      </c>
      <c r="BO59" s="12">
        <v>0</v>
      </c>
      <c r="BP59" s="14">
        <v>0</v>
      </c>
      <c r="BQ59" s="12">
        <f t="shared" si="155"/>
        <v>-1</v>
      </c>
      <c r="BR59" s="14">
        <f t="shared" si="156"/>
        <v>-2857</v>
      </c>
      <c r="BS59" s="13">
        <f t="shared" si="157"/>
        <v>-1</v>
      </c>
      <c r="BU59" s="16"/>
      <c r="BV59" s="15" t="s">
        <v>30</v>
      </c>
      <c r="BW59" s="12">
        <v>1</v>
      </c>
      <c r="BX59" s="14">
        <v>2857</v>
      </c>
      <c r="BY59" s="12">
        <f t="shared" si="158"/>
        <v>1</v>
      </c>
      <c r="BZ59" s="14">
        <f t="shared" si="159"/>
        <v>2857</v>
      </c>
      <c r="CA59" s="13" t="e">
        <f t="shared" si="160"/>
        <v>#DIV/0!</v>
      </c>
      <c r="CC59" s="16"/>
      <c r="CD59" s="15" t="s">
        <v>30</v>
      </c>
      <c r="CE59" s="32">
        <v>2</v>
      </c>
      <c r="CF59" s="14">
        <v>11714</v>
      </c>
      <c r="CG59" s="12">
        <f t="shared" si="161"/>
        <v>1</v>
      </c>
      <c r="CH59" s="14">
        <f t="shared" si="162"/>
        <v>8857</v>
      </c>
      <c r="CI59" s="13">
        <f t="shared" si="163"/>
        <v>3.1001050052502626</v>
      </c>
      <c r="CK59" s="16"/>
      <c r="CL59" s="15" t="s">
        <v>30</v>
      </c>
      <c r="CM59" s="12">
        <v>4</v>
      </c>
      <c r="CN59" s="14">
        <v>17429</v>
      </c>
      <c r="CO59" s="12">
        <f t="shared" si="164"/>
        <v>2</v>
      </c>
      <c r="CP59" s="14">
        <f t="shared" si="165"/>
        <v>5715</v>
      </c>
      <c r="CQ59" s="13">
        <f t="shared" si="166"/>
        <v>0.48787775311592968</v>
      </c>
      <c r="CS59" s="16"/>
      <c r="CT59" s="15" t="s">
        <v>30</v>
      </c>
      <c r="CU59" s="12">
        <v>2</v>
      </c>
      <c r="CV59" s="14">
        <v>5714</v>
      </c>
      <c r="CW59" s="12">
        <f t="shared" si="167"/>
        <v>-2</v>
      </c>
      <c r="CX59" s="14">
        <f t="shared" si="168"/>
        <v>-11715</v>
      </c>
      <c r="CY59" s="13">
        <f t="shared" si="169"/>
        <v>-0.67215560273108044</v>
      </c>
    </row>
    <row r="60" spans="1:103" ht="16">
      <c r="A60" s="16"/>
      <c r="B60" s="15" t="s">
        <v>31</v>
      </c>
      <c r="C60" s="12">
        <v>10</v>
      </c>
      <c r="D60" s="14">
        <v>30430</v>
      </c>
      <c r="F60" s="14"/>
      <c r="G60" s="48"/>
      <c r="I60" s="16"/>
      <c r="J60" s="15" t="s">
        <v>31</v>
      </c>
      <c r="K60" s="12">
        <v>6</v>
      </c>
      <c r="L60" s="14">
        <v>18970</v>
      </c>
      <c r="M60" s="12">
        <f t="shared" si="136"/>
        <v>-4</v>
      </c>
      <c r="N60" s="14">
        <f t="shared" si="136"/>
        <v>-11460</v>
      </c>
      <c r="O60" s="13">
        <f t="shared" si="137"/>
        <v>-0.37660203746302989</v>
      </c>
      <c r="Q60" s="16"/>
      <c r="R60" s="15" t="s">
        <v>31</v>
      </c>
      <c r="S60" s="12">
        <v>12</v>
      </c>
      <c r="T60" s="14">
        <v>31900</v>
      </c>
      <c r="U60" s="12">
        <f t="shared" si="138"/>
        <v>6</v>
      </c>
      <c r="V60" s="14">
        <f t="shared" si="138"/>
        <v>12930</v>
      </c>
      <c r="W60" s="13">
        <f t="shared" si="139"/>
        <v>0.68160253031101736</v>
      </c>
      <c r="Y60" s="16"/>
      <c r="Z60" s="15" t="s">
        <v>31</v>
      </c>
      <c r="AA60" s="12">
        <v>9</v>
      </c>
      <c r="AB60" s="14">
        <v>46320</v>
      </c>
      <c r="AC60" s="12">
        <f t="shared" si="140"/>
        <v>-3</v>
      </c>
      <c r="AD60" s="14">
        <f t="shared" si="141"/>
        <v>14420</v>
      </c>
      <c r="AE60" s="13">
        <f t="shared" si="142"/>
        <v>0.45203761755485894</v>
      </c>
      <c r="AG60" s="16"/>
      <c r="AH60" s="15" t="s">
        <v>31</v>
      </c>
      <c r="AI60" s="12">
        <v>4</v>
      </c>
      <c r="AJ60" s="14">
        <v>12070</v>
      </c>
      <c r="AK60" s="12">
        <f t="shared" si="143"/>
        <v>-5</v>
      </c>
      <c r="AL60" s="14">
        <f t="shared" si="144"/>
        <v>-34250</v>
      </c>
      <c r="AM60" s="13">
        <f t="shared" si="145"/>
        <v>-0.73942141623488777</v>
      </c>
      <c r="AO60" s="16"/>
      <c r="AP60" s="15" t="s">
        <v>31</v>
      </c>
      <c r="AQ60" s="12">
        <v>15</v>
      </c>
      <c r="AR60" s="14">
        <v>61350</v>
      </c>
      <c r="AS60" s="12">
        <f t="shared" si="146"/>
        <v>11</v>
      </c>
      <c r="AT60" s="14">
        <f t="shared" si="147"/>
        <v>49280</v>
      </c>
      <c r="AU60" s="13">
        <f t="shared" si="148"/>
        <v>4.0828500414250204</v>
      </c>
      <c r="AW60" s="16"/>
      <c r="AX60" s="15" t="s">
        <v>31</v>
      </c>
      <c r="AY60" s="12">
        <v>15</v>
      </c>
      <c r="AZ60" s="14">
        <v>39080</v>
      </c>
      <c r="BA60" s="12">
        <f t="shared" si="149"/>
        <v>0</v>
      </c>
      <c r="BB60" s="14">
        <f t="shared" si="150"/>
        <v>-22270</v>
      </c>
      <c r="BC60" s="13">
        <f t="shared" si="151"/>
        <v>-0.36299918500407496</v>
      </c>
      <c r="BE60" s="16"/>
      <c r="BF60" s="15" t="s">
        <v>31</v>
      </c>
      <c r="BG60" s="12">
        <v>7</v>
      </c>
      <c r="BH60" s="14">
        <v>18250</v>
      </c>
      <c r="BI60" s="12">
        <f t="shared" si="152"/>
        <v>-8</v>
      </c>
      <c r="BJ60" s="14">
        <f t="shared" si="153"/>
        <v>-20830</v>
      </c>
      <c r="BK60" s="13">
        <f t="shared" si="154"/>
        <v>-0.53300921187308081</v>
      </c>
      <c r="BL60" s="48"/>
      <c r="BM60" s="16"/>
      <c r="BN60" s="15" t="s">
        <v>31</v>
      </c>
      <c r="BO60" s="12">
        <v>7</v>
      </c>
      <c r="BP60" s="14">
        <v>27440</v>
      </c>
      <c r="BQ60" s="12">
        <f t="shared" si="155"/>
        <v>0</v>
      </c>
      <c r="BR60" s="14">
        <f t="shared" si="156"/>
        <v>9190</v>
      </c>
      <c r="BS60" s="13">
        <f t="shared" si="157"/>
        <v>0.50356164383561641</v>
      </c>
      <c r="BU60" s="16"/>
      <c r="BV60" s="15" t="s">
        <v>31</v>
      </c>
      <c r="BW60" s="12">
        <v>7</v>
      </c>
      <c r="BX60" s="14">
        <v>25850</v>
      </c>
      <c r="BY60" s="12">
        <f t="shared" si="158"/>
        <v>0</v>
      </c>
      <c r="BZ60" s="14">
        <f t="shared" si="159"/>
        <v>-1590</v>
      </c>
      <c r="CA60" s="13">
        <f t="shared" si="160"/>
        <v>-5.7944606413994168E-2</v>
      </c>
      <c r="CC60" s="16"/>
      <c r="CD60" s="15" t="s">
        <v>31</v>
      </c>
      <c r="CE60" s="12">
        <v>5</v>
      </c>
      <c r="CF60" s="14">
        <v>10460</v>
      </c>
      <c r="CG60" s="12">
        <f t="shared" si="161"/>
        <v>-2</v>
      </c>
      <c r="CH60" s="14">
        <f t="shared" si="162"/>
        <v>-15390</v>
      </c>
      <c r="CI60" s="13">
        <f t="shared" si="163"/>
        <v>-0.59535783365570605</v>
      </c>
      <c r="CK60" s="16"/>
      <c r="CL60" s="15" t="s">
        <v>31</v>
      </c>
      <c r="CM60" s="12">
        <v>3</v>
      </c>
      <c r="CN60" s="14">
        <v>5970</v>
      </c>
      <c r="CO60" s="12">
        <f t="shared" si="164"/>
        <v>-2</v>
      </c>
      <c r="CP60" s="14">
        <f t="shared" si="165"/>
        <v>-4490</v>
      </c>
      <c r="CQ60" s="13">
        <f t="shared" si="166"/>
        <v>-0.4292543021032505</v>
      </c>
      <c r="CS60" s="16"/>
      <c r="CT60" s="15" t="s">
        <v>31</v>
      </c>
      <c r="CU60" s="12">
        <v>4</v>
      </c>
      <c r="CV60" s="14">
        <v>13260</v>
      </c>
      <c r="CW60" s="12">
        <f t="shared" si="167"/>
        <v>1</v>
      </c>
      <c r="CX60" s="14">
        <f t="shared" si="168"/>
        <v>7290</v>
      </c>
      <c r="CY60" s="13">
        <f t="shared" si="169"/>
        <v>1.221105527638191</v>
      </c>
    </row>
    <row r="61" spans="1:103" ht="18">
      <c r="A61" s="16"/>
      <c r="B61" s="15" t="s">
        <v>32</v>
      </c>
      <c r="C61" s="12">
        <v>1</v>
      </c>
      <c r="D61" s="14">
        <v>34190</v>
      </c>
      <c r="F61" s="14"/>
      <c r="G61" s="48"/>
      <c r="I61" s="16"/>
      <c r="J61" s="15" t="s">
        <v>32</v>
      </c>
      <c r="K61" s="12">
        <v>1</v>
      </c>
      <c r="L61" s="14">
        <v>18000</v>
      </c>
      <c r="M61" s="12">
        <f t="shared" si="136"/>
        <v>0</v>
      </c>
      <c r="N61" s="14">
        <f t="shared" si="136"/>
        <v>-16190</v>
      </c>
      <c r="O61" s="13">
        <f t="shared" si="137"/>
        <v>-0.47353027200935949</v>
      </c>
      <c r="Q61" s="16"/>
      <c r="R61" s="15" t="s">
        <v>32</v>
      </c>
      <c r="S61" s="12">
        <v>3</v>
      </c>
      <c r="T61" s="14">
        <v>132962</v>
      </c>
      <c r="U61" s="12">
        <f t="shared" si="138"/>
        <v>2</v>
      </c>
      <c r="V61" s="14">
        <f t="shared" si="138"/>
        <v>114962</v>
      </c>
      <c r="W61" s="13">
        <f t="shared" si="139"/>
        <v>6.3867777777777777</v>
      </c>
      <c r="Y61" s="16"/>
      <c r="Z61" s="15" t="s">
        <v>32</v>
      </c>
      <c r="AA61" s="12">
        <v>4</v>
      </c>
      <c r="AB61" s="14">
        <v>218776</v>
      </c>
      <c r="AC61" s="12">
        <f t="shared" si="140"/>
        <v>1</v>
      </c>
      <c r="AD61" s="14">
        <f t="shared" si="141"/>
        <v>85814</v>
      </c>
      <c r="AE61" s="13">
        <f t="shared" si="142"/>
        <v>0.64540244581158523</v>
      </c>
      <c r="AG61" s="16"/>
      <c r="AH61" s="15" t="s">
        <v>32</v>
      </c>
      <c r="AI61" s="12">
        <v>2</v>
      </c>
      <c r="AJ61" s="14">
        <v>73338</v>
      </c>
      <c r="AK61" s="12">
        <f t="shared" si="143"/>
        <v>-2</v>
      </c>
      <c r="AL61" s="14">
        <f t="shared" si="144"/>
        <v>-145438</v>
      </c>
      <c r="AM61" s="13">
        <f t="shared" si="145"/>
        <v>-0.66478041467071347</v>
      </c>
      <c r="AO61" s="16"/>
      <c r="AP61" s="15" t="s">
        <v>32</v>
      </c>
      <c r="AQ61" s="12">
        <v>5</v>
      </c>
      <c r="AR61" s="14">
        <v>216152</v>
      </c>
      <c r="AS61" s="12">
        <f t="shared" si="146"/>
        <v>3</v>
      </c>
      <c r="AT61" s="14">
        <f t="shared" si="147"/>
        <v>142814</v>
      </c>
      <c r="AU61" s="13">
        <f t="shared" si="148"/>
        <v>1.9473397147454252</v>
      </c>
      <c r="AW61" s="16"/>
      <c r="AX61" s="15" t="s">
        <v>32</v>
      </c>
      <c r="AY61" s="12">
        <v>7</v>
      </c>
      <c r="AZ61" s="14">
        <v>226957</v>
      </c>
      <c r="BA61" s="12">
        <f t="shared" si="149"/>
        <v>2</v>
      </c>
      <c r="BB61" s="14">
        <f t="shared" si="150"/>
        <v>10805</v>
      </c>
      <c r="BC61" s="13">
        <f t="shared" si="151"/>
        <v>4.9987971427513975E-2</v>
      </c>
      <c r="BE61" s="16"/>
      <c r="BF61" s="15" t="s">
        <v>32</v>
      </c>
      <c r="BG61" s="12">
        <v>4</v>
      </c>
      <c r="BH61" s="14">
        <v>140571</v>
      </c>
      <c r="BI61" s="12">
        <f t="shared" si="152"/>
        <v>-3</v>
      </c>
      <c r="BJ61" s="14">
        <f t="shared" si="153"/>
        <v>-86386</v>
      </c>
      <c r="BK61" s="13">
        <f t="shared" si="154"/>
        <v>-0.38062716726075863</v>
      </c>
      <c r="BL61" s="48"/>
      <c r="BM61" s="16"/>
      <c r="BN61" s="15" t="s">
        <v>32</v>
      </c>
      <c r="BO61" s="32">
        <v>8</v>
      </c>
      <c r="BP61" s="14">
        <v>293581</v>
      </c>
      <c r="BQ61" s="12">
        <f t="shared" si="155"/>
        <v>4</v>
      </c>
      <c r="BR61" s="14">
        <f t="shared" si="156"/>
        <v>153010</v>
      </c>
      <c r="BS61" s="13">
        <f t="shared" si="157"/>
        <v>1.0884890909220251</v>
      </c>
      <c r="BU61" s="16"/>
      <c r="BV61" s="15" t="s">
        <v>32</v>
      </c>
      <c r="BW61" s="12">
        <v>2</v>
      </c>
      <c r="BX61" s="14">
        <v>62667</v>
      </c>
      <c r="BY61" s="12">
        <f t="shared" si="158"/>
        <v>-6</v>
      </c>
      <c r="BZ61" s="14">
        <f t="shared" si="159"/>
        <v>-230914</v>
      </c>
      <c r="CA61" s="13">
        <f t="shared" si="160"/>
        <v>-0.78654272585759977</v>
      </c>
      <c r="CC61" s="16"/>
      <c r="CD61" s="15" t="s">
        <v>32</v>
      </c>
      <c r="CE61" s="12">
        <v>3</v>
      </c>
      <c r="CF61" s="14">
        <v>114657</v>
      </c>
      <c r="CG61" s="12">
        <f t="shared" si="161"/>
        <v>1</v>
      </c>
      <c r="CH61" s="14">
        <f t="shared" si="162"/>
        <v>51990</v>
      </c>
      <c r="CI61" s="13">
        <f t="shared" si="163"/>
        <v>0.8296232466848581</v>
      </c>
      <c r="CK61" s="16"/>
      <c r="CL61" s="15" t="s">
        <v>32</v>
      </c>
      <c r="CM61" s="12">
        <v>1</v>
      </c>
      <c r="CN61" s="14">
        <v>31333</v>
      </c>
      <c r="CO61" s="12">
        <f t="shared" si="164"/>
        <v>-2</v>
      </c>
      <c r="CP61" s="14">
        <f t="shared" si="165"/>
        <v>-83324</v>
      </c>
      <c r="CQ61" s="13">
        <f t="shared" si="166"/>
        <v>-0.72672405522558592</v>
      </c>
      <c r="CS61" s="16"/>
      <c r="CT61" s="15" t="s">
        <v>32</v>
      </c>
      <c r="CU61" s="12">
        <v>1</v>
      </c>
      <c r="CV61" s="14">
        <v>35195</v>
      </c>
      <c r="CW61" s="12">
        <f t="shared" si="167"/>
        <v>0</v>
      </c>
      <c r="CX61" s="14">
        <f t="shared" si="168"/>
        <v>3862</v>
      </c>
      <c r="CY61" s="13">
        <f t="shared" si="169"/>
        <v>0.123256630389685</v>
      </c>
    </row>
    <row r="62" spans="1:103" ht="16">
      <c r="A62" s="16"/>
      <c r="B62" s="15" t="s">
        <v>33</v>
      </c>
      <c r="C62" s="12">
        <v>16</v>
      </c>
      <c r="D62" s="14">
        <v>285486</v>
      </c>
      <c r="F62" s="14"/>
      <c r="G62" s="48"/>
      <c r="I62" s="16"/>
      <c r="J62" s="15" t="s">
        <v>33</v>
      </c>
      <c r="K62" s="12">
        <v>13</v>
      </c>
      <c r="L62" s="14">
        <v>249533</v>
      </c>
      <c r="M62" s="12">
        <f t="shared" si="136"/>
        <v>-3</v>
      </c>
      <c r="N62" s="14">
        <f t="shared" si="136"/>
        <v>-35953</v>
      </c>
      <c r="O62" s="13">
        <f t="shared" si="137"/>
        <v>-0.12593612296224682</v>
      </c>
      <c r="Q62" s="16"/>
      <c r="R62" s="15" t="s">
        <v>33</v>
      </c>
      <c r="S62" s="12">
        <v>13</v>
      </c>
      <c r="T62" s="14">
        <v>219238</v>
      </c>
      <c r="U62" s="12">
        <f t="shared" si="138"/>
        <v>0</v>
      </c>
      <c r="V62" s="14">
        <f t="shared" si="138"/>
        <v>-30295</v>
      </c>
      <c r="W62" s="13">
        <f t="shared" si="139"/>
        <v>-0.12140678787975939</v>
      </c>
      <c r="Y62" s="16"/>
      <c r="Z62" s="15" t="s">
        <v>33</v>
      </c>
      <c r="AA62" s="12">
        <v>11</v>
      </c>
      <c r="AB62" s="14">
        <v>205810</v>
      </c>
      <c r="AC62" s="12">
        <f t="shared" si="140"/>
        <v>-2</v>
      </c>
      <c r="AD62" s="14">
        <f t="shared" si="141"/>
        <v>-13428</v>
      </c>
      <c r="AE62" s="13">
        <f t="shared" si="142"/>
        <v>-6.1248506189620411E-2</v>
      </c>
      <c r="AG62" s="16"/>
      <c r="AH62" s="15" t="s">
        <v>33</v>
      </c>
      <c r="AI62" s="12">
        <v>12</v>
      </c>
      <c r="AJ62" s="14">
        <v>208095</v>
      </c>
      <c r="AK62" s="12">
        <f t="shared" si="143"/>
        <v>1</v>
      </c>
      <c r="AL62" s="14">
        <f t="shared" si="144"/>
        <v>2285</v>
      </c>
      <c r="AM62" s="13">
        <f t="shared" si="145"/>
        <v>1.1102473154851562E-2</v>
      </c>
      <c r="AO62" s="16"/>
      <c r="AP62" s="15" t="s">
        <v>33</v>
      </c>
      <c r="AQ62" s="12">
        <v>27</v>
      </c>
      <c r="AR62" s="14">
        <v>459957</v>
      </c>
      <c r="AS62" s="12">
        <f t="shared" si="146"/>
        <v>15</v>
      </c>
      <c r="AT62" s="14">
        <f t="shared" si="147"/>
        <v>251862</v>
      </c>
      <c r="AU62" s="13">
        <f t="shared" si="148"/>
        <v>1.2103222086066461</v>
      </c>
      <c r="AW62" s="16"/>
      <c r="AX62" s="15" t="s">
        <v>33</v>
      </c>
      <c r="AY62" s="12">
        <v>32</v>
      </c>
      <c r="AZ62" s="14">
        <v>644314</v>
      </c>
      <c r="BA62" s="12">
        <f t="shared" si="149"/>
        <v>5</v>
      </c>
      <c r="BB62" s="14">
        <f t="shared" si="150"/>
        <v>184357</v>
      </c>
      <c r="BC62" s="13">
        <f t="shared" si="151"/>
        <v>0.40081355431051163</v>
      </c>
      <c r="BE62" s="16"/>
      <c r="BF62" s="15" t="s">
        <v>33</v>
      </c>
      <c r="BG62" s="12">
        <v>13</v>
      </c>
      <c r="BH62" s="14">
        <v>207048</v>
      </c>
      <c r="BI62" s="12">
        <f t="shared" si="152"/>
        <v>-19</v>
      </c>
      <c r="BJ62" s="14">
        <f t="shared" si="153"/>
        <v>-437266</v>
      </c>
      <c r="BK62" s="13">
        <f t="shared" si="154"/>
        <v>-0.6786535757410207</v>
      </c>
      <c r="BL62" s="48"/>
      <c r="BM62" s="16"/>
      <c r="BN62" s="15" t="s">
        <v>33</v>
      </c>
      <c r="BO62" s="12">
        <v>13</v>
      </c>
      <c r="BP62" s="14">
        <v>251905</v>
      </c>
      <c r="BQ62" s="12">
        <f t="shared" si="155"/>
        <v>0</v>
      </c>
      <c r="BR62" s="14">
        <f t="shared" si="156"/>
        <v>44857</v>
      </c>
      <c r="BS62" s="13">
        <f t="shared" si="157"/>
        <v>0.21665024535373439</v>
      </c>
      <c r="BU62" s="16"/>
      <c r="BV62" s="15" t="s">
        <v>33</v>
      </c>
      <c r="BW62" s="12">
        <v>5</v>
      </c>
      <c r="BX62" s="14">
        <v>95714</v>
      </c>
      <c r="BY62" s="12">
        <f t="shared" si="158"/>
        <v>-8</v>
      </c>
      <c r="BZ62" s="14">
        <f t="shared" si="159"/>
        <v>-156191</v>
      </c>
      <c r="CA62" s="13">
        <f t="shared" si="160"/>
        <v>-0.6200393005299617</v>
      </c>
      <c r="CC62" s="16"/>
      <c r="CD62" s="15" t="s">
        <v>33</v>
      </c>
      <c r="CE62" s="12">
        <v>10</v>
      </c>
      <c r="CF62" s="14">
        <v>128571</v>
      </c>
      <c r="CG62" s="12">
        <f t="shared" si="161"/>
        <v>5</v>
      </c>
      <c r="CH62" s="14">
        <f t="shared" si="162"/>
        <v>32857</v>
      </c>
      <c r="CI62" s="13">
        <f t="shared" si="163"/>
        <v>0.34328311427795305</v>
      </c>
      <c r="CK62" s="16"/>
      <c r="CL62" s="15" t="s">
        <v>33</v>
      </c>
      <c r="CM62" s="12">
        <v>8</v>
      </c>
      <c r="CN62" s="14">
        <v>155905</v>
      </c>
      <c r="CO62" s="12">
        <f t="shared" si="164"/>
        <v>-2</v>
      </c>
      <c r="CP62" s="14">
        <f t="shared" si="165"/>
        <v>27334</v>
      </c>
      <c r="CQ62" s="13">
        <f t="shared" si="166"/>
        <v>0.21259848643939924</v>
      </c>
      <c r="CS62" s="16"/>
      <c r="CT62" s="15" t="s">
        <v>33</v>
      </c>
      <c r="CU62" s="12">
        <v>2</v>
      </c>
      <c r="CV62" s="14">
        <v>28381</v>
      </c>
      <c r="CW62" s="12">
        <f t="shared" si="167"/>
        <v>-6</v>
      </c>
      <c r="CX62" s="14">
        <f t="shared" si="168"/>
        <v>-127524</v>
      </c>
      <c r="CY62" s="13">
        <f t="shared" si="169"/>
        <v>-0.81795965491805911</v>
      </c>
    </row>
    <row r="63" spans="1:103" ht="16">
      <c r="A63" s="16"/>
      <c r="B63" s="15" t="s">
        <v>34</v>
      </c>
      <c r="C63" s="12">
        <v>35</v>
      </c>
      <c r="D63" s="14">
        <v>1257767</v>
      </c>
      <c r="F63" s="14"/>
      <c r="G63" s="48"/>
      <c r="I63" s="16"/>
      <c r="J63" s="15" t="s">
        <v>34</v>
      </c>
      <c r="K63" s="12">
        <v>27</v>
      </c>
      <c r="L63" s="14">
        <v>934095</v>
      </c>
      <c r="M63" s="12">
        <f t="shared" si="136"/>
        <v>-8</v>
      </c>
      <c r="N63" s="14">
        <f t="shared" si="136"/>
        <v>-323672</v>
      </c>
      <c r="O63" s="13">
        <f t="shared" si="137"/>
        <v>-0.25733860086963645</v>
      </c>
      <c r="Q63" s="16"/>
      <c r="R63" s="15" t="s">
        <v>34</v>
      </c>
      <c r="S63" s="12">
        <v>24</v>
      </c>
      <c r="T63" s="14">
        <v>867238</v>
      </c>
      <c r="U63" s="12">
        <f t="shared" si="138"/>
        <v>-3</v>
      </c>
      <c r="V63" s="14">
        <f t="shared" si="138"/>
        <v>-66857</v>
      </c>
      <c r="W63" s="13">
        <f t="shared" si="139"/>
        <v>-7.1574090429774279E-2</v>
      </c>
      <c r="Y63" s="16"/>
      <c r="Z63" s="15" t="s">
        <v>34</v>
      </c>
      <c r="AA63" s="12">
        <v>33</v>
      </c>
      <c r="AB63" s="14">
        <v>1168286</v>
      </c>
      <c r="AC63" s="12">
        <f t="shared" si="140"/>
        <v>9</v>
      </c>
      <c r="AD63" s="14">
        <f t="shared" si="141"/>
        <v>301048</v>
      </c>
      <c r="AE63" s="13">
        <f t="shared" si="142"/>
        <v>0.34713423535407811</v>
      </c>
      <c r="AG63" s="16"/>
      <c r="AH63" s="15" t="s">
        <v>34</v>
      </c>
      <c r="AI63" s="12">
        <v>35</v>
      </c>
      <c r="AJ63" s="14">
        <v>1279417</v>
      </c>
      <c r="AK63" s="12">
        <f t="shared" si="143"/>
        <v>2</v>
      </c>
      <c r="AL63" s="14">
        <f t="shared" si="144"/>
        <v>111131</v>
      </c>
      <c r="AM63" s="13">
        <f t="shared" si="145"/>
        <v>9.5123111977717778E-2</v>
      </c>
      <c r="AO63" s="16"/>
      <c r="AP63" s="15" t="s">
        <v>34</v>
      </c>
      <c r="AQ63" s="12">
        <v>51</v>
      </c>
      <c r="AR63" s="14">
        <v>1692215</v>
      </c>
      <c r="AS63" s="12">
        <f t="shared" si="146"/>
        <v>16</v>
      </c>
      <c r="AT63" s="14">
        <f t="shared" si="147"/>
        <v>412798</v>
      </c>
      <c r="AU63" s="13">
        <f t="shared" si="148"/>
        <v>0.32264539239356677</v>
      </c>
      <c r="AW63" s="16"/>
      <c r="AX63" s="15" t="s">
        <v>34</v>
      </c>
      <c r="AY63" s="12">
        <v>57</v>
      </c>
      <c r="AZ63" s="14">
        <v>1902135</v>
      </c>
      <c r="BA63" s="12">
        <f t="shared" si="149"/>
        <v>6</v>
      </c>
      <c r="BB63" s="14">
        <f t="shared" si="150"/>
        <v>209920</v>
      </c>
      <c r="BC63" s="13">
        <f t="shared" si="151"/>
        <v>0.12405043094405853</v>
      </c>
      <c r="BE63" s="16"/>
      <c r="BF63" s="15" t="s">
        <v>34</v>
      </c>
      <c r="BG63" s="12">
        <v>20</v>
      </c>
      <c r="BH63" s="14">
        <v>666347</v>
      </c>
      <c r="BI63" s="12">
        <f t="shared" si="152"/>
        <v>-37</v>
      </c>
      <c r="BJ63" s="14">
        <f t="shared" si="153"/>
        <v>-1235788</v>
      </c>
      <c r="BK63" s="13">
        <f t="shared" si="154"/>
        <v>-0.64968469640693216</v>
      </c>
      <c r="BL63" s="48"/>
      <c r="BM63" s="16"/>
      <c r="BN63" s="15" t="s">
        <v>34</v>
      </c>
      <c r="BO63" s="12">
        <v>27</v>
      </c>
      <c r="BP63" s="14">
        <v>890549</v>
      </c>
      <c r="BQ63" s="12">
        <f t="shared" si="155"/>
        <v>7</v>
      </c>
      <c r="BR63" s="14">
        <f t="shared" si="156"/>
        <v>224202</v>
      </c>
      <c r="BS63" s="13">
        <f t="shared" si="157"/>
        <v>0.33646433464846393</v>
      </c>
      <c r="BU63" s="16"/>
      <c r="BV63" s="15" t="s">
        <v>34</v>
      </c>
      <c r="BW63" s="12">
        <v>15</v>
      </c>
      <c r="BX63" s="14">
        <v>507027</v>
      </c>
      <c r="BY63" s="12">
        <f t="shared" si="158"/>
        <v>-12</v>
      </c>
      <c r="BZ63" s="14">
        <f t="shared" si="159"/>
        <v>-383522</v>
      </c>
      <c r="CA63" s="13">
        <f t="shared" si="160"/>
        <v>-0.43065794246021277</v>
      </c>
      <c r="CC63" s="16"/>
      <c r="CD63" s="15" t="s">
        <v>34</v>
      </c>
      <c r="CE63" s="12">
        <v>18</v>
      </c>
      <c r="CF63" s="14">
        <v>578754</v>
      </c>
      <c r="CG63" s="12">
        <f t="shared" si="161"/>
        <v>3</v>
      </c>
      <c r="CH63" s="14">
        <f t="shared" si="162"/>
        <v>71727</v>
      </c>
      <c r="CI63" s="13">
        <f t="shared" si="163"/>
        <v>0.14146583909732618</v>
      </c>
      <c r="CK63" s="16"/>
      <c r="CL63" s="15" t="s">
        <v>34</v>
      </c>
      <c r="CM63" s="12">
        <v>20</v>
      </c>
      <c r="CN63" s="14">
        <v>705417</v>
      </c>
      <c r="CO63" s="12">
        <f t="shared" si="164"/>
        <v>2</v>
      </c>
      <c r="CP63" s="14">
        <f t="shared" si="165"/>
        <v>126663</v>
      </c>
      <c r="CQ63" s="13">
        <f t="shared" si="166"/>
        <v>0.21885464290527581</v>
      </c>
      <c r="CS63" s="16"/>
      <c r="CT63" s="15" t="s">
        <v>34</v>
      </c>
      <c r="CU63" s="12">
        <v>6</v>
      </c>
      <c r="CV63" s="14">
        <v>224762</v>
      </c>
      <c r="CW63" s="12">
        <f t="shared" si="167"/>
        <v>-14</v>
      </c>
      <c r="CX63" s="14">
        <f t="shared" si="168"/>
        <v>-480655</v>
      </c>
      <c r="CY63" s="13">
        <f t="shared" si="169"/>
        <v>-0.68137711452942018</v>
      </c>
    </row>
    <row r="64" spans="1:103" ht="16">
      <c r="A64" s="11" t="s">
        <v>38</v>
      </c>
      <c r="B64" s="11"/>
      <c r="C64" s="10">
        <v>402</v>
      </c>
      <c r="D64" s="9">
        <v>2059578</v>
      </c>
      <c r="E64" s="27"/>
      <c r="F64" s="28"/>
      <c r="G64" s="49"/>
      <c r="I64" s="11" t="s">
        <v>38</v>
      </c>
      <c r="J64" s="11"/>
      <c r="K64" s="10">
        <v>344</v>
      </c>
      <c r="L64" s="9">
        <v>1841768</v>
      </c>
      <c r="M64" s="10">
        <f t="shared" si="136"/>
        <v>-58</v>
      </c>
      <c r="N64" s="9">
        <f t="shared" si="136"/>
        <v>-217810</v>
      </c>
      <c r="O64" s="8">
        <f t="shared" si="137"/>
        <v>-0.10575467401574497</v>
      </c>
      <c r="Q64" s="11" t="s">
        <v>38</v>
      </c>
      <c r="R64" s="11"/>
      <c r="S64" s="10">
        <v>354</v>
      </c>
      <c r="T64" s="9">
        <v>1837455</v>
      </c>
      <c r="U64" s="10">
        <f t="shared" si="138"/>
        <v>10</v>
      </c>
      <c r="V64" s="9">
        <f t="shared" si="138"/>
        <v>-4313</v>
      </c>
      <c r="W64" s="8">
        <f t="shared" si="139"/>
        <v>-2.3417716020693161E-3</v>
      </c>
      <c r="Y64" s="11" t="s">
        <v>38</v>
      </c>
      <c r="Z64" s="11"/>
      <c r="AA64" s="10">
        <v>399</v>
      </c>
      <c r="AB64" s="9">
        <v>2264947</v>
      </c>
      <c r="AC64" s="10">
        <f t="shared" si="140"/>
        <v>45</v>
      </c>
      <c r="AD64" s="9">
        <f t="shared" si="141"/>
        <v>427492</v>
      </c>
      <c r="AE64" s="8">
        <f t="shared" si="142"/>
        <v>0.23265440514189464</v>
      </c>
      <c r="AG64" s="11" t="s">
        <v>38</v>
      </c>
      <c r="AH64" s="11"/>
      <c r="AI64" s="10">
        <v>356</v>
      </c>
      <c r="AJ64" s="9">
        <v>2120866</v>
      </c>
      <c r="AK64" s="10">
        <f t="shared" si="143"/>
        <v>-43</v>
      </c>
      <c r="AL64" s="9">
        <f t="shared" si="144"/>
        <v>-144081</v>
      </c>
      <c r="AM64" s="8">
        <f t="shared" si="145"/>
        <v>-6.3613409055487832E-2</v>
      </c>
      <c r="AO64" s="11" t="s">
        <v>38</v>
      </c>
      <c r="AP64" s="11"/>
      <c r="AQ64" s="10">
        <v>605</v>
      </c>
      <c r="AR64" s="9">
        <v>3461614</v>
      </c>
      <c r="AS64" s="10">
        <f t="shared" si="146"/>
        <v>249</v>
      </c>
      <c r="AT64" s="9">
        <f t="shared" si="147"/>
        <v>1340748</v>
      </c>
      <c r="AU64" s="8">
        <f t="shared" si="148"/>
        <v>0.63217006637854534</v>
      </c>
      <c r="AW64" s="11" t="s">
        <v>38</v>
      </c>
      <c r="AX64" s="11"/>
      <c r="AY64" s="10">
        <v>696</v>
      </c>
      <c r="AZ64" s="9">
        <v>4040751</v>
      </c>
      <c r="BA64" s="10">
        <f t="shared" si="149"/>
        <v>91</v>
      </c>
      <c r="BB64" s="9">
        <f t="shared" si="150"/>
        <v>579137</v>
      </c>
      <c r="BC64" s="8">
        <f t="shared" si="151"/>
        <v>0.16730259353007007</v>
      </c>
      <c r="BE64" s="11" t="s">
        <v>38</v>
      </c>
      <c r="BF64" s="11"/>
      <c r="BG64" s="10">
        <v>341</v>
      </c>
      <c r="BH64" s="9">
        <v>1624838</v>
      </c>
      <c r="BI64" s="10">
        <f t="shared" si="152"/>
        <v>-355</v>
      </c>
      <c r="BJ64" s="9">
        <f t="shared" si="153"/>
        <v>-2415913</v>
      </c>
      <c r="BK64" s="8">
        <f t="shared" si="154"/>
        <v>-0.59788712543782085</v>
      </c>
      <c r="BL64" s="50"/>
      <c r="BM64" s="11" t="s">
        <v>38</v>
      </c>
      <c r="BN64" s="11"/>
      <c r="BO64" s="10">
        <v>380</v>
      </c>
      <c r="BP64" s="9">
        <v>2080383</v>
      </c>
      <c r="BQ64" s="10">
        <f t="shared" si="155"/>
        <v>39</v>
      </c>
      <c r="BR64" s="9">
        <f t="shared" si="156"/>
        <v>455545</v>
      </c>
      <c r="BS64" s="8">
        <f t="shared" si="157"/>
        <v>0.28036333468321151</v>
      </c>
      <c r="BU64" s="11" t="s">
        <v>38</v>
      </c>
      <c r="BV64" s="11"/>
      <c r="BW64" s="10">
        <v>262</v>
      </c>
      <c r="BX64" s="9">
        <v>1241195</v>
      </c>
      <c r="BY64" s="10">
        <f t="shared" si="158"/>
        <v>-118</v>
      </c>
      <c r="BZ64" s="9">
        <f t="shared" si="159"/>
        <v>-839188</v>
      </c>
      <c r="CA64" s="8">
        <f t="shared" si="160"/>
        <v>-0.40338149273475127</v>
      </c>
      <c r="CC64" s="11" t="s">
        <v>38</v>
      </c>
      <c r="CD64" s="11"/>
      <c r="CE64" s="10">
        <v>275</v>
      </c>
      <c r="CF64" s="9">
        <v>1285793</v>
      </c>
      <c r="CG64" s="10">
        <f t="shared" si="161"/>
        <v>13</v>
      </c>
      <c r="CH64" s="9">
        <f t="shared" si="162"/>
        <v>44598</v>
      </c>
      <c r="CI64" s="8">
        <f t="shared" si="163"/>
        <v>3.5931501496541639E-2</v>
      </c>
      <c r="CK64" s="11" t="s">
        <v>38</v>
      </c>
      <c r="CL64" s="11"/>
      <c r="CM64" s="10">
        <v>261</v>
      </c>
      <c r="CN64" s="9">
        <v>1365837</v>
      </c>
      <c r="CO64" s="10">
        <f t="shared" si="164"/>
        <v>-14</v>
      </c>
      <c r="CP64" s="9">
        <f t="shared" si="165"/>
        <v>80044</v>
      </c>
      <c r="CQ64" s="8">
        <f t="shared" si="166"/>
        <v>6.2252633199900764E-2</v>
      </c>
      <c r="CS64" s="11" t="s">
        <v>38</v>
      </c>
      <c r="CT64" s="11"/>
      <c r="CU64" s="10">
        <v>190</v>
      </c>
      <c r="CV64" s="9">
        <v>658000</v>
      </c>
      <c r="CW64" s="10">
        <f t="shared" si="167"/>
        <v>-71</v>
      </c>
      <c r="CX64" s="9">
        <f t="shared" si="168"/>
        <v>-707837</v>
      </c>
      <c r="CY64" s="8">
        <f t="shared" si="169"/>
        <v>-0.51824412429887312</v>
      </c>
    </row>
    <row r="65" spans="1:103" ht="16">
      <c r="A65" s="5" t="s">
        <v>39</v>
      </c>
      <c r="B65" s="5"/>
      <c r="C65" s="4">
        <v>2937</v>
      </c>
      <c r="D65" s="3">
        <v>19730580</v>
      </c>
      <c r="E65" s="7"/>
      <c r="F65" s="6"/>
      <c r="G65" s="52"/>
      <c r="I65" s="5" t="s">
        <v>39</v>
      </c>
      <c r="J65" s="5"/>
      <c r="K65" s="4">
        <v>2947</v>
      </c>
      <c r="L65" s="3">
        <v>20767830</v>
      </c>
      <c r="M65" s="4">
        <f t="shared" si="136"/>
        <v>10</v>
      </c>
      <c r="N65" s="3">
        <f t="shared" si="136"/>
        <v>1037250</v>
      </c>
      <c r="O65" s="2">
        <f t="shared" si="137"/>
        <v>5.2570679625231494E-2</v>
      </c>
      <c r="Q65" s="5" t="s">
        <v>39</v>
      </c>
      <c r="R65" s="5"/>
      <c r="S65" s="4">
        <v>3258</v>
      </c>
      <c r="T65" s="3">
        <v>25922158</v>
      </c>
      <c r="U65" s="4">
        <f t="shared" si="138"/>
        <v>311</v>
      </c>
      <c r="V65" s="3">
        <f t="shared" si="138"/>
        <v>5154328</v>
      </c>
      <c r="W65" s="2">
        <f t="shared" si="139"/>
        <v>0.24818808705579737</v>
      </c>
      <c r="Y65" s="5" t="s">
        <v>39</v>
      </c>
      <c r="Z65" s="5"/>
      <c r="AA65" s="4">
        <v>3227</v>
      </c>
      <c r="AB65" s="3">
        <v>23856738</v>
      </c>
      <c r="AC65" s="4">
        <f t="shared" si="140"/>
        <v>-31</v>
      </c>
      <c r="AD65" s="3">
        <f t="shared" si="141"/>
        <v>-2065420</v>
      </c>
      <c r="AE65" s="2">
        <f t="shared" si="142"/>
        <v>-7.9677779913230995E-2</v>
      </c>
      <c r="AG65" s="5" t="s">
        <v>39</v>
      </c>
      <c r="AH65" s="5"/>
      <c r="AI65" s="4">
        <v>3234</v>
      </c>
      <c r="AJ65" s="3">
        <v>23503587</v>
      </c>
      <c r="AK65" s="4">
        <f t="shared" si="143"/>
        <v>7</v>
      </c>
      <c r="AL65" s="3">
        <f t="shared" si="144"/>
        <v>-353151</v>
      </c>
      <c r="AM65" s="2">
        <f t="shared" si="145"/>
        <v>-1.4802987734534369E-2</v>
      </c>
      <c r="AO65" s="5" t="s">
        <v>39</v>
      </c>
      <c r="AP65" s="5"/>
      <c r="AQ65" s="4">
        <v>4838</v>
      </c>
      <c r="AR65" s="3">
        <v>35129984</v>
      </c>
      <c r="AS65" s="4">
        <f t="shared" si="146"/>
        <v>1604</v>
      </c>
      <c r="AT65" s="3">
        <f t="shared" si="147"/>
        <v>11626397</v>
      </c>
      <c r="AU65" s="2">
        <f t="shared" si="148"/>
        <v>0.49466479308030725</v>
      </c>
      <c r="AW65" s="5" t="s">
        <v>39</v>
      </c>
      <c r="AX65" s="5"/>
      <c r="AY65" s="4">
        <v>4795</v>
      </c>
      <c r="AZ65" s="3">
        <v>31128457</v>
      </c>
      <c r="BA65" s="4">
        <f t="shared" si="149"/>
        <v>-43</v>
      </c>
      <c r="BB65" s="3">
        <f t="shared" si="150"/>
        <v>-4001527</v>
      </c>
      <c r="BC65" s="2">
        <f t="shared" si="151"/>
        <v>-0.11390631433250867</v>
      </c>
      <c r="BE65" s="5" t="s">
        <v>39</v>
      </c>
      <c r="BF65" s="5"/>
      <c r="BG65" s="4">
        <v>2946</v>
      </c>
      <c r="BH65" s="3">
        <v>21318108</v>
      </c>
      <c r="BI65" s="4">
        <f t="shared" si="152"/>
        <v>-1849</v>
      </c>
      <c r="BJ65" s="3">
        <f t="shared" si="153"/>
        <v>-9810349</v>
      </c>
      <c r="BK65" s="2">
        <f t="shared" si="154"/>
        <v>-0.31515693180680304</v>
      </c>
      <c r="BL65" s="50"/>
      <c r="BM65" s="5" t="s">
        <v>39</v>
      </c>
      <c r="BN65" s="5"/>
      <c r="BO65" s="4">
        <v>2668</v>
      </c>
      <c r="BP65" s="3">
        <v>16827021</v>
      </c>
      <c r="BQ65" s="4">
        <f t="shared" si="155"/>
        <v>-278</v>
      </c>
      <c r="BR65" s="3">
        <f t="shared" si="156"/>
        <v>-4491087</v>
      </c>
      <c r="BS65" s="2">
        <f t="shared" si="157"/>
        <v>-0.2106700557103848</v>
      </c>
      <c r="BU65" s="5" t="s">
        <v>39</v>
      </c>
      <c r="BV65" s="5"/>
      <c r="BW65" s="4">
        <v>2148</v>
      </c>
      <c r="BX65" s="3">
        <v>12608616</v>
      </c>
      <c r="BY65" s="4">
        <f t="shared" si="158"/>
        <v>-520</v>
      </c>
      <c r="BZ65" s="3">
        <f t="shared" si="159"/>
        <v>-4218405</v>
      </c>
      <c r="CA65" s="2">
        <f t="shared" si="160"/>
        <v>-0.25069232397107011</v>
      </c>
      <c r="CC65" s="5" t="s">
        <v>39</v>
      </c>
      <c r="CD65" s="5"/>
      <c r="CE65" s="4">
        <v>2439</v>
      </c>
      <c r="CF65" s="3">
        <v>15979720</v>
      </c>
      <c r="CG65" s="4">
        <f t="shared" si="161"/>
        <v>291</v>
      </c>
      <c r="CH65" s="3">
        <f t="shared" si="162"/>
        <v>3371104</v>
      </c>
      <c r="CI65" s="2">
        <f t="shared" si="163"/>
        <v>0.26736510969958954</v>
      </c>
      <c r="CK65" s="5" t="s">
        <v>39</v>
      </c>
      <c r="CL65" s="5"/>
      <c r="CM65" s="4">
        <v>2390</v>
      </c>
      <c r="CN65" s="3">
        <v>16205157</v>
      </c>
      <c r="CO65" s="4">
        <f t="shared" si="164"/>
        <v>-49</v>
      </c>
      <c r="CP65" s="3">
        <f t="shared" si="165"/>
        <v>225437</v>
      </c>
      <c r="CQ65" s="2">
        <f t="shared" si="166"/>
        <v>1.4107694002147722E-2</v>
      </c>
      <c r="CS65" s="5" t="s">
        <v>39</v>
      </c>
      <c r="CT65" s="5"/>
      <c r="CU65" s="4">
        <v>2239</v>
      </c>
      <c r="CV65" s="3">
        <v>18800317</v>
      </c>
      <c r="CW65" s="4">
        <f t="shared" si="167"/>
        <v>-151</v>
      </c>
      <c r="CX65" s="3">
        <f t="shared" si="168"/>
        <v>2595160</v>
      </c>
      <c r="CY65" s="2">
        <f t="shared" si="169"/>
        <v>0.16014408252879006</v>
      </c>
    </row>
    <row r="75" spans="1:103" ht="18">
      <c r="A75" s="51"/>
      <c r="B75" s="47"/>
      <c r="D75" s="33"/>
      <c r="E75" s="34"/>
      <c r="F75" s="34"/>
      <c r="G75" s="34"/>
      <c r="I75" s="51"/>
      <c r="J75" s="47"/>
      <c r="L75" s="33"/>
      <c r="M75" s="34"/>
      <c r="N75" s="34"/>
      <c r="O75" s="34"/>
      <c r="Q75" s="51"/>
      <c r="R75" s="47"/>
      <c r="T75" s="33"/>
      <c r="U75" s="34"/>
      <c r="V75" s="34"/>
      <c r="W75" s="34"/>
      <c r="Y75" s="51"/>
      <c r="Z75" s="47"/>
      <c r="AB75" s="33"/>
      <c r="AC75" s="34"/>
      <c r="AD75" s="34"/>
      <c r="AE75" s="34"/>
      <c r="AG75" s="51"/>
      <c r="AH75" s="47"/>
      <c r="AJ75" s="33"/>
      <c r="AK75" s="34"/>
      <c r="AL75" s="34"/>
      <c r="AM75" s="34"/>
      <c r="AO75" s="51"/>
      <c r="AP75" s="47"/>
      <c r="AR75" s="33"/>
      <c r="AS75" s="34"/>
      <c r="AT75" s="34"/>
      <c r="AU75" s="34"/>
      <c r="AW75" s="51"/>
      <c r="AX75" s="47"/>
      <c r="AZ75" s="33"/>
      <c r="BA75" s="34"/>
      <c r="BB75" s="34"/>
      <c r="BC75" s="34"/>
      <c r="BE75" s="51"/>
      <c r="BF75" s="47"/>
      <c r="BH75" s="33"/>
      <c r="BI75" s="34"/>
      <c r="BJ75" s="34"/>
      <c r="BK75" s="34"/>
      <c r="BM75" s="51"/>
      <c r="BN75" s="47"/>
      <c r="BP75" s="33"/>
      <c r="BQ75" s="34"/>
      <c r="BR75" s="34"/>
      <c r="BS75" s="34"/>
      <c r="BU75" s="51"/>
      <c r="BV75" s="47"/>
      <c r="BW75" s="33"/>
      <c r="BX75" s="34"/>
      <c r="BY75" s="34"/>
      <c r="BZ75" s="34"/>
      <c r="CA75" s="34"/>
      <c r="CB75" s="47"/>
      <c r="CC75" s="51"/>
      <c r="CD75" s="47"/>
      <c r="CE75" s="33"/>
      <c r="CF75" s="34"/>
      <c r="CG75" s="34"/>
      <c r="CH75" s="34"/>
      <c r="CI75" s="34"/>
      <c r="CJ75" s="47"/>
      <c r="CK75" s="51"/>
      <c r="CL75" s="47"/>
      <c r="CM75" s="33"/>
      <c r="CN75" s="34"/>
      <c r="CO75" s="34"/>
      <c r="CP75" s="34"/>
      <c r="CQ75" s="34"/>
      <c r="CR75" s="47"/>
      <c r="CS75" s="51"/>
      <c r="CT75" s="47"/>
      <c r="CU75" s="33"/>
      <c r="CV75" s="33"/>
      <c r="CW75" s="34"/>
      <c r="CX75" s="34"/>
      <c r="CY75" s="34"/>
    </row>
    <row r="76" spans="1:103" ht="18">
      <c r="A76" s="51"/>
      <c r="B76" s="47"/>
      <c r="D76" s="33"/>
      <c r="E76" s="34"/>
      <c r="F76" s="34"/>
      <c r="G76" s="34"/>
      <c r="I76" s="51"/>
      <c r="J76" s="47"/>
      <c r="L76" s="33"/>
      <c r="M76" s="34"/>
      <c r="N76" s="34"/>
      <c r="O76" s="34"/>
      <c r="Q76" s="51"/>
      <c r="R76" s="47"/>
      <c r="T76" s="33"/>
      <c r="U76" s="34"/>
      <c r="V76" s="34"/>
      <c r="W76" s="34"/>
      <c r="Y76" s="51"/>
      <c r="Z76" s="47"/>
      <c r="AB76" s="33"/>
      <c r="AC76" s="34"/>
      <c r="AD76" s="34"/>
      <c r="AE76" s="34"/>
      <c r="AG76" s="51"/>
      <c r="AH76" s="47"/>
      <c r="AJ76" s="33"/>
      <c r="AK76" s="34"/>
      <c r="AL76" s="34"/>
      <c r="AM76" s="34"/>
      <c r="AO76" s="51"/>
      <c r="AP76" s="47"/>
      <c r="AR76" s="33"/>
      <c r="AS76" s="34"/>
      <c r="AT76" s="34"/>
      <c r="AU76" s="34"/>
      <c r="AW76" s="51"/>
      <c r="AX76" s="47"/>
      <c r="AZ76" s="33"/>
      <c r="BA76" s="34"/>
      <c r="BB76" s="34"/>
      <c r="BC76" s="34"/>
      <c r="BE76" s="51"/>
      <c r="BF76" s="47"/>
      <c r="BH76" s="33"/>
      <c r="BI76" s="34"/>
      <c r="BJ76" s="34"/>
      <c r="BK76" s="34"/>
      <c r="BM76" s="51"/>
      <c r="BN76" s="47"/>
      <c r="BP76" s="33"/>
      <c r="BQ76" s="34"/>
      <c r="BR76" s="34"/>
      <c r="BS76" s="34"/>
      <c r="BU76" s="51"/>
      <c r="BV76" s="47"/>
      <c r="BW76" s="33"/>
      <c r="BX76" s="34"/>
      <c r="BY76" s="34"/>
      <c r="BZ76" s="34"/>
      <c r="CA76" s="34"/>
      <c r="CB76" s="47"/>
      <c r="CC76" s="51"/>
      <c r="CD76" s="47"/>
      <c r="CE76" s="33"/>
      <c r="CF76" s="34"/>
      <c r="CG76" s="34"/>
      <c r="CH76" s="34"/>
      <c r="CI76" s="34"/>
      <c r="CJ76" s="47"/>
      <c r="CK76" s="51"/>
      <c r="CL76" s="47"/>
      <c r="CM76" s="33"/>
      <c r="CN76" s="34"/>
      <c r="CO76" s="34"/>
      <c r="CP76" s="34"/>
      <c r="CQ76" s="34"/>
      <c r="CR76" s="47"/>
      <c r="CS76" s="51"/>
      <c r="CT76" s="47"/>
      <c r="CU76" s="33"/>
      <c r="CV76" s="33"/>
      <c r="CW76" s="34"/>
      <c r="CX76" s="34"/>
      <c r="CY76" s="34"/>
    </row>
    <row r="77" spans="1:103" ht="18">
      <c r="A77" s="51"/>
      <c r="B77" s="47"/>
      <c r="D77" s="35"/>
      <c r="E77" s="12"/>
      <c r="F77" s="14"/>
      <c r="G77" s="48"/>
      <c r="I77" s="51"/>
      <c r="J77" s="47"/>
      <c r="L77" s="35"/>
      <c r="M77" s="1"/>
      <c r="N77" s="35"/>
      <c r="O77" s="31"/>
      <c r="Q77" s="51"/>
      <c r="R77" s="47"/>
      <c r="T77" s="35"/>
      <c r="U77" s="1"/>
      <c r="V77" s="35"/>
      <c r="W77" s="31"/>
      <c r="Y77" s="51"/>
      <c r="Z77" s="47"/>
      <c r="AB77" s="35"/>
      <c r="AC77" s="1"/>
      <c r="AD77" s="35"/>
      <c r="AE77" s="31"/>
      <c r="AG77" s="51"/>
      <c r="AH77" s="47"/>
      <c r="AJ77" s="35"/>
      <c r="AK77" s="1"/>
      <c r="AL77" s="35"/>
      <c r="AM77" s="31"/>
      <c r="AO77" s="51"/>
      <c r="AP77" s="47"/>
      <c r="AR77" s="35"/>
      <c r="AS77" s="1"/>
      <c r="AT77" s="35"/>
      <c r="AU77" s="31"/>
      <c r="AW77" s="51"/>
      <c r="AX77" s="47"/>
      <c r="AZ77" s="35"/>
      <c r="BA77" s="1"/>
      <c r="BB77" s="35"/>
      <c r="BC77" s="31"/>
      <c r="BE77" s="51"/>
      <c r="BF77" s="47"/>
      <c r="BH77" s="35"/>
      <c r="BI77" s="1"/>
      <c r="BJ77" s="35"/>
      <c r="BK77" s="31"/>
      <c r="BL77" s="50"/>
      <c r="BM77" s="51"/>
      <c r="BN77" s="47"/>
      <c r="BP77" s="35"/>
      <c r="BQ77" s="1"/>
      <c r="BR77" s="35"/>
      <c r="BS77" s="31"/>
      <c r="BU77" s="51"/>
      <c r="BV77" s="47"/>
      <c r="BW77" s="35"/>
      <c r="BX77" s="35"/>
      <c r="BY77" s="1"/>
      <c r="BZ77" s="35"/>
      <c r="CA77" s="31"/>
      <c r="CC77" s="51"/>
      <c r="CD77" s="47"/>
      <c r="CE77" s="35"/>
      <c r="CF77" s="35"/>
      <c r="CG77" s="1"/>
      <c r="CH77" s="35"/>
      <c r="CI77" s="31"/>
      <c r="CK77" s="51"/>
      <c r="CL77" s="47"/>
      <c r="CM77" s="35"/>
      <c r="CN77" s="35"/>
      <c r="CO77" s="1"/>
      <c r="CP77" s="35"/>
      <c r="CQ77" s="31"/>
      <c r="CS77" s="51"/>
      <c r="CT77" s="47"/>
      <c r="CU77" s="35"/>
      <c r="CV77" s="35"/>
      <c r="CW77" s="1"/>
      <c r="CX77" s="35"/>
      <c r="CY77" s="31"/>
    </row>
    <row r="78" spans="1:103" ht="18">
      <c r="A78" s="51"/>
      <c r="B78" s="47"/>
      <c r="D78" s="35"/>
      <c r="E78" s="12"/>
      <c r="F78" s="14"/>
      <c r="G78" s="48"/>
      <c r="I78" s="51"/>
      <c r="J78" s="47"/>
      <c r="L78" s="35"/>
      <c r="M78" s="1"/>
      <c r="N78" s="35"/>
      <c r="O78" s="31"/>
      <c r="Q78" s="51"/>
      <c r="R78" s="47"/>
      <c r="T78" s="35"/>
      <c r="U78" s="1"/>
      <c r="V78" s="35"/>
      <c r="W78" s="31"/>
      <c r="Y78" s="51"/>
      <c r="Z78" s="47"/>
      <c r="AB78" s="35"/>
      <c r="AC78" s="1"/>
      <c r="AD78" s="35"/>
      <c r="AE78" s="31"/>
      <c r="AG78" s="51"/>
      <c r="AH78" s="47"/>
      <c r="AJ78" s="35"/>
      <c r="AK78" s="1"/>
      <c r="AL78" s="35"/>
      <c r="AM78" s="31"/>
      <c r="AO78" s="51"/>
      <c r="AP78" s="47"/>
      <c r="AR78" s="35"/>
      <c r="AS78" s="1"/>
      <c r="AT78" s="35"/>
      <c r="AU78" s="31"/>
      <c r="AW78" s="51"/>
      <c r="AX78" s="47"/>
      <c r="AZ78" s="35"/>
      <c r="BA78" s="1"/>
      <c r="BB78" s="35"/>
      <c r="BC78" s="31"/>
      <c r="BE78" s="51"/>
      <c r="BF78" s="47"/>
      <c r="BH78" s="35"/>
      <c r="BI78" s="1"/>
      <c r="BJ78" s="35"/>
      <c r="BK78" s="31"/>
      <c r="BL78" s="50"/>
      <c r="BM78" s="51"/>
      <c r="BN78" s="47"/>
      <c r="BP78" s="35"/>
      <c r="BQ78" s="1"/>
      <c r="BR78" s="35"/>
      <c r="BS78" s="31"/>
      <c r="BU78" s="51"/>
      <c r="BV78" s="47"/>
      <c r="BW78" s="35"/>
      <c r="BX78" s="35"/>
      <c r="BY78" s="1"/>
      <c r="BZ78" s="35"/>
      <c r="CA78" s="31"/>
      <c r="CC78" s="51"/>
      <c r="CD78" s="47"/>
      <c r="CE78" s="35"/>
      <c r="CF78" s="35"/>
      <c r="CG78" s="1"/>
      <c r="CH78" s="35"/>
      <c r="CI78" s="31"/>
      <c r="CK78" s="51"/>
      <c r="CL78" s="47"/>
      <c r="CM78" s="35"/>
      <c r="CN78" s="35"/>
      <c r="CO78" s="1"/>
      <c r="CP78" s="35"/>
      <c r="CQ78" s="31"/>
      <c r="CS78" s="51"/>
      <c r="CT78" s="47"/>
      <c r="CU78" s="35"/>
      <c r="CV78" s="35"/>
      <c r="CW78" s="1"/>
      <c r="CX78" s="35"/>
      <c r="CY78" s="31"/>
    </row>
    <row r="79" spans="1:103" ht="18">
      <c r="A79" s="51"/>
      <c r="B79" s="47"/>
      <c r="D79" s="35"/>
      <c r="E79" s="12"/>
      <c r="F79" s="14"/>
      <c r="G79" s="48"/>
      <c r="I79" s="51"/>
      <c r="J79" s="47"/>
      <c r="L79" s="35"/>
      <c r="M79" s="1"/>
      <c r="N79" s="35"/>
      <c r="O79" s="31"/>
      <c r="Q79" s="51"/>
      <c r="R79" s="47"/>
      <c r="T79" s="35"/>
      <c r="U79" s="1"/>
      <c r="V79" s="35"/>
      <c r="W79" s="31"/>
      <c r="Y79" s="51"/>
      <c r="Z79" s="47"/>
      <c r="AB79" s="35"/>
      <c r="AC79" s="1"/>
      <c r="AD79" s="35"/>
      <c r="AE79" s="31"/>
      <c r="AG79" s="51"/>
      <c r="AH79" s="47"/>
      <c r="AJ79" s="35"/>
      <c r="AK79" s="1"/>
      <c r="AL79" s="35"/>
      <c r="AM79" s="31"/>
      <c r="AO79" s="51"/>
      <c r="AP79" s="47"/>
      <c r="AR79" s="35"/>
      <c r="AS79" s="1"/>
      <c r="AT79" s="35"/>
      <c r="AU79" s="31"/>
      <c r="AW79" s="51"/>
      <c r="AX79" s="47"/>
      <c r="AZ79" s="35"/>
      <c r="BA79" s="1"/>
      <c r="BB79" s="35"/>
      <c r="BC79" s="31"/>
      <c r="BE79" s="51"/>
      <c r="BF79" s="47"/>
      <c r="BH79" s="35"/>
      <c r="BI79" s="1"/>
      <c r="BJ79" s="35"/>
      <c r="BK79" s="31"/>
      <c r="BL79" s="50"/>
      <c r="BM79" s="51"/>
      <c r="BN79" s="47"/>
      <c r="BP79" s="35"/>
      <c r="BQ79" s="1"/>
      <c r="BR79" s="35"/>
      <c r="BS79" s="31"/>
      <c r="BU79" s="51"/>
      <c r="BV79" s="47"/>
      <c r="BW79" s="35"/>
      <c r="BX79" s="35"/>
      <c r="BY79" s="1"/>
      <c r="BZ79" s="35"/>
      <c r="CA79" s="31"/>
      <c r="CC79" s="51"/>
      <c r="CD79" s="47"/>
      <c r="CE79" s="35"/>
      <c r="CF79" s="35"/>
      <c r="CG79" s="1"/>
      <c r="CH79" s="35"/>
      <c r="CI79" s="31"/>
      <c r="CK79" s="51"/>
      <c r="CL79" s="47"/>
      <c r="CM79" s="35"/>
      <c r="CN79" s="35"/>
      <c r="CO79" s="1"/>
      <c r="CP79" s="35"/>
      <c r="CQ79" s="31"/>
      <c r="CS79" s="51"/>
      <c r="CT79" s="47"/>
      <c r="CU79" s="35"/>
      <c r="CV79" s="35"/>
      <c r="CW79" s="1"/>
      <c r="CX79" s="35"/>
      <c r="CY79" s="31"/>
    </row>
    <row r="80" spans="1:103" ht="18">
      <c r="A80" s="51"/>
      <c r="B80" s="47"/>
      <c r="D80" s="35"/>
      <c r="E80" s="12"/>
      <c r="F80" s="14"/>
      <c r="G80" s="48"/>
      <c r="I80" s="51"/>
      <c r="J80" s="47"/>
      <c r="L80" s="35"/>
      <c r="M80" s="1"/>
      <c r="N80" s="35"/>
      <c r="O80" s="31"/>
      <c r="Q80" s="51"/>
      <c r="R80" s="47"/>
      <c r="T80" s="35"/>
      <c r="U80" s="1"/>
      <c r="V80" s="35"/>
      <c r="W80" s="31"/>
      <c r="Y80" s="51"/>
      <c r="Z80" s="47"/>
      <c r="AB80" s="35"/>
      <c r="AC80" s="1"/>
      <c r="AD80" s="35"/>
      <c r="AE80" s="31"/>
      <c r="AG80" s="51"/>
      <c r="AH80" s="47"/>
      <c r="AJ80" s="35"/>
      <c r="AK80" s="1"/>
      <c r="AL80" s="35"/>
      <c r="AM80" s="31"/>
      <c r="AO80" s="51"/>
      <c r="AP80" s="47"/>
      <c r="AR80" s="35"/>
      <c r="AS80" s="1"/>
      <c r="AT80" s="35"/>
      <c r="AU80" s="31"/>
      <c r="AW80" s="51"/>
      <c r="AX80" s="47"/>
      <c r="AZ80" s="35"/>
      <c r="BA80" s="1"/>
      <c r="BB80" s="35"/>
      <c r="BC80" s="31"/>
      <c r="BE80" s="51"/>
      <c r="BF80" s="47"/>
      <c r="BH80" s="35"/>
      <c r="BI80" s="1"/>
      <c r="BJ80" s="35"/>
      <c r="BK80" s="31"/>
      <c r="BL80" s="50"/>
      <c r="BM80" s="51"/>
      <c r="BN80" s="47"/>
      <c r="BP80" s="35"/>
      <c r="BQ80" s="1"/>
      <c r="BR80" s="35"/>
      <c r="BS80" s="31"/>
      <c r="BU80" s="51"/>
      <c r="BV80" s="47"/>
      <c r="BW80" s="35"/>
      <c r="BX80" s="35"/>
      <c r="BY80" s="1"/>
      <c r="BZ80" s="35"/>
      <c r="CA80" s="31"/>
      <c r="CC80" s="51"/>
      <c r="CD80" s="47"/>
      <c r="CE80" s="35"/>
      <c r="CF80" s="35"/>
      <c r="CG80" s="1"/>
      <c r="CH80" s="35"/>
      <c r="CI80" s="31"/>
      <c r="CK80" s="51"/>
      <c r="CL80" s="47"/>
      <c r="CM80" s="35"/>
      <c r="CN80" s="35"/>
      <c r="CO80" s="1"/>
      <c r="CP80" s="35"/>
      <c r="CQ80" s="31"/>
      <c r="CS80" s="51"/>
      <c r="CT80" s="47"/>
      <c r="CU80" s="35"/>
      <c r="CV80" s="35"/>
      <c r="CW80" s="1"/>
      <c r="CX80" s="35"/>
      <c r="CY80" s="31"/>
    </row>
    <row r="81" spans="1:103" ht="18">
      <c r="A81" s="51"/>
      <c r="B81" s="47"/>
      <c r="D81" s="35"/>
      <c r="E81" s="12"/>
      <c r="F81" s="14"/>
      <c r="G81" s="48"/>
      <c r="I81" s="51"/>
      <c r="J81" s="47"/>
      <c r="L81" s="35"/>
      <c r="M81" s="1"/>
      <c r="N81" s="35"/>
      <c r="O81" s="31"/>
      <c r="Q81" s="51"/>
      <c r="R81" s="47"/>
      <c r="T81" s="35"/>
      <c r="U81" s="1"/>
      <c r="V81" s="35"/>
      <c r="W81" s="31"/>
      <c r="Y81" s="51"/>
      <c r="Z81" s="47"/>
      <c r="AB81" s="35"/>
      <c r="AC81" s="1"/>
      <c r="AD81" s="35"/>
      <c r="AE81" s="31"/>
      <c r="AG81" s="51"/>
      <c r="AH81" s="47"/>
      <c r="AJ81" s="35"/>
      <c r="AK81" s="1"/>
      <c r="AL81" s="35"/>
      <c r="AM81" s="31"/>
      <c r="AO81" s="51"/>
      <c r="AP81" s="47"/>
      <c r="AR81" s="35"/>
      <c r="AS81" s="1"/>
      <c r="AT81" s="35"/>
      <c r="AU81" s="31"/>
      <c r="AW81" s="51"/>
      <c r="AX81" s="47"/>
      <c r="AZ81" s="35"/>
      <c r="BA81" s="1"/>
      <c r="BB81" s="35"/>
      <c r="BC81" s="31"/>
      <c r="BE81" s="51"/>
      <c r="BF81" s="47"/>
      <c r="BH81" s="35"/>
      <c r="BI81" s="1"/>
      <c r="BJ81" s="35"/>
      <c r="BK81" s="31"/>
      <c r="BL81" s="50"/>
      <c r="BM81" s="51"/>
      <c r="BN81" s="47"/>
      <c r="BP81" s="35"/>
      <c r="BQ81" s="1"/>
      <c r="BR81" s="35"/>
      <c r="BS81" s="31"/>
      <c r="BU81" s="51"/>
      <c r="BV81" s="47"/>
      <c r="BW81" s="35"/>
      <c r="BX81" s="35"/>
      <c r="BY81" s="1"/>
      <c r="BZ81" s="35"/>
      <c r="CA81" s="31"/>
      <c r="CC81" s="51"/>
      <c r="CD81" s="47"/>
      <c r="CE81" s="35"/>
      <c r="CF81" s="35"/>
      <c r="CG81" s="1"/>
      <c r="CH81" s="35"/>
      <c r="CI81" s="31"/>
      <c r="CK81" s="51"/>
      <c r="CL81" s="47"/>
      <c r="CM81" s="35"/>
      <c r="CN81" s="35"/>
      <c r="CO81" s="1"/>
      <c r="CP81" s="35"/>
      <c r="CQ81" s="31"/>
      <c r="CS81" s="51"/>
      <c r="CT81" s="47"/>
      <c r="CU81" s="35"/>
      <c r="CV81" s="35"/>
      <c r="CW81" s="1"/>
      <c r="CX81" s="35"/>
      <c r="CY81" s="31"/>
    </row>
    <row r="82" spans="1:103" ht="18">
      <c r="A82" s="51"/>
      <c r="B82" s="47"/>
      <c r="D82" s="35"/>
      <c r="E82" s="12"/>
      <c r="F82" s="14"/>
      <c r="G82" s="48"/>
      <c r="I82" s="51"/>
      <c r="J82" s="47"/>
      <c r="L82" s="35"/>
      <c r="M82" s="1"/>
      <c r="N82" s="35"/>
      <c r="O82" s="31"/>
      <c r="Q82" s="51"/>
      <c r="R82" s="47"/>
      <c r="T82" s="35"/>
      <c r="U82" s="1"/>
      <c r="V82" s="35"/>
      <c r="W82" s="31"/>
      <c r="Y82" s="51"/>
      <c r="Z82" s="47"/>
      <c r="AB82" s="35"/>
      <c r="AC82" s="1"/>
      <c r="AD82" s="35"/>
      <c r="AE82" s="31"/>
      <c r="AG82" s="51"/>
      <c r="AH82" s="47"/>
      <c r="AJ82" s="35"/>
      <c r="AK82" s="1"/>
      <c r="AL82" s="35"/>
      <c r="AM82" s="31"/>
      <c r="AO82" s="51"/>
      <c r="AP82" s="47"/>
      <c r="AR82" s="35"/>
      <c r="AS82" s="1"/>
      <c r="AT82" s="35"/>
      <c r="AU82" s="31"/>
      <c r="AW82" s="51"/>
      <c r="AX82" s="47"/>
      <c r="AZ82" s="35"/>
      <c r="BA82" s="1"/>
      <c r="BB82" s="35"/>
      <c r="BC82" s="31"/>
      <c r="BE82" s="51"/>
      <c r="BF82" s="47"/>
      <c r="BH82" s="35"/>
      <c r="BI82" s="1"/>
      <c r="BJ82" s="35"/>
      <c r="BK82" s="31"/>
      <c r="BL82" s="50"/>
      <c r="BM82" s="51"/>
      <c r="BN82" s="47"/>
      <c r="BP82" s="35"/>
      <c r="BQ82" s="1"/>
      <c r="BR82" s="35"/>
      <c r="BS82" s="31"/>
      <c r="BU82" s="51"/>
      <c r="BV82" s="47"/>
      <c r="BW82" s="35"/>
      <c r="BX82" s="35"/>
      <c r="BY82" s="1"/>
      <c r="BZ82" s="35"/>
      <c r="CA82" s="31"/>
      <c r="CC82" s="51"/>
      <c r="CD82" s="47"/>
      <c r="CE82" s="35"/>
      <c r="CF82" s="35"/>
      <c r="CG82" s="1"/>
      <c r="CH82" s="35"/>
      <c r="CI82" s="31"/>
      <c r="CK82" s="51"/>
      <c r="CL82" s="47"/>
      <c r="CM82" s="35"/>
      <c r="CN82" s="35"/>
      <c r="CO82" s="1"/>
      <c r="CP82" s="35"/>
      <c r="CQ82" s="31"/>
      <c r="CS82" s="51"/>
      <c r="CT82" s="47"/>
      <c r="CU82" s="35"/>
      <c r="CV82" s="35"/>
      <c r="CW82" s="1"/>
      <c r="CX82" s="35"/>
      <c r="CY82" s="31"/>
    </row>
    <row r="83" spans="1:103" ht="18">
      <c r="A83" s="51"/>
      <c r="B83" s="47"/>
      <c r="D83" s="35"/>
      <c r="E83" s="12"/>
      <c r="F83" s="14"/>
      <c r="G83" s="48"/>
      <c r="I83" s="51"/>
      <c r="J83" s="47"/>
      <c r="L83" s="35"/>
      <c r="M83" s="1"/>
      <c r="N83" s="35"/>
      <c r="O83" s="31"/>
      <c r="Q83" s="51"/>
      <c r="R83" s="47"/>
      <c r="T83" s="35"/>
      <c r="U83" s="1"/>
      <c r="V83" s="35"/>
      <c r="W83" s="31"/>
      <c r="Y83" s="51"/>
      <c r="Z83" s="47"/>
      <c r="AB83" s="35"/>
      <c r="AC83" s="1"/>
      <c r="AD83" s="35"/>
      <c r="AE83" s="31"/>
      <c r="AG83" s="51"/>
      <c r="AH83" s="47"/>
      <c r="AJ83" s="35"/>
      <c r="AK83" s="1"/>
      <c r="AL83" s="35"/>
      <c r="AM83" s="31"/>
      <c r="AO83" s="51"/>
      <c r="AP83" s="47"/>
      <c r="AR83" s="35"/>
      <c r="AS83" s="1"/>
      <c r="AT83" s="35"/>
      <c r="AU83" s="31"/>
      <c r="AW83" s="51"/>
      <c r="AX83" s="47"/>
      <c r="AZ83" s="35"/>
      <c r="BA83" s="1"/>
      <c r="BB83" s="35"/>
      <c r="BC83" s="31"/>
      <c r="BE83" s="51"/>
      <c r="BF83" s="47"/>
      <c r="BH83" s="35"/>
      <c r="BI83" s="1"/>
      <c r="BJ83" s="35"/>
      <c r="BK83" s="31"/>
      <c r="BL83" s="50"/>
      <c r="BM83" s="51"/>
      <c r="BN83" s="47"/>
      <c r="BP83" s="35"/>
      <c r="BQ83" s="1"/>
      <c r="BR83" s="35"/>
      <c r="BS83" s="31"/>
      <c r="BU83" s="51"/>
      <c r="BV83" s="47"/>
      <c r="BW83" s="35"/>
      <c r="BX83" s="35"/>
      <c r="BY83" s="1"/>
      <c r="BZ83" s="35"/>
      <c r="CA83" s="31"/>
      <c r="CC83" s="51"/>
      <c r="CD83" s="47"/>
      <c r="CF83" s="35"/>
      <c r="CG83" s="1"/>
      <c r="CH83" s="35"/>
      <c r="CI83" s="31"/>
      <c r="CK83" s="51"/>
      <c r="CL83" s="47"/>
      <c r="CN83" s="35"/>
      <c r="CO83" s="1"/>
      <c r="CP83" s="35"/>
      <c r="CQ83" s="31"/>
      <c r="CS83" s="51"/>
      <c r="CT83" s="47"/>
      <c r="CV83" s="35"/>
      <c r="CW83" s="1"/>
      <c r="CX83" s="35"/>
      <c r="CY83" s="31"/>
    </row>
    <row r="84" spans="1:103" ht="18">
      <c r="A84" s="51"/>
      <c r="B84" s="47"/>
      <c r="D84" s="35"/>
      <c r="E84" s="12"/>
      <c r="F84" s="14"/>
      <c r="G84" s="48"/>
      <c r="I84" s="51"/>
      <c r="J84" s="47"/>
      <c r="L84" s="35"/>
      <c r="M84" s="1"/>
      <c r="N84" s="35"/>
      <c r="O84" s="31"/>
      <c r="Q84" s="51"/>
      <c r="R84" s="47"/>
      <c r="T84" s="35"/>
      <c r="U84" s="1"/>
      <c r="V84" s="35"/>
      <c r="W84" s="31"/>
      <c r="Y84" s="51"/>
      <c r="Z84" s="47"/>
      <c r="AB84" s="35"/>
      <c r="AC84" s="1"/>
      <c r="AD84" s="35"/>
      <c r="AE84" s="31"/>
      <c r="AG84" s="51"/>
      <c r="AH84" s="47"/>
      <c r="AJ84" s="35"/>
      <c r="AK84" s="1"/>
      <c r="AL84" s="35"/>
      <c r="AM84" s="31"/>
      <c r="AO84" s="51"/>
      <c r="AP84" s="47"/>
      <c r="AR84" s="35"/>
      <c r="AS84" s="1"/>
      <c r="AT84" s="35"/>
      <c r="AU84" s="31"/>
      <c r="AW84" s="51"/>
      <c r="AX84" s="47"/>
      <c r="AZ84" s="35"/>
      <c r="BA84" s="1"/>
      <c r="BB84" s="35"/>
      <c r="BC84" s="31"/>
      <c r="BE84" s="51"/>
      <c r="BF84" s="47"/>
      <c r="BH84" s="35"/>
      <c r="BI84" s="1"/>
      <c r="BJ84" s="35"/>
      <c r="BK84" s="31"/>
      <c r="BL84" s="50"/>
      <c r="BM84" s="51"/>
      <c r="BN84" s="47"/>
      <c r="BP84" s="35"/>
      <c r="BQ84" s="1"/>
      <c r="BR84" s="35"/>
      <c r="BS84" s="31"/>
      <c r="BU84" s="51"/>
      <c r="BV84" s="47"/>
      <c r="BW84" s="35"/>
      <c r="BX84" s="35"/>
      <c r="BY84" s="1"/>
      <c r="BZ84" s="35"/>
      <c r="CA84" s="31"/>
      <c r="CC84" s="51"/>
      <c r="CD84" s="47"/>
      <c r="CF84" s="35"/>
      <c r="CG84" s="1"/>
      <c r="CH84" s="35"/>
      <c r="CI84" s="31"/>
      <c r="CK84" s="51"/>
      <c r="CL84" s="47"/>
      <c r="CN84" s="35"/>
      <c r="CO84" s="1"/>
      <c r="CP84" s="35"/>
      <c r="CQ84" s="31"/>
      <c r="CS84" s="51"/>
      <c r="CT84" s="47"/>
      <c r="CV84" s="35"/>
      <c r="CW84" s="1"/>
      <c r="CX84" s="35"/>
      <c r="CY84" s="31"/>
    </row>
  </sheetData>
  <phoneticPr fontId="2" type="noConversion"/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id="{823CEC54-3476-7B42-BE68-F06413FB8185}">
            <xm:f>NOT(ISERROR(SEARCH("-",M7)))</xm:f>
            <xm:f>"-"</xm:f>
            <x14:dxf>
              <font>
                <color rgb="FFFF0000"/>
              </font>
            </x14:dxf>
          </x14:cfRule>
          <xm:sqref>M7:O16 M19:O28 M31:O40 M43:O65</xm:sqref>
        </x14:conditionalFormatting>
        <x14:conditionalFormatting xmlns:xm="http://schemas.microsoft.com/office/excel/2006/main">
          <x14:cfRule type="containsText" priority="24" operator="containsText" id="{A84D8C06-B280-C544-96AD-90171C5BFE18}">
            <xm:f>NOT(ISERROR(SEARCH("-",M77)))</xm:f>
            <xm:f>"-"</xm:f>
            <x14:dxf>
              <font>
                <color rgb="FFFF0000"/>
              </font>
            </x14:dxf>
          </x14:cfRule>
          <xm:sqref>M77:O84</xm:sqref>
        </x14:conditionalFormatting>
        <x14:conditionalFormatting xmlns:xm="http://schemas.microsoft.com/office/excel/2006/main">
          <x14:cfRule type="containsText" priority="21" operator="containsText" id="{8E1BE1B1-EDFA-EF47-BA12-29E2195B1081}">
            <xm:f>NOT(ISERROR(SEARCH("-",U7)))</xm:f>
            <xm:f>"-"</xm:f>
            <x14:dxf>
              <font>
                <color rgb="FFFF0000"/>
              </font>
            </x14:dxf>
          </x14:cfRule>
          <xm:sqref>U7:W16 U19:W28 U31:W40 U43:W65</xm:sqref>
        </x14:conditionalFormatting>
        <x14:conditionalFormatting xmlns:xm="http://schemas.microsoft.com/office/excel/2006/main">
          <x14:cfRule type="containsText" priority="22" operator="containsText" id="{5CB2C18A-B38D-A940-9771-2B79BEB491F6}">
            <xm:f>NOT(ISERROR(SEARCH("-",U77)))</xm:f>
            <xm:f>"-"</xm:f>
            <x14:dxf>
              <font>
                <color rgb="FFFF0000"/>
              </font>
            </x14:dxf>
          </x14:cfRule>
          <xm:sqref>U77:W84</xm:sqref>
        </x14:conditionalFormatting>
        <x14:conditionalFormatting xmlns:xm="http://schemas.microsoft.com/office/excel/2006/main">
          <x14:cfRule type="containsText" priority="19" operator="containsText" id="{47ABF4CD-4EDA-EB49-82E2-49393E27F1D4}">
            <xm:f>NOT(ISERROR(SEARCH("-",AC7)))</xm:f>
            <xm:f>"-"</xm:f>
            <x14:dxf>
              <font>
                <color rgb="FFFF0000"/>
              </font>
            </x14:dxf>
          </x14:cfRule>
          <xm:sqref>AC7:AE16 AC19:AE28 AC31:AE40 AC43:AE65</xm:sqref>
        </x14:conditionalFormatting>
        <x14:conditionalFormatting xmlns:xm="http://schemas.microsoft.com/office/excel/2006/main">
          <x14:cfRule type="containsText" priority="20" operator="containsText" id="{98967C92-0000-1A44-82E5-B46555DCA70D}">
            <xm:f>NOT(ISERROR(SEARCH("-",AC77)))</xm:f>
            <xm:f>"-"</xm:f>
            <x14:dxf>
              <font>
                <color rgb="FFFF0000"/>
              </font>
            </x14:dxf>
          </x14:cfRule>
          <xm:sqref>AC77:AE84</xm:sqref>
        </x14:conditionalFormatting>
        <x14:conditionalFormatting xmlns:xm="http://schemas.microsoft.com/office/excel/2006/main">
          <x14:cfRule type="containsText" priority="17" operator="containsText" id="{D4C5DA91-C3DE-E04F-BDC9-8AA7E0966885}">
            <xm:f>NOT(ISERROR(SEARCH("-",AK7)))</xm:f>
            <xm:f>"-"</xm:f>
            <x14:dxf>
              <font>
                <color rgb="FFFF0000"/>
              </font>
            </x14:dxf>
          </x14:cfRule>
          <xm:sqref>AK7:AM16 AK19:AM28 AK31:AM40 AK43:AM65</xm:sqref>
        </x14:conditionalFormatting>
        <x14:conditionalFormatting xmlns:xm="http://schemas.microsoft.com/office/excel/2006/main">
          <x14:cfRule type="containsText" priority="18" operator="containsText" id="{D21C660B-4CCE-A645-A506-71D55E34B640}">
            <xm:f>NOT(ISERROR(SEARCH("-",AK77)))</xm:f>
            <xm:f>"-"</xm:f>
            <x14:dxf>
              <font>
                <color rgb="FFFF0000"/>
              </font>
            </x14:dxf>
          </x14:cfRule>
          <xm:sqref>AK77:AM84</xm:sqref>
        </x14:conditionalFormatting>
        <x14:conditionalFormatting xmlns:xm="http://schemas.microsoft.com/office/excel/2006/main">
          <x14:cfRule type="containsText" priority="15" operator="containsText" id="{E701040D-CB85-604D-8630-E6B107C0B65A}">
            <xm:f>NOT(ISERROR(SEARCH("-",AS7)))</xm:f>
            <xm:f>"-"</xm:f>
            <x14:dxf>
              <font>
                <color rgb="FFFF0000"/>
              </font>
            </x14:dxf>
          </x14:cfRule>
          <xm:sqref>AS7:AU16 AS19:AU28 AS31:AU40 AS43:AU65</xm:sqref>
        </x14:conditionalFormatting>
        <x14:conditionalFormatting xmlns:xm="http://schemas.microsoft.com/office/excel/2006/main">
          <x14:cfRule type="containsText" priority="16" operator="containsText" id="{323158C8-93D4-5D45-8734-8D1DBE404676}">
            <xm:f>NOT(ISERROR(SEARCH("-",AS77)))</xm:f>
            <xm:f>"-"</xm:f>
            <x14:dxf>
              <font>
                <color rgb="FFFF0000"/>
              </font>
            </x14:dxf>
          </x14:cfRule>
          <xm:sqref>AS77:AU84</xm:sqref>
        </x14:conditionalFormatting>
        <x14:conditionalFormatting xmlns:xm="http://schemas.microsoft.com/office/excel/2006/main">
          <x14:cfRule type="containsText" priority="13" operator="containsText" id="{1D5722B9-83D0-2640-8058-FC071B58B1B1}">
            <xm:f>NOT(ISERROR(SEARCH("-",BA7)))</xm:f>
            <xm:f>"-"</xm:f>
            <x14:dxf>
              <font>
                <color rgb="FFFF0000"/>
              </font>
            </x14:dxf>
          </x14:cfRule>
          <xm:sqref>BA7:BC16 BA19:BC28 BA31:BC40 BA43:BC65</xm:sqref>
        </x14:conditionalFormatting>
        <x14:conditionalFormatting xmlns:xm="http://schemas.microsoft.com/office/excel/2006/main">
          <x14:cfRule type="containsText" priority="14" operator="containsText" id="{78141134-83F4-D748-BD22-7CC14B6B541C}">
            <xm:f>NOT(ISERROR(SEARCH("-",BA77)))</xm:f>
            <xm:f>"-"</xm:f>
            <x14:dxf>
              <font>
                <color rgb="FFFF0000"/>
              </font>
            </x14:dxf>
          </x14:cfRule>
          <xm:sqref>BA77:BC84</xm:sqref>
        </x14:conditionalFormatting>
        <x14:conditionalFormatting xmlns:xm="http://schemas.microsoft.com/office/excel/2006/main">
          <x14:cfRule type="containsText" priority="11" operator="containsText" id="{BF5648EC-1FF5-1C4E-A215-6FD83F00F68E}">
            <xm:f>NOT(ISERROR(SEARCH("-",BI7)))</xm:f>
            <xm:f>"-"</xm:f>
            <x14:dxf>
              <font>
                <color rgb="FFFF0000"/>
              </font>
            </x14:dxf>
          </x14:cfRule>
          <xm:sqref>BI7:BK16 BI19:BK28 BI31:BK40 BI43:BK65</xm:sqref>
        </x14:conditionalFormatting>
        <x14:conditionalFormatting xmlns:xm="http://schemas.microsoft.com/office/excel/2006/main">
          <x14:cfRule type="containsText" priority="12" operator="containsText" id="{50B55E02-B9F3-214A-A924-CA66ED252585}">
            <xm:f>NOT(ISERROR(SEARCH("-",BI77)))</xm:f>
            <xm:f>"-"</xm:f>
            <x14:dxf>
              <font>
                <color rgb="FFFF0000"/>
              </font>
            </x14:dxf>
          </x14:cfRule>
          <xm:sqref>BI77:BK84</xm:sqref>
        </x14:conditionalFormatting>
        <x14:conditionalFormatting xmlns:xm="http://schemas.microsoft.com/office/excel/2006/main">
          <x14:cfRule type="containsText" priority="9" operator="containsText" id="{5FFF23D3-3995-834A-8A45-9E03E56D259B}">
            <xm:f>NOT(ISERROR(SEARCH("-",BQ7)))</xm:f>
            <xm:f>"-"</xm:f>
            <x14:dxf>
              <font>
                <color rgb="FFFF0000"/>
              </font>
            </x14:dxf>
          </x14:cfRule>
          <xm:sqref>BQ7:BS16 BQ19:BS28 BQ31:BS40 BQ43:BS65</xm:sqref>
        </x14:conditionalFormatting>
        <x14:conditionalFormatting xmlns:xm="http://schemas.microsoft.com/office/excel/2006/main">
          <x14:cfRule type="containsText" priority="10" operator="containsText" id="{CA60E042-5F8F-6B48-AA21-3028DCAE7574}">
            <xm:f>NOT(ISERROR(SEARCH("-",BQ77)))</xm:f>
            <xm:f>"-"</xm:f>
            <x14:dxf>
              <font>
                <color rgb="FFFF0000"/>
              </font>
            </x14:dxf>
          </x14:cfRule>
          <xm:sqref>BQ77:BS84</xm:sqref>
        </x14:conditionalFormatting>
        <x14:conditionalFormatting xmlns:xm="http://schemas.microsoft.com/office/excel/2006/main">
          <x14:cfRule type="containsText" priority="7" operator="containsText" id="{F850AA25-5403-4A42-B08F-BBCACC8E0B10}">
            <xm:f>NOT(ISERROR(SEARCH("-",BY7)))</xm:f>
            <xm:f>"-"</xm:f>
            <x14:dxf>
              <font>
                <color rgb="FFFF0000"/>
              </font>
            </x14:dxf>
          </x14:cfRule>
          <xm:sqref>BY7:CA16 BY19:CA28 BY31:CA40 BY43:CA65</xm:sqref>
        </x14:conditionalFormatting>
        <x14:conditionalFormatting xmlns:xm="http://schemas.microsoft.com/office/excel/2006/main">
          <x14:cfRule type="containsText" priority="8" operator="containsText" id="{E30445C9-CF26-6642-9AB9-6037D95496F9}">
            <xm:f>NOT(ISERROR(SEARCH("-",BY77)))</xm:f>
            <xm:f>"-"</xm:f>
            <x14:dxf>
              <font>
                <color rgb="FFFF0000"/>
              </font>
            </x14:dxf>
          </x14:cfRule>
          <xm:sqref>BY77:CA84</xm:sqref>
        </x14:conditionalFormatting>
        <x14:conditionalFormatting xmlns:xm="http://schemas.microsoft.com/office/excel/2006/main">
          <x14:cfRule type="containsText" priority="5" operator="containsText" id="{BC653B51-A737-384A-B6EA-39CEF643972C}">
            <xm:f>NOT(ISERROR(SEARCH("-",CG7)))</xm:f>
            <xm:f>"-"</xm:f>
            <x14:dxf>
              <font>
                <color rgb="FFFF0000"/>
              </font>
            </x14:dxf>
          </x14:cfRule>
          <xm:sqref>CG7:CI16 CG19:CI28 CG31:CI40 CG43:CI65</xm:sqref>
        </x14:conditionalFormatting>
        <x14:conditionalFormatting xmlns:xm="http://schemas.microsoft.com/office/excel/2006/main">
          <x14:cfRule type="containsText" priority="6" operator="containsText" id="{19DAFFF1-B215-A643-B9D3-599327141BAC}">
            <xm:f>NOT(ISERROR(SEARCH("-",CG77)))</xm:f>
            <xm:f>"-"</xm:f>
            <x14:dxf>
              <font>
                <color rgb="FFFF0000"/>
              </font>
            </x14:dxf>
          </x14:cfRule>
          <xm:sqref>CG77:CI84</xm:sqref>
        </x14:conditionalFormatting>
        <x14:conditionalFormatting xmlns:xm="http://schemas.microsoft.com/office/excel/2006/main">
          <x14:cfRule type="containsText" priority="3" operator="containsText" id="{5AABDDA3-EC0F-D842-9DA6-B762D70F138B}">
            <xm:f>NOT(ISERROR(SEARCH("-",CO7)))</xm:f>
            <xm:f>"-"</xm:f>
            <x14:dxf>
              <font>
                <color rgb="FFFF0000"/>
              </font>
            </x14:dxf>
          </x14:cfRule>
          <xm:sqref>CO7:CQ16 CO19:CQ28 CO31:CQ40 CO43:CQ65</xm:sqref>
        </x14:conditionalFormatting>
        <x14:conditionalFormatting xmlns:xm="http://schemas.microsoft.com/office/excel/2006/main">
          <x14:cfRule type="containsText" priority="4" operator="containsText" id="{441E0969-054E-E944-96DF-D1249E95B9C0}">
            <xm:f>NOT(ISERROR(SEARCH("-",CO77)))</xm:f>
            <xm:f>"-"</xm:f>
            <x14:dxf>
              <font>
                <color rgb="FFFF0000"/>
              </font>
            </x14:dxf>
          </x14:cfRule>
          <xm:sqref>CO77:CQ84</xm:sqref>
        </x14:conditionalFormatting>
        <x14:conditionalFormatting xmlns:xm="http://schemas.microsoft.com/office/excel/2006/main">
          <x14:cfRule type="containsText" priority="1" operator="containsText" id="{211BE77D-CE5A-8C46-A045-5F20DE40D8ED}">
            <xm:f>NOT(ISERROR(SEARCH("-",CW7)))</xm:f>
            <xm:f>"-"</xm:f>
            <x14:dxf>
              <font>
                <color rgb="FFFF0000"/>
              </font>
            </x14:dxf>
          </x14:cfRule>
          <xm:sqref>CW7:CY16 CW19:CY28 CW31:CY40 CW43:CY65</xm:sqref>
        </x14:conditionalFormatting>
        <x14:conditionalFormatting xmlns:xm="http://schemas.microsoft.com/office/excel/2006/main">
          <x14:cfRule type="containsText" priority="2" operator="containsText" id="{81317D55-5960-4C4A-AC0F-83397A53C3B3}">
            <xm:f>NOT(ISERROR(SEARCH("-",CW77)))</xm:f>
            <xm:f>"-"</xm:f>
            <x14:dxf>
              <font>
                <color rgb="FFFF0000"/>
              </font>
            </x14:dxf>
          </x14:cfRule>
          <xm:sqref>CW77:CY84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2026-03-31T00:21:30Z</dcterms:modified>
</cp:coreProperties>
</file>